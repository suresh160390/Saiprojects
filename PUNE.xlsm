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85CB98D-5CF9-48DF-8C4E-1B990D7242DB}" xr6:coauthVersionLast="47" xr6:coauthVersionMax="47" xr10:uidLastSave="{00000000-0000-0000-0000-000000000000}"/>
  <bookViews>
    <workbookView xWindow="-108" yWindow="-108" windowWidth="23256" windowHeight="12576" tabRatio="599" xr2:uid="{00000000-000D-0000-FFFF-FFFF00000000}"/>
  </bookViews>
  <sheets>
    <sheet name="Annual Appraisal Oct 2023" sheetId="29" r:id="rId1"/>
    <sheet name="Loyalty Incentive v1" sheetId="16" r:id="rId2"/>
    <sheet name="Loyalty - Effec - 15July" sheetId="30" r:id="rId3"/>
  </sheets>
  <externalReferences>
    <externalReference r:id="rId4"/>
  </externalReferences>
  <definedNames>
    <definedName name="_xlnm._FilterDatabase" localSheetId="0" hidden="1">'Annual Appraisal Oct 2023'!$A$4:$CA$93</definedName>
    <definedName name="as">OFFSET(#REF!,2,0,#REF!,1)</definedName>
    <definedName name="cum_interest">OFFSET(#REF!,2,0,#REF!,1)</definedName>
    <definedName name="cum_principal">OFFSET(#REF!,2,0,#REF!,1)</definedName>
    <definedName name="End_Bal">[1]Loan_Infra!$I$18:$I$497</definedName>
    <definedName name="Full_Print">[1]Loan_Infra!$A$1:$J$497</definedName>
    <definedName name="Header_Row">ROW([1]Loan_Infra!$A$17:$IV$17)</definedName>
    <definedName name="Interest_Rate">[1]Loan_Infra!$D$6</definedName>
    <definedName name="Last_Row">#N/A</definedName>
    <definedName name="Loan_Amount">[1]Loan_Infra!$D$5</definedName>
    <definedName name="Loan_Start">[1]Loan_Infra!$D$9</definedName>
    <definedName name="Loan_Years">[1]Loan_Infra!$D$7</definedName>
    <definedName name="Months">#REF!</definedName>
    <definedName name="period_number">OFFSET(#REF!,2,0,#REF!,1)</definedName>
    <definedName name="PrintNew">OFFSET(#REF!,2,0,#REF!,1)</definedName>
    <definedName name="Xyz">OFFSET(#REF!,2,0,#REF!,1)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xlnp="http://schemas.microsoft.com/office/spreadsheetml/2019/extlinksprops" uri="{FCE6A71B-6B00-49CD-AB44-F6B1AE7CDE65}">
      <xxlnp:externalLinksPr autoRefresh="1"/>
    </ext>
  </extLst>
</workbook>
</file>

<file path=xl/calcChain.xml><?xml version="1.0" encoding="utf-8"?>
<calcChain xmlns="http://schemas.openxmlformats.org/spreadsheetml/2006/main">
  <c r="P20" i="29" l="1"/>
  <c r="T20" i="29" s="1"/>
  <c r="U20" i="29" s="1"/>
  <c r="P21" i="29"/>
  <c r="T21" i="29" s="1"/>
  <c r="U21" i="29" s="1"/>
  <c r="P22" i="29"/>
  <c r="T22" i="29" s="1"/>
  <c r="U22" i="29" s="1"/>
  <c r="P23" i="29"/>
  <c r="T23" i="29" s="1"/>
  <c r="U23" i="29" s="1"/>
  <c r="P24" i="29"/>
  <c r="T24" i="29" s="1"/>
  <c r="U24" i="29" s="1"/>
  <c r="P25" i="29"/>
  <c r="T25" i="29" s="1"/>
  <c r="U25" i="29" s="1"/>
  <c r="P26" i="29"/>
  <c r="T26" i="29" s="1"/>
  <c r="U26" i="29" s="1"/>
  <c r="P27" i="29"/>
  <c r="T27" i="29" s="1"/>
  <c r="U27" i="29" s="1"/>
  <c r="P28" i="29"/>
  <c r="T28" i="29" s="1"/>
  <c r="U28" i="29" s="1"/>
  <c r="P29" i="29"/>
  <c r="T29" i="29" s="1"/>
  <c r="U29" i="29" s="1"/>
  <c r="P30" i="29"/>
  <c r="T30" i="29" s="1"/>
  <c r="U30" i="29" s="1"/>
  <c r="P31" i="29"/>
  <c r="T31" i="29" s="1"/>
  <c r="U31" i="29" s="1"/>
  <c r="P32" i="29"/>
  <c r="T32" i="29" s="1"/>
  <c r="U32" i="29" s="1"/>
  <c r="P33" i="29"/>
  <c r="T33" i="29" s="1"/>
  <c r="U33" i="29" s="1"/>
  <c r="P34" i="29"/>
  <c r="T34" i="29" s="1"/>
  <c r="U34" i="29" s="1"/>
  <c r="P35" i="29"/>
  <c r="T35" i="29" s="1"/>
  <c r="U35" i="29" s="1"/>
  <c r="P36" i="29"/>
  <c r="T36" i="29" s="1"/>
  <c r="U36" i="29" s="1"/>
  <c r="P37" i="29"/>
  <c r="T37" i="29" s="1"/>
  <c r="U37" i="29" s="1"/>
  <c r="P38" i="29"/>
  <c r="T38" i="29" s="1"/>
  <c r="U38" i="29" s="1"/>
  <c r="P39" i="29"/>
  <c r="T39" i="29" s="1"/>
  <c r="U39" i="29" s="1"/>
  <c r="P40" i="29"/>
  <c r="T40" i="29" s="1"/>
  <c r="U40" i="29" s="1"/>
  <c r="P41" i="29"/>
  <c r="T41" i="29" s="1"/>
  <c r="U41" i="29" s="1"/>
  <c r="P42" i="29"/>
  <c r="T42" i="29" s="1"/>
  <c r="U42" i="29" s="1"/>
  <c r="P43" i="29"/>
  <c r="T43" i="29" s="1"/>
  <c r="U43" i="29" s="1"/>
  <c r="P44" i="29"/>
  <c r="T44" i="29" s="1"/>
  <c r="U44" i="29" s="1"/>
  <c r="P45" i="29"/>
  <c r="T45" i="29" s="1"/>
  <c r="U45" i="29" s="1"/>
  <c r="P46" i="29"/>
  <c r="T46" i="29" s="1"/>
  <c r="U46" i="29" s="1"/>
  <c r="P47" i="29"/>
  <c r="T47" i="29" s="1"/>
  <c r="U47" i="29" s="1"/>
  <c r="P48" i="29"/>
  <c r="T48" i="29" s="1"/>
  <c r="U48" i="29" s="1"/>
  <c r="P49" i="29"/>
  <c r="T49" i="29" s="1"/>
  <c r="U49" i="29" s="1"/>
  <c r="P50" i="29"/>
  <c r="T50" i="29" s="1"/>
  <c r="U50" i="29" s="1"/>
  <c r="P51" i="29"/>
  <c r="T51" i="29" s="1"/>
  <c r="U51" i="29" s="1"/>
  <c r="P52" i="29"/>
  <c r="T52" i="29" s="1"/>
  <c r="U52" i="29" s="1"/>
  <c r="P53" i="29"/>
  <c r="T53" i="29" s="1"/>
  <c r="U53" i="29" s="1"/>
  <c r="P54" i="29"/>
  <c r="T54" i="29" s="1"/>
  <c r="U54" i="29" s="1"/>
  <c r="P55" i="29"/>
  <c r="T55" i="29" s="1"/>
  <c r="U55" i="29" s="1"/>
  <c r="P56" i="29"/>
  <c r="T56" i="29" s="1"/>
  <c r="U56" i="29" s="1"/>
  <c r="P57" i="29"/>
  <c r="T57" i="29" s="1"/>
  <c r="U57" i="29" s="1"/>
  <c r="P58" i="29"/>
  <c r="T58" i="29" s="1"/>
  <c r="U58" i="29" s="1"/>
  <c r="P59" i="29"/>
  <c r="T59" i="29" s="1"/>
  <c r="U59" i="29" s="1"/>
  <c r="P60" i="29"/>
  <c r="T60" i="29" s="1"/>
  <c r="U60" i="29" s="1"/>
  <c r="P61" i="29"/>
  <c r="T61" i="29" s="1"/>
  <c r="U61" i="29" s="1"/>
  <c r="P62" i="29"/>
  <c r="T62" i="29" s="1"/>
  <c r="U62" i="29" s="1"/>
  <c r="P63" i="29"/>
  <c r="T63" i="29" s="1"/>
  <c r="U63" i="29" s="1"/>
  <c r="P64" i="29"/>
  <c r="T64" i="29" s="1"/>
  <c r="U64" i="29" s="1"/>
  <c r="P65" i="29"/>
  <c r="T65" i="29" s="1"/>
  <c r="U65" i="29" s="1"/>
  <c r="P66" i="29"/>
  <c r="T66" i="29" s="1"/>
  <c r="U66" i="29" s="1"/>
  <c r="P67" i="29"/>
  <c r="T67" i="29" s="1"/>
  <c r="U67" i="29" s="1"/>
  <c r="P68" i="29"/>
  <c r="T68" i="29" s="1"/>
  <c r="U68" i="29" s="1"/>
  <c r="P69" i="29"/>
  <c r="T69" i="29" s="1"/>
  <c r="U69" i="29" s="1"/>
  <c r="P70" i="29"/>
  <c r="T70" i="29" s="1"/>
  <c r="U70" i="29" s="1"/>
  <c r="P71" i="29"/>
  <c r="T71" i="29" s="1"/>
  <c r="U71" i="29" s="1"/>
  <c r="P72" i="29"/>
  <c r="T72" i="29" s="1"/>
  <c r="U72" i="29" s="1"/>
  <c r="P73" i="29"/>
  <c r="T73" i="29" s="1"/>
  <c r="U73" i="29" s="1"/>
  <c r="P74" i="29"/>
  <c r="T74" i="29" s="1"/>
  <c r="U74" i="29" s="1"/>
  <c r="P75" i="29"/>
  <c r="T75" i="29" s="1"/>
  <c r="U75" i="29" s="1"/>
  <c r="P76" i="29"/>
  <c r="T76" i="29" s="1"/>
  <c r="U76" i="29" s="1"/>
  <c r="P77" i="29"/>
  <c r="T77" i="29" s="1"/>
  <c r="U77" i="29" s="1"/>
  <c r="P78" i="29"/>
  <c r="T78" i="29" s="1"/>
  <c r="U78" i="29" s="1"/>
  <c r="P79" i="29"/>
  <c r="T79" i="29" s="1"/>
  <c r="U79" i="29" s="1"/>
  <c r="P80" i="29"/>
  <c r="T80" i="29" s="1"/>
  <c r="U80" i="29" s="1"/>
  <c r="P81" i="29"/>
  <c r="T81" i="29" s="1"/>
  <c r="U81" i="29" s="1"/>
  <c r="P82" i="29"/>
  <c r="T82" i="29" s="1"/>
  <c r="U82" i="29" s="1"/>
  <c r="P83" i="29"/>
  <c r="T83" i="29" s="1"/>
  <c r="U83" i="29" s="1"/>
  <c r="P84" i="29"/>
  <c r="T84" i="29" s="1"/>
  <c r="U84" i="29" s="1"/>
  <c r="P85" i="29"/>
  <c r="T85" i="29" s="1"/>
  <c r="U85" i="29" s="1"/>
  <c r="P86" i="29"/>
  <c r="T86" i="29" s="1"/>
  <c r="U86" i="29" s="1"/>
  <c r="P87" i="29"/>
  <c r="T87" i="29" s="1"/>
  <c r="U87" i="29" s="1"/>
  <c r="P88" i="29"/>
  <c r="T88" i="29" s="1"/>
  <c r="U88" i="29" s="1"/>
  <c r="P89" i="29"/>
  <c r="T89" i="29" s="1"/>
  <c r="U89" i="29" s="1"/>
  <c r="P90" i="29"/>
  <c r="T90" i="29" s="1"/>
  <c r="U90" i="29" s="1"/>
  <c r="P91" i="29"/>
  <c r="T91" i="29" s="1"/>
  <c r="U91" i="29" s="1"/>
  <c r="P92" i="29"/>
  <c r="T92" i="29" s="1"/>
  <c r="U92" i="29" s="1"/>
  <c r="P93" i="29"/>
  <c r="T93" i="29" s="1"/>
  <c r="U93" i="29" s="1"/>
  <c r="P19" i="29"/>
  <c r="T19" i="29" s="1"/>
  <c r="U19" i="29" s="1"/>
  <c r="P18" i="29"/>
  <c r="T18" i="29" s="1"/>
  <c r="U18" i="29" s="1"/>
  <c r="P14" i="29"/>
  <c r="T14" i="29" s="1"/>
  <c r="U14" i="29" s="1"/>
  <c r="P15" i="29"/>
  <c r="T15" i="29" s="1"/>
  <c r="U15" i="29" s="1"/>
  <c r="P16" i="29"/>
  <c r="T16" i="29" s="1"/>
  <c r="U16" i="29" s="1"/>
  <c r="P17" i="29"/>
  <c r="T17" i="29" s="1"/>
  <c r="U17" i="29" s="1"/>
  <c r="P8" i="29"/>
  <c r="T8" i="29" s="1"/>
  <c r="U8" i="29" s="1"/>
  <c r="P9" i="29"/>
  <c r="T9" i="29" s="1"/>
  <c r="U9" i="29" s="1"/>
  <c r="P10" i="29"/>
  <c r="T10" i="29" s="1"/>
  <c r="U10" i="29" s="1"/>
  <c r="P11" i="29"/>
  <c r="T11" i="29" s="1"/>
  <c r="U11" i="29" s="1"/>
  <c r="P12" i="29"/>
  <c r="T12" i="29" s="1"/>
  <c r="U12" i="29" s="1"/>
  <c r="P13" i="29"/>
  <c r="T13" i="29" s="1"/>
  <c r="U13" i="29" s="1"/>
  <c r="P7" i="29"/>
  <c r="T7" i="29" s="1"/>
  <c r="U7" i="29" s="1"/>
  <c r="P6" i="29"/>
  <c r="T6" i="29" s="1"/>
  <c r="U6" i="29" s="1"/>
  <c r="AM21" i="29" l="1"/>
  <c r="AX2" i="29"/>
  <c r="AT40" i="29" l="1"/>
  <c r="AU40" i="29" s="1"/>
  <c r="AT31" i="29"/>
  <c r="AT65" i="29"/>
  <c r="AT82" i="29"/>
  <c r="AU82" i="29" s="1"/>
  <c r="AT88" i="29"/>
  <c r="AU88" i="29" s="1"/>
  <c r="N5" i="29"/>
  <c r="N74" i="29"/>
  <c r="N8" i="29"/>
  <c r="N50" i="29"/>
  <c r="N10" i="29"/>
  <c r="N11" i="29"/>
  <c r="N12" i="29"/>
  <c r="N13" i="29"/>
  <c r="N15" i="29"/>
  <c r="N14" i="29"/>
  <c r="N19" i="29"/>
  <c r="N21" i="29"/>
  <c r="N23" i="29"/>
  <c r="N18" i="29"/>
  <c r="N43" i="29"/>
  <c r="N17" i="29"/>
  <c r="N66" i="29"/>
  <c r="N16" i="29"/>
  <c r="N25" i="29"/>
  <c r="N32" i="29"/>
  <c r="N35" i="29"/>
  <c r="N68" i="29"/>
  <c r="N26" i="29"/>
  <c r="N34" i="29"/>
  <c r="N91" i="29"/>
  <c r="N46" i="29"/>
  <c r="N57" i="29"/>
  <c r="N61" i="29"/>
  <c r="N44" i="29"/>
  <c r="N55" i="29"/>
  <c r="N53" i="29"/>
  <c r="N79" i="29"/>
  <c r="N83" i="29"/>
  <c r="N27" i="29"/>
  <c r="N22" i="29"/>
  <c r="N86" i="29"/>
  <c r="N92" i="29"/>
  <c r="N20" i="29"/>
  <c r="N29" i="29"/>
  <c r="N45" i="29"/>
  <c r="N48" i="29"/>
  <c r="N58" i="29"/>
  <c r="N72" i="29"/>
  <c r="N70" i="29"/>
  <c r="N62" i="29"/>
  <c r="N76" i="29"/>
  <c r="N59" i="29"/>
  <c r="N36" i="29"/>
  <c r="N78" i="29"/>
  <c r="N39" i="29"/>
  <c r="N69" i="29"/>
  <c r="N60" i="29"/>
  <c r="N30" i="29"/>
  <c r="N52" i="29"/>
  <c r="N24" i="29"/>
  <c r="N63" i="29"/>
  <c r="N51" i="29"/>
  <c r="N49" i="29"/>
  <c r="N77" i="29"/>
  <c r="N7" i="29"/>
  <c r="N84" i="29"/>
  <c r="N67" i="29"/>
  <c r="N28" i="29"/>
  <c r="N37" i="29"/>
  <c r="N38" i="29"/>
  <c r="N73" i="29"/>
  <c r="N33" i="29"/>
  <c r="N90" i="29"/>
  <c r="N41" i="29"/>
  <c r="N75" i="29"/>
  <c r="N9" i="29"/>
  <c r="N42" i="29"/>
  <c r="N54" i="29"/>
  <c r="N56" i="29"/>
  <c r="N87" i="29"/>
  <c r="N81" i="29"/>
  <c r="N93" i="29"/>
  <c r="N6" i="29"/>
  <c r="N71" i="29"/>
  <c r="N85" i="29"/>
  <c r="N64" i="29"/>
  <c r="N80" i="29"/>
  <c r="N89" i="29"/>
  <c r="N88" i="29"/>
  <c r="N40" i="29"/>
  <c r="N31" i="29"/>
  <c r="N65" i="29"/>
  <c r="N82" i="29"/>
  <c r="AU31" i="29" l="1"/>
  <c r="AV31" i="29" s="1"/>
  <c r="BE31" i="29"/>
  <c r="AU65" i="29"/>
  <c r="AW65" i="29" s="1"/>
  <c r="BE65" i="29"/>
  <c r="AV82" i="29"/>
  <c r="AW82" i="29"/>
  <c r="AW40" i="29"/>
  <c r="AV40" i="29"/>
  <c r="AV88" i="29"/>
  <c r="AW88" i="29"/>
  <c r="AC40" i="29"/>
  <c r="AC10" i="29"/>
  <c r="AC11" i="29"/>
  <c r="AC12" i="29"/>
  <c r="AC13" i="29"/>
  <c r="AC15" i="29"/>
  <c r="AC14" i="29"/>
  <c r="AC19" i="29"/>
  <c r="AC21" i="29"/>
  <c r="AC23" i="29"/>
  <c r="AC18" i="29"/>
  <c r="AC43" i="29"/>
  <c r="AC17" i="29"/>
  <c r="AC66" i="29"/>
  <c r="AC16" i="29"/>
  <c r="AC25" i="29"/>
  <c r="AC32" i="29"/>
  <c r="AC35" i="29"/>
  <c r="AC68" i="29"/>
  <c r="AC26" i="29"/>
  <c r="AC34" i="29"/>
  <c r="AC91" i="29"/>
  <c r="AC46" i="29"/>
  <c r="AC57" i="29"/>
  <c r="AC61" i="29"/>
  <c r="AC44" i="29"/>
  <c r="AC55" i="29"/>
  <c r="AC53" i="29"/>
  <c r="AC79" i="29"/>
  <c r="AC83" i="29"/>
  <c r="AC27" i="29"/>
  <c r="AC22" i="29"/>
  <c r="AC86" i="29"/>
  <c r="AC92" i="29"/>
  <c r="AC20" i="29"/>
  <c r="AC29" i="29"/>
  <c r="AC45" i="29"/>
  <c r="AC48" i="29"/>
  <c r="AC58" i="29"/>
  <c r="AC72" i="29"/>
  <c r="AC70" i="29"/>
  <c r="AC62" i="29"/>
  <c r="AC76" i="29"/>
  <c r="AC59" i="29"/>
  <c r="AC36" i="29"/>
  <c r="AC78" i="29"/>
  <c r="AC39" i="29"/>
  <c r="AC69" i="29"/>
  <c r="AC60" i="29"/>
  <c r="AC30" i="29"/>
  <c r="AC52" i="29"/>
  <c r="AC24" i="29"/>
  <c r="AC63" i="29"/>
  <c r="AC51" i="29"/>
  <c r="AC49" i="29"/>
  <c r="AC77" i="29"/>
  <c r="AC7" i="29"/>
  <c r="AC84" i="29"/>
  <c r="AC67" i="29"/>
  <c r="AC28" i="29"/>
  <c r="AC37" i="29"/>
  <c r="AC38" i="29"/>
  <c r="AC73" i="29"/>
  <c r="AC33" i="29"/>
  <c r="AC90" i="29"/>
  <c r="AC41" i="29"/>
  <c r="AC75" i="29"/>
  <c r="AC9" i="29"/>
  <c r="AC42" i="29"/>
  <c r="AC54" i="29"/>
  <c r="AC56" i="29"/>
  <c r="AC87" i="29"/>
  <c r="AC81" i="29"/>
  <c r="AC93" i="29"/>
  <c r="AC6" i="29"/>
  <c r="AC71" i="29"/>
  <c r="AC85" i="29"/>
  <c r="AC64" i="29"/>
  <c r="AC80" i="29"/>
  <c r="AC89" i="29"/>
  <c r="AC88" i="29"/>
  <c r="AC31" i="29"/>
  <c r="AC65" i="29"/>
  <c r="AC82" i="29"/>
  <c r="AC50" i="29"/>
  <c r="AN21" i="29"/>
  <c r="AP21" i="29" s="1"/>
  <c r="AW31" i="29" l="1"/>
  <c r="AY31" i="29" s="1"/>
  <c r="AY40" i="29"/>
  <c r="BA40" i="29" s="1"/>
  <c r="AV65" i="29"/>
  <c r="AY65" i="29" s="1"/>
  <c r="AY82" i="29"/>
  <c r="BA82" i="29" s="1"/>
  <c r="AY88" i="29"/>
  <c r="AZ88" i="29" s="1"/>
  <c r="S2" i="29"/>
  <c r="AB40" i="29"/>
  <c r="BH40" i="29" l="1"/>
  <c r="AZ40" i="29"/>
  <c r="BH82" i="29"/>
  <c r="AZ82" i="29"/>
  <c r="BH88" i="29"/>
  <c r="BJ88" i="29" s="1"/>
  <c r="BK88" i="29" s="1"/>
  <c r="BA88" i="29"/>
  <c r="BG88" i="29" s="1"/>
  <c r="BA31" i="29"/>
  <c r="AZ31" i="29"/>
  <c r="BH31" i="29"/>
  <c r="BA65" i="29"/>
  <c r="AZ65" i="29"/>
  <c r="BH65" i="29"/>
  <c r="W2" i="29"/>
  <c r="AA2" i="29"/>
  <c r="AD40" i="29"/>
  <c r="AB91" i="29"/>
  <c r="AE27" i="29"/>
  <c r="AF27" i="29" s="1"/>
  <c r="AE73" i="29"/>
  <c r="AF73" i="29" s="1"/>
  <c r="AB16" i="29"/>
  <c r="AE56" i="29"/>
  <c r="AF56" i="29" s="1"/>
  <c r="AB58" i="29"/>
  <c r="AE38" i="29"/>
  <c r="AF38" i="29" s="1"/>
  <c r="AE80" i="29"/>
  <c r="AF80" i="29" s="1"/>
  <c r="AE40" i="29"/>
  <c r="AF40" i="29" s="1"/>
  <c r="AB82" i="29"/>
  <c r="AD82" i="29" s="1"/>
  <c r="AE82" i="29"/>
  <c r="AF82" i="29" s="1"/>
  <c r="AB73" i="29"/>
  <c r="AE88" i="29"/>
  <c r="AF88" i="29" s="1"/>
  <c r="AB88" i="29"/>
  <c r="AD88" i="29" s="1"/>
  <c r="BJ40" i="29" l="1"/>
  <c r="BK40" i="29" s="1"/>
  <c r="BN40" i="29" s="1"/>
  <c r="BG40" i="29"/>
  <c r="BJ82" i="29"/>
  <c r="BK82" i="29" s="1"/>
  <c r="BM82" i="29" s="1"/>
  <c r="BG82" i="29"/>
  <c r="BI82" i="29" s="1"/>
  <c r="BN88" i="29"/>
  <c r="BG31" i="29"/>
  <c r="BI31" i="29" s="1"/>
  <c r="BG65" i="29"/>
  <c r="BI65" i="29" s="1"/>
  <c r="BM88" i="29"/>
  <c r="BI88" i="29"/>
  <c r="BL88" i="29"/>
  <c r="BJ65" i="29"/>
  <c r="BK65" i="29" s="1"/>
  <c r="BJ31" i="29"/>
  <c r="BK31" i="29" s="1"/>
  <c r="AE91" i="29"/>
  <c r="AF91" i="29" s="1"/>
  <c r="AE16" i="29"/>
  <c r="AF16" i="29" s="1"/>
  <c r="AE58" i="29"/>
  <c r="AF58" i="29" s="1"/>
  <c r="AB27" i="29"/>
  <c r="AE37" i="29"/>
  <c r="AF37" i="29" s="1"/>
  <c r="AB37" i="29"/>
  <c r="AE14" i="29"/>
  <c r="AF14" i="29" s="1"/>
  <c r="AB14" i="29"/>
  <c r="AB67" i="29"/>
  <c r="AB17" i="29"/>
  <c r="AB52" i="29"/>
  <c r="AB38" i="29"/>
  <c r="AB56" i="29"/>
  <c r="AE46" i="29"/>
  <c r="AF46" i="29" s="1"/>
  <c r="AB46" i="29"/>
  <c r="AB49" i="29"/>
  <c r="AE49" i="29"/>
  <c r="AF49" i="29" s="1"/>
  <c r="AE33" i="29"/>
  <c r="AF33" i="29" s="1"/>
  <c r="AB34" i="29"/>
  <c r="AB80" i="29"/>
  <c r="AE48" i="29"/>
  <c r="AF48" i="29" s="1"/>
  <c r="AE39" i="29"/>
  <c r="AF39" i="29" s="1"/>
  <c r="AB39" i="29"/>
  <c r="AE77" i="29"/>
  <c r="AF77" i="29" s="1"/>
  <c r="AB9" i="29"/>
  <c r="AE9" i="29"/>
  <c r="AF9" i="29" s="1"/>
  <c r="AB93" i="29"/>
  <c r="AE93" i="29"/>
  <c r="AF93" i="29" s="1"/>
  <c r="AB83" i="29"/>
  <c r="AE83" i="29"/>
  <c r="AF83" i="29" s="1"/>
  <c r="AE25" i="29"/>
  <c r="AF25" i="29" s="1"/>
  <c r="AB25" i="29"/>
  <c r="AE85" i="29"/>
  <c r="AF85" i="29" s="1"/>
  <c r="AB85" i="29"/>
  <c r="AB30" i="29"/>
  <c r="AE30" i="29"/>
  <c r="AF30" i="29" s="1"/>
  <c r="AE70" i="29"/>
  <c r="AF70" i="29" s="1"/>
  <c r="AB70" i="29"/>
  <c r="AB15" i="29"/>
  <c r="AE15" i="29"/>
  <c r="AF15" i="29" s="1"/>
  <c r="AB71" i="29"/>
  <c r="AE71" i="29"/>
  <c r="AF71" i="29" s="1"/>
  <c r="AE19" i="29"/>
  <c r="AF19" i="29" s="1"/>
  <c r="AB19" i="29"/>
  <c r="AE69" i="29"/>
  <c r="AF69" i="29" s="1"/>
  <c r="AB69" i="29"/>
  <c r="AB36" i="29"/>
  <c r="AE36" i="29"/>
  <c r="AF36" i="29" s="1"/>
  <c r="AB24" i="29"/>
  <c r="AE24" i="29"/>
  <c r="AF24" i="29" s="1"/>
  <c r="AE52" i="29"/>
  <c r="AF52" i="29" s="1"/>
  <c r="AB59" i="29"/>
  <c r="AE59" i="29"/>
  <c r="AF59" i="29" s="1"/>
  <c r="AB68" i="29"/>
  <c r="AE68" i="29"/>
  <c r="AF68" i="29" s="1"/>
  <c r="AE87" i="29"/>
  <c r="AF87" i="29" s="1"/>
  <c r="AB87" i="29"/>
  <c r="AE81" i="29"/>
  <c r="AF81" i="29" s="1"/>
  <c r="AB81" i="29"/>
  <c r="AE32" i="29"/>
  <c r="AF32" i="29" s="1"/>
  <c r="AB32" i="29"/>
  <c r="AB55" i="29"/>
  <c r="AE55" i="29"/>
  <c r="AF55" i="29" s="1"/>
  <c r="AB29" i="29"/>
  <c r="AE29" i="29"/>
  <c r="AF29" i="29" s="1"/>
  <c r="AE79" i="29"/>
  <c r="AF79" i="29" s="1"/>
  <c r="AB79" i="29"/>
  <c r="AE57" i="29"/>
  <c r="AF57" i="29" s="1"/>
  <c r="AB57" i="29"/>
  <c r="AE21" i="29"/>
  <c r="AF21" i="29" s="1"/>
  <c r="AB21" i="29"/>
  <c r="AE7" i="29"/>
  <c r="AF7" i="29" s="1"/>
  <c r="AB7" i="29"/>
  <c r="AE89" i="29"/>
  <c r="AF89" i="29" s="1"/>
  <c r="AB89" i="29"/>
  <c r="AB23" i="29"/>
  <c r="AE23" i="29"/>
  <c r="AF23" i="29" s="1"/>
  <c r="AB41" i="29"/>
  <c r="AE41" i="29"/>
  <c r="AF41" i="29" s="1"/>
  <c r="AB66" i="29"/>
  <c r="AE66" i="29"/>
  <c r="AF66" i="29" s="1"/>
  <c r="AB54" i="29"/>
  <c r="AE54" i="29"/>
  <c r="AF54" i="29" s="1"/>
  <c r="AB76" i="29"/>
  <c r="AE76" i="29"/>
  <c r="AF76" i="29" s="1"/>
  <c r="AB92" i="29"/>
  <c r="AE92" i="29"/>
  <c r="AF92" i="29" s="1"/>
  <c r="AB42" i="29"/>
  <c r="AE42" i="29"/>
  <c r="AF42" i="29" s="1"/>
  <c r="AB11" i="29"/>
  <c r="AE11" i="29"/>
  <c r="AF11" i="29" s="1"/>
  <c r="AE90" i="29"/>
  <c r="AF90" i="29" s="1"/>
  <c r="AB90" i="29"/>
  <c r="AB26" i="29"/>
  <c r="AE26" i="29"/>
  <c r="AF26" i="29" s="1"/>
  <c r="AB43" i="29"/>
  <c r="AE43" i="29"/>
  <c r="AF43" i="29" s="1"/>
  <c r="AB12" i="29"/>
  <c r="AE12" i="29"/>
  <c r="AF12" i="29" s="1"/>
  <c r="AB13" i="29"/>
  <c r="AE13" i="29"/>
  <c r="AF13" i="29" s="1"/>
  <c r="AE45" i="29"/>
  <c r="AF45" i="29" s="1"/>
  <c r="AB45" i="29"/>
  <c r="AB62" i="29"/>
  <c r="AE62" i="29"/>
  <c r="AF62" i="29" s="1"/>
  <c r="AB44" i="29"/>
  <c r="AE44" i="29"/>
  <c r="AF44" i="29" s="1"/>
  <c r="AE61" i="29"/>
  <c r="AF61" i="29" s="1"/>
  <c r="AB61" i="29"/>
  <c r="AB78" i="29"/>
  <c r="AE78" i="29"/>
  <c r="AF78" i="29" s="1"/>
  <c r="AB20" i="29"/>
  <c r="AE20" i="29"/>
  <c r="AF20" i="29" s="1"/>
  <c r="AE51" i="29"/>
  <c r="AF51" i="29" s="1"/>
  <c r="AB51" i="29"/>
  <c r="AB65" i="29"/>
  <c r="AD65" i="29" s="1"/>
  <c r="AE65" i="29"/>
  <c r="AF65" i="29" s="1"/>
  <c r="AB35" i="29"/>
  <c r="AE35" i="29"/>
  <c r="AF35" i="29" s="1"/>
  <c r="AE60" i="29"/>
  <c r="AF60" i="29" s="1"/>
  <c r="AB60" i="29"/>
  <c r="AB28" i="29"/>
  <c r="AE28" i="29"/>
  <c r="AF28" i="29" s="1"/>
  <c r="AB75" i="29"/>
  <c r="AE75" i="29"/>
  <c r="AF75" i="29" s="1"/>
  <c r="AB64" i="29"/>
  <c r="AE64" i="29"/>
  <c r="AF64" i="29" s="1"/>
  <c r="AB31" i="29"/>
  <c r="AD31" i="29" s="1"/>
  <c r="AE31" i="29"/>
  <c r="AF31" i="29" s="1"/>
  <c r="AE22" i="29"/>
  <c r="AF22" i="29" s="1"/>
  <c r="AB22" i="29"/>
  <c r="AE72" i="29"/>
  <c r="AF72" i="29" s="1"/>
  <c r="AB72" i="29"/>
  <c r="AB84" i="29"/>
  <c r="AE84" i="29"/>
  <c r="AF84" i="29" s="1"/>
  <c r="AE86" i="29"/>
  <c r="AF86" i="29" s="1"/>
  <c r="AB86" i="29"/>
  <c r="AB10" i="29"/>
  <c r="AE10" i="29"/>
  <c r="AF10" i="29" s="1"/>
  <c r="AB18" i="29"/>
  <c r="AE18" i="29"/>
  <c r="AF18" i="29" s="1"/>
  <c r="AB63" i="29"/>
  <c r="AE63" i="29"/>
  <c r="AF63" i="29" s="1"/>
  <c r="AB53" i="29"/>
  <c r="AE53" i="29"/>
  <c r="AF53" i="29" s="1"/>
  <c r="AR74" i="29"/>
  <c r="AR8" i="29"/>
  <c r="AM8" i="29" s="1"/>
  <c r="P5" i="29"/>
  <c r="AR5" i="29"/>
  <c r="BN82" i="29" l="1"/>
  <c r="BM40" i="29"/>
  <c r="BL40" i="29"/>
  <c r="BI40" i="29"/>
  <c r="BL82" i="29"/>
  <c r="AQ74" i="29"/>
  <c r="AM74" i="29"/>
  <c r="AN74" i="29" s="1"/>
  <c r="AP74" i="29" s="1"/>
  <c r="BL65" i="29"/>
  <c r="AN8" i="29"/>
  <c r="AP8" i="29" s="1"/>
  <c r="AQ8" i="29"/>
  <c r="BM65" i="29"/>
  <c r="BN65" i="29"/>
  <c r="BN31" i="29"/>
  <c r="BM31" i="29"/>
  <c r="BL31" i="29"/>
  <c r="P2" i="29"/>
  <c r="AB77" i="29"/>
  <c r="AE17" i="29"/>
  <c r="AF17" i="29" s="1"/>
  <c r="AE34" i="29"/>
  <c r="AF34" i="29" s="1"/>
  <c r="AE67" i="29"/>
  <c r="AF67" i="29" s="1"/>
  <c r="AE50" i="29"/>
  <c r="AF50" i="29" s="1"/>
  <c r="AB50" i="29"/>
  <c r="AB33" i="29"/>
  <c r="AB48" i="29"/>
  <c r="AB6" i="29"/>
  <c r="AE6" i="29"/>
  <c r="AF6" i="29" s="1"/>
  <c r="AS8" i="29"/>
  <c r="AS74" i="29"/>
  <c r="R5" i="29"/>
  <c r="AQ5" i="29"/>
  <c r="AM5" i="29"/>
  <c r="Q5" i="29"/>
  <c r="AS5" i="29"/>
  <c r="AC74" i="29"/>
  <c r="AT74" i="29" l="1"/>
  <c r="AT8" i="29"/>
  <c r="AN5" i="29"/>
  <c r="AP5" i="29" s="1"/>
  <c r="AT5" i="29" s="1"/>
  <c r="AC8" i="29"/>
  <c r="T5" i="29"/>
  <c r="BE8" i="29" l="1"/>
  <c r="BF8" i="29"/>
  <c r="AU74" i="29"/>
  <c r="AW74" i="29" s="1"/>
  <c r="BE74" i="29"/>
  <c r="AU8" i="29"/>
  <c r="AV8" i="29" s="1"/>
  <c r="AC5" i="29"/>
  <c r="BF5" i="29"/>
  <c r="AU5" i="29"/>
  <c r="BE5" i="29"/>
  <c r="U5" i="29"/>
  <c r="AE74" i="29"/>
  <c r="AF74" i="29" s="1"/>
  <c r="AB74" i="29"/>
  <c r="AD74" i="29" s="1"/>
  <c r="AV74" i="29" l="1"/>
  <c r="AY74" i="29" s="1"/>
  <c r="AW8" i="29"/>
  <c r="AY8" i="29" s="1"/>
  <c r="AB5" i="29"/>
  <c r="AV5" i="29"/>
  <c r="AW5" i="29"/>
  <c r="AE5" i="29"/>
  <c r="AF5" i="29" s="1"/>
  <c r="AE8" i="29"/>
  <c r="AF8" i="29" s="1"/>
  <c r="AB8" i="29"/>
  <c r="AD8" i="29" s="1"/>
  <c r="BA8" i="29" l="1"/>
  <c r="BH8" i="29"/>
  <c r="AZ8" i="29"/>
  <c r="BH74" i="29"/>
  <c r="BA74" i="29"/>
  <c r="AZ74" i="29"/>
  <c r="AY5" i="29"/>
  <c r="AZ5" i="29" s="1"/>
  <c r="AD5" i="29"/>
  <c r="BJ74" i="29" l="1"/>
  <c r="BK74" i="29" s="1"/>
  <c r="BN74" i="29" s="1"/>
  <c r="BJ8" i="29"/>
  <c r="BK8" i="29" s="1"/>
  <c r="BN8" i="29" s="1"/>
  <c r="BG8" i="29"/>
  <c r="BL8" i="29" s="1"/>
  <c r="BG74" i="29"/>
  <c r="BH5" i="29"/>
  <c r="BJ5" i="29" s="1"/>
  <c r="BK5" i="29" s="1"/>
  <c r="BA5" i="29"/>
  <c r="BG5" i="29" s="1"/>
  <c r="BM74" i="29" l="1"/>
  <c r="BM8" i="29"/>
  <c r="BI8" i="29"/>
  <c r="BM5" i="29"/>
  <c r="BN5" i="29"/>
  <c r="BL74" i="29"/>
  <c r="BI74" i="29"/>
  <c r="BL5" i="29"/>
  <c r="BI5" i="29"/>
  <c r="Q2" i="29" l="1"/>
  <c r="N47" i="29" l="1"/>
  <c r="T2" i="29" l="1"/>
  <c r="R2" i="29"/>
  <c r="V2" i="29" l="1"/>
  <c r="U2" i="29"/>
  <c r="AC47" i="29"/>
  <c r="AE47" i="29" l="1"/>
  <c r="AF47" i="29" s="1"/>
  <c r="AB47" i="29"/>
  <c r="AD47" i="29" s="1"/>
  <c r="AB2" i="29" l="1"/>
  <c r="BB2" i="29" l="1"/>
  <c r="Y2" i="29"/>
  <c r="X2" i="29"/>
  <c r="AR47" i="29" l="1"/>
  <c r="AM47" i="29" s="1"/>
  <c r="AQ47" i="29" l="1"/>
  <c r="AN47" i="29"/>
  <c r="AP47" i="29" s="1"/>
  <c r="AT47" i="29" s="1"/>
  <c r="Z2" i="29" l="1"/>
  <c r="AU47" i="29" l="1"/>
  <c r="AV47" i="29" s="1"/>
  <c r="BE47" i="29"/>
  <c r="BF47" i="29"/>
  <c r="AS47" i="29"/>
  <c r="AW47" i="29" l="1"/>
  <c r="AY47" i="29" s="1"/>
  <c r="BH47" i="29" l="1"/>
  <c r="AZ47" i="29"/>
  <c r="BA47" i="29"/>
  <c r="BG47" i="29" l="1"/>
  <c r="BJ47" i="29"/>
  <c r="BK47" i="29" s="1"/>
  <c r="BL47" i="29" l="1"/>
  <c r="BI47" i="29"/>
  <c r="BN47" i="29"/>
  <c r="BM47" i="29"/>
  <c r="BW47" i="29" l="1"/>
  <c r="AD85" i="29" l="1"/>
  <c r="AT85" i="29"/>
  <c r="AU85" i="29" s="1"/>
  <c r="AD64" i="29"/>
  <c r="AT64" i="29"/>
  <c r="AD80" i="29"/>
  <c r="AT80" i="29"/>
  <c r="AD89" i="29"/>
  <c r="AT89" i="29"/>
  <c r="AT7" i="29"/>
  <c r="AU80" i="29" l="1"/>
  <c r="AV80" i="29" s="1"/>
  <c r="BE80" i="29"/>
  <c r="AU64" i="29"/>
  <c r="AV64" i="29" s="1"/>
  <c r="BE64" i="29"/>
  <c r="AU89" i="29"/>
  <c r="AV89" i="29" s="1"/>
  <c r="AU7" i="29"/>
  <c r="AW7" i="29" s="1"/>
  <c r="BE7" i="29"/>
  <c r="O2" i="29"/>
  <c r="AD75" i="29"/>
  <c r="AT75" i="29"/>
  <c r="AD17" i="29"/>
  <c r="AT17" i="29"/>
  <c r="AD61" i="29"/>
  <c r="AT61" i="29"/>
  <c r="AD77" i="29"/>
  <c r="AT77" i="29"/>
  <c r="AD29" i="29"/>
  <c r="AT29" i="29"/>
  <c r="AD78" i="29"/>
  <c r="AT78" i="29"/>
  <c r="AD19" i="29"/>
  <c r="AT19" i="29"/>
  <c r="AD38" i="29"/>
  <c r="AT38" i="29"/>
  <c r="AD39" i="29"/>
  <c r="AT39" i="29"/>
  <c r="AD67" i="29"/>
  <c r="AT67" i="29"/>
  <c r="AD73" i="29"/>
  <c r="AT73" i="29"/>
  <c r="AD22" i="29"/>
  <c r="AT22" i="29"/>
  <c r="AD14" i="29"/>
  <c r="AT14" i="29"/>
  <c r="AD56" i="29"/>
  <c r="AT56" i="29"/>
  <c r="AD84" i="29"/>
  <c r="AT84" i="29"/>
  <c r="AD34" i="29"/>
  <c r="AT34" i="29"/>
  <c r="AD11" i="29"/>
  <c r="AT11" i="29"/>
  <c r="AD28" i="29"/>
  <c r="AT28" i="29"/>
  <c r="AD60" i="29"/>
  <c r="AT60" i="29"/>
  <c r="AD87" i="29"/>
  <c r="AT87" i="29"/>
  <c r="AU87" i="29" s="1"/>
  <c r="AD52" i="29"/>
  <c r="AT52" i="29"/>
  <c r="AU52" i="29" s="1"/>
  <c r="AD35" i="29"/>
  <c r="AT35" i="29"/>
  <c r="AD59" i="29"/>
  <c r="AT59" i="29"/>
  <c r="AD57" i="29"/>
  <c r="AT57" i="29"/>
  <c r="AD10" i="29"/>
  <c r="AT10" i="29"/>
  <c r="AD18" i="29"/>
  <c r="AT18" i="29"/>
  <c r="AD55" i="29"/>
  <c r="AT55" i="29"/>
  <c r="AD72" i="29"/>
  <c r="AT72" i="29"/>
  <c r="AD91" i="29"/>
  <c r="AT91" i="29"/>
  <c r="AD26" i="29"/>
  <c r="AT26" i="29"/>
  <c r="AD41" i="29"/>
  <c r="AT41" i="29"/>
  <c r="AD53" i="29"/>
  <c r="AT53" i="29"/>
  <c r="AD43" i="29"/>
  <c r="AT43" i="29"/>
  <c r="AU43" i="29" s="1"/>
  <c r="AD90" i="29"/>
  <c r="AT90" i="29"/>
  <c r="AD37" i="29"/>
  <c r="AT37" i="29"/>
  <c r="AW64" i="29"/>
  <c r="AD69" i="29"/>
  <c r="AT69" i="29"/>
  <c r="AD76" i="29"/>
  <c r="AT76" i="29"/>
  <c r="AU76" i="29" s="1"/>
  <c r="AD62" i="29"/>
  <c r="AT62" i="29"/>
  <c r="AD6" i="29"/>
  <c r="AT6" i="29"/>
  <c r="BE6" i="29" s="1"/>
  <c r="AD33" i="29"/>
  <c r="AT33" i="29"/>
  <c r="AD50" i="29"/>
  <c r="AT50" i="29"/>
  <c r="AD71" i="29"/>
  <c r="AT71" i="29"/>
  <c r="AU71" i="29" s="1"/>
  <c r="AD36" i="29"/>
  <c r="AT36" i="29"/>
  <c r="AD83" i="29"/>
  <c r="AT83" i="29"/>
  <c r="AD51" i="29"/>
  <c r="AT51" i="29"/>
  <c r="AD81" i="29"/>
  <c r="AT81" i="29"/>
  <c r="AD86" i="29"/>
  <c r="AT86" i="29"/>
  <c r="AD32" i="29"/>
  <c r="AT32" i="29"/>
  <c r="AD13" i="29"/>
  <c r="AT13" i="29"/>
  <c r="AD9" i="29"/>
  <c r="AT9" i="29"/>
  <c r="AD93" i="29"/>
  <c r="AT93" i="29"/>
  <c r="AD44" i="29"/>
  <c r="AT44" i="29"/>
  <c r="AD58" i="29"/>
  <c r="AT58" i="29"/>
  <c r="AD15" i="29"/>
  <c r="AT15" i="29"/>
  <c r="AU15" i="29" s="1"/>
  <c r="AD63" i="29"/>
  <c r="AT63" i="29"/>
  <c r="AD54" i="29"/>
  <c r="AT54" i="29"/>
  <c r="AD79" i="29"/>
  <c r="AT79" i="29"/>
  <c r="AD92" i="29"/>
  <c r="AT92" i="29"/>
  <c r="AD12" i="29"/>
  <c r="AT12" i="29"/>
  <c r="AU12" i="29" s="1"/>
  <c r="AD24" i="29"/>
  <c r="AT24" i="29"/>
  <c r="AU24" i="29" s="1"/>
  <c r="AD20" i="29"/>
  <c r="AT20" i="29"/>
  <c r="AT21" i="29"/>
  <c r="AD23" i="29"/>
  <c r="AT23" i="29"/>
  <c r="AD30" i="29"/>
  <c r="AT30" i="29"/>
  <c r="AD46" i="29"/>
  <c r="AT46" i="29"/>
  <c r="AD66" i="29"/>
  <c r="AT66" i="29"/>
  <c r="AD45" i="29"/>
  <c r="AT45" i="29"/>
  <c r="AV85" i="29"/>
  <c r="AW85" i="29"/>
  <c r="AD48" i="29"/>
  <c r="AT48" i="29"/>
  <c r="AD70" i="29"/>
  <c r="AT70" i="29"/>
  <c r="AD68" i="29"/>
  <c r="AT68" i="29"/>
  <c r="AU68" i="29" s="1"/>
  <c r="AD25" i="29"/>
  <c r="AT25" i="29"/>
  <c r="AD49" i="29"/>
  <c r="AT49" i="29"/>
  <c r="AD27" i="29"/>
  <c r="AT27" i="29"/>
  <c r="AD16" i="29"/>
  <c r="AT16" i="29"/>
  <c r="AD42" i="29"/>
  <c r="AT42" i="29"/>
  <c r="AD21" i="29"/>
  <c r="AD7" i="29"/>
  <c r="AY85" i="29" l="1"/>
  <c r="BH85" i="29" s="1"/>
  <c r="AV7" i="29"/>
  <c r="AY7" i="29" s="1"/>
  <c r="AU66" i="29"/>
  <c r="AV66" i="29" s="1"/>
  <c r="AU20" i="29"/>
  <c r="AW20" i="29" s="1"/>
  <c r="AU79" i="29"/>
  <c r="AV79" i="29" s="1"/>
  <c r="BE79" i="29"/>
  <c r="AU58" i="29"/>
  <c r="AW58" i="29" s="1"/>
  <c r="BE58" i="29"/>
  <c r="AU9" i="29"/>
  <c r="AW9" i="29" s="1"/>
  <c r="AU81" i="29"/>
  <c r="AW81" i="29" s="1"/>
  <c r="AU33" i="29"/>
  <c r="AW33" i="29" s="1"/>
  <c r="BE33" i="29"/>
  <c r="AU69" i="29"/>
  <c r="AV69" i="29" s="1"/>
  <c r="BE69" i="29"/>
  <c r="AU91" i="29"/>
  <c r="AV91" i="29" s="1"/>
  <c r="AU10" i="29"/>
  <c r="AW10" i="29" s="1"/>
  <c r="AU11" i="29"/>
  <c r="AW11" i="29" s="1"/>
  <c r="AU14" i="29"/>
  <c r="AV14" i="29" s="1"/>
  <c r="AU39" i="29"/>
  <c r="AV39" i="29" s="1"/>
  <c r="AU29" i="29"/>
  <c r="AV29" i="29" s="1"/>
  <c r="AU75" i="29"/>
  <c r="AW75" i="29" s="1"/>
  <c r="BE75" i="29"/>
  <c r="AU49" i="29"/>
  <c r="AW49" i="29" s="1"/>
  <c r="BE49" i="29"/>
  <c r="AU48" i="29"/>
  <c r="AV48" i="29" s="1"/>
  <c r="BE48" i="29"/>
  <c r="AU46" i="29"/>
  <c r="AV46" i="29" s="1"/>
  <c r="BE46" i="29"/>
  <c r="AU92" i="29"/>
  <c r="AW92" i="29" s="1"/>
  <c r="BE92" i="29"/>
  <c r="AU86" i="29"/>
  <c r="AW86" i="29" s="1"/>
  <c r="BE86" i="29"/>
  <c r="AU27" i="29"/>
  <c r="AW27" i="29" s="1"/>
  <c r="BE27" i="29"/>
  <c r="AU13" i="29"/>
  <c r="AW13" i="29" s="1"/>
  <c r="AU51" i="29"/>
  <c r="AU50" i="29"/>
  <c r="AV50" i="29" s="1"/>
  <c r="AU53" i="29"/>
  <c r="AV53" i="29" s="1"/>
  <c r="AU72" i="29"/>
  <c r="AW72" i="29" s="1"/>
  <c r="BE72" i="29"/>
  <c r="AU57" i="29"/>
  <c r="AW57" i="29" s="1"/>
  <c r="AU34" i="29"/>
  <c r="AW34" i="29" s="1"/>
  <c r="AU22" i="29"/>
  <c r="AV22" i="29" s="1"/>
  <c r="AU38" i="29"/>
  <c r="AV38" i="29" s="1"/>
  <c r="BE38" i="29"/>
  <c r="AU77" i="29"/>
  <c r="AV77" i="29" s="1"/>
  <c r="BE77" i="29"/>
  <c r="AU42" i="29"/>
  <c r="AW42" i="29" s="1"/>
  <c r="BE42" i="29"/>
  <c r="AU25" i="29"/>
  <c r="AW25" i="29" s="1"/>
  <c r="AU30" i="29"/>
  <c r="AV30" i="29" s="1"/>
  <c r="BE30" i="29"/>
  <c r="AW89" i="29"/>
  <c r="AY89" i="29" s="1"/>
  <c r="AY64" i="29"/>
  <c r="AU54" i="29"/>
  <c r="AV54" i="29" s="1"/>
  <c r="BE54" i="29"/>
  <c r="AU62" i="29"/>
  <c r="AW62" i="29" s="1"/>
  <c r="AU93" i="29"/>
  <c r="AW93" i="29" s="1"/>
  <c r="AU36" i="29"/>
  <c r="AW36" i="29" s="1"/>
  <c r="AU70" i="29"/>
  <c r="AV70" i="29" s="1"/>
  <c r="BE70" i="29"/>
  <c r="AU63" i="29"/>
  <c r="AV63" i="29" s="1"/>
  <c r="BE63" i="29"/>
  <c r="AU44" i="29"/>
  <c r="AV44" i="29" s="1"/>
  <c r="AU32" i="29"/>
  <c r="AW32" i="29" s="1"/>
  <c r="AU83" i="29"/>
  <c r="AW83" i="29" s="1"/>
  <c r="BE83" i="29"/>
  <c r="AW80" i="29"/>
  <c r="AY80" i="29" s="1"/>
  <c r="AU37" i="29"/>
  <c r="AV37" i="29" s="1"/>
  <c r="BE37" i="29"/>
  <c r="AU41" i="29"/>
  <c r="AV41" i="29" s="1"/>
  <c r="BE41" i="29"/>
  <c r="AU55" i="29"/>
  <c r="AU59" i="29"/>
  <c r="AW59" i="29" s="1"/>
  <c r="AU60" i="29"/>
  <c r="AW60" i="29" s="1"/>
  <c r="AU84" i="29"/>
  <c r="AV84" i="29" s="1"/>
  <c r="AU73" i="29"/>
  <c r="AU19" i="29"/>
  <c r="AW19" i="29" s="1"/>
  <c r="AU61" i="29"/>
  <c r="AV61" i="29" s="1"/>
  <c r="BE61" i="29"/>
  <c r="AU16" i="29"/>
  <c r="AW16" i="29" s="1"/>
  <c r="AU45" i="29"/>
  <c r="AW45" i="29" s="1"/>
  <c r="AU23" i="29"/>
  <c r="AV23" i="29" s="1"/>
  <c r="AU90" i="29"/>
  <c r="AV90" i="29" s="1"/>
  <c r="AU26" i="29"/>
  <c r="AW26" i="29" s="1"/>
  <c r="BE26" i="29"/>
  <c r="AU18" i="29"/>
  <c r="AW18" i="29" s="1"/>
  <c r="AU35" i="29"/>
  <c r="AV35" i="29" s="1"/>
  <c r="AU28" i="29"/>
  <c r="AV28" i="29" s="1"/>
  <c r="BE28" i="29"/>
  <c r="AU56" i="29"/>
  <c r="AV56" i="29" s="1"/>
  <c r="BE56" i="29"/>
  <c r="AU67" i="29"/>
  <c r="AV67" i="29" s="1"/>
  <c r="BE67" i="29"/>
  <c r="AU78" i="29"/>
  <c r="AW78" i="29" s="1"/>
  <c r="BE78" i="29"/>
  <c r="AU17" i="29"/>
  <c r="AW17" i="29" s="1"/>
  <c r="AU21" i="29"/>
  <c r="AT2" i="29"/>
  <c r="AU6" i="29"/>
  <c r="AD2" i="29"/>
  <c r="AV24" i="29"/>
  <c r="AW24" i="29"/>
  <c r="AV87" i="29"/>
  <c r="AW87" i="29"/>
  <c r="AV15" i="29"/>
  <c r="AW15" i="29"/>
  <c r="AW68" i="29"/>
  <c r="AV68" i="29"/>
  <c r="AW12" i="29"/>
  <c r="AV12" i="29"/>
  <c r="AW76" i="29"/>
  <c r="AV76" i="29"/>
  <c r="AW71" i="29"/>
  <c r="AV71" i="29"/>
  <c r="AW43" i="29"/>
  <c r="AV43" i="29"/>
  <c r="AW52" i="29"/>
  <c r="AV52" i="29"/>
  <c r="O1" i="29"/>
  <c r="Z1" i="29" s="1"/>
  <c r="AB1" i="29"/>
  <c r="AV58" i="29" l="1"/>
  <c r="AY58" i="29" s="1"/>
  <c r="AW44" i="29"/>
  <c r="AY44" i="29" s="1"/>
  <c r="AV10" i="29"/>
  <c r="AY10" i="29" s="1"/>
  <c r="AV86" i="29"/>
  <c r="AY86" i="29" s="1"/>
  <c r="AV42" i="29"/>
  <c r="AW41" i="29"/>
  <c r="AY41" i="29" s="1"/>
  <c r="BA85" i="29"/>
  <c r="AZ85" i="29"/>
  <c r="AW46" i="29"/>
  <c r="AY46" i="29" s="1"/>
  <c r="AW35" i="29"/>
  <c r="AY35" i="29" s="1"/>
  <c r="AV72" i="29"/>
  <c r="AY72" i="29" s="1"/>
  <c r="AW61" i="29"/>
  <c r="AY61" i="29" s="1"/>
  <c r="AW54" i="29"/>
  <c r="AY54" i="29" s="1"/>
  <c r="AW91" i="29"/>
  <c r="AY91" i="29" s="1"/>
  <c r="AV49" i="29"/>
  <c r="AY49" i="29" s="1"/>
  <c r="AV18" i="29"/>
  <c r="AY18" i="29" s="1"/>
  <c r="AY43" i="29"/>
  <c r="BH43" i="29" s="1"/>
  <c r="AV27" i="29"/>
  <c r="AY27" i="29" s="1"/>
  <c r="AW39" i="29"/>
  <c r="AY39" i="29" s="1"/>
  <c r="AV33" i="29"/>
  <c r="AY33" i="29" s="1"/>
  <c r="AV93" i="29"/>
  <c r="AY93" i="29" s="1"/>
  <c r="AY71" i="29"/>
  <c r="AZ71" i="29" s="1"/>
  <c r="AV81" i="29"/>
  <c r="AY81" i="29" s="1"/>
  <c r="AW84" i="29"/>
  <c r="AY84" i="29" s="1"/>
  <c r="AV17" i="29"/>
  <c r="AY17" i="29" s="1"/>
  <c r="AW23" i="29"/>
  <c r="AY23" i="29" s="1"/>
  <c r="AV62" i="29"/>
  <c r="AY62" i="29" s="1"/>
  <c r="AY76" i="29"/>
  <c r="BA76" i="29" s="1"/>
  <c r="AV16" i="29"/>
  <c r="AY16" i="29" s="1"/>
  <c r="AV32" i="29"/>
  <c r="AY32" i="29" s="1"/>
  <c r="AY87" i="29"/>
  <c r="AZ87" i="29" s="1"/>
  <c r="AW70" i="29"/>
  <c r="AY70" i="29" s="1"/>
  <c r="AV45" i="29"/>
  <c r="AY45" i="29" s="1"/>
  <c r="AW67" i="29"/>
  <c r="AY67" i="29" s="1"/>
  <c r="AV34" i="29"/>
  <c r="AY34" i="29" s="1"/>
  <c r="AW79" i="29"/>
  <c r="AY79" i="29" s="1"/>
  <c r="AW77" i="29"/>
  <c r="AY77" i="29" s="1"/>
  <c r="AW53" i="29"/>
  <c r="AY53" i="29" s="1"/>
  <c r="AW63" i="29"/>
  <c r="AY63" i="29" s="1"/>
  <c r="AW37" i="29"/>
  <c r="AY37" i="29" s="1"/>
  <c r="AW14" i="29"/>
  <c r="AY14" i="29" s="1"/>
  <c r="AW69" i="29"/>
  <c r="AY69" i="29" s="1"/>
  <c r="AV9" i="29"/>
  <c r="AY9" i="29" s="1"/>
  <c r="AW48" i="29"/>
  <c r="AY48" i="29" s="1"/>
  <c r="AY52" i="29"/>
  <c r="AZ52" i="29" s="1"/>
  <c r="AY68" i="29"/>
  <c r="AZ68" i="29" s="1"/>
  <c r="AW90" i="29"/>
  <c r="AY90" i="29" s="1"/>
  <c r="AV36" i="29"/>
  <c r="AY36" i="29" s="1"/>
  <c r="AW22" i="29"/>
  <c r="AY22" i="29" s="1"/>
  <c r="AY24" i="29"/>
  <c r="BH24" i="29" s="1"/>
  <c r="AV60" i="29"/>
  <c r="AY60" i="29" s="1"/>
  <c r="AW30" i="29"/>
  <c r="AY30" i="29" s="1"/>
  <c r="AW29" i="29"/>
  <c r="AY29" i="29" s="1"/>
  <c r="AY12" i="29"/>
  <c r="AZ12" i="29" s="1"/>
  <c r="AY15" i="29"/>
  <c r="AZ15" i="29" s="1"/>
  <c r="AW50" i="29"/>
  <c r="AY50" i="29" s="1"/>
  <c r="AV13" i="29"/>
  <c r="AY13" i="29" s="1"/>
  <c r="AW56" i="29"/>
  <c r="AY56" i="29" s="1"/>
  <c r="AV92" i="29"/>
  <c r="AY92" i="29" s="1"/>
  <c r="AZ80" i="29"/>
  <c r="BA80" i="29"/>
  <c r="BH80" i="29"/>
  <c r="BH64" i="29"/>
  <c r="AZ64" i="29"/>
  <c r="BA64" i="29"/>
  <c r="AV26" i="29"/>
  <c r="AY26" i="29" s="1"/>
  <c r="AW66" i="29"/>
  <c r="AY66" i="29" s="1"/>
  <c r="AV19" i="29"/>
  <c r="AY19" i="29" s="1"/>
  <c r="AV59" i="29"/>
  <c r="AY59" i="29" s="1"/>
  <c r="AY42" i="29"/>
  <c r="BA89" i="29"/>
  <c r="AZ89" i="29"/>
  <c r="BH89" i="29"/>
  <c r="AV75" i="29"/>
  <c r="AY75" i="29" s="1"/>
  <c r="AV11" i="29"/>
  <c r="AY11" i="29" s="1"/>
  <c r="AV20" i="29"/>
  <c r="AY20" i="29" s="1"/>
  <c r="AV25" i="29"/>
  <c r="AY25" i="29" s="1"/>
  <c r="AW73" i="29"/>
  <c r="AW55" i="29"/>
  <c r="AV83" i="29"/>
  <c r="AY83" i="29" s="1"/>
  <c r="AV57" i="29"/>
  <c r="AY57" i="29" s="1"/>
  <c r="AV51" i="29"/>
  <c r="AW28" i="29"/>
  <c r="AY28" i="29" s="1"/>
  <c r="BA7" i="29"/>
  <c r="AZ7" i="29"/>
  <c r="BH7" i="29"/>
  <c r="AV78" i="29"/>
  <c r="AY78" i="29" s="1"/>
  <c r="AV73" i="29"/>
  <c r="AV55" i="29"/>
  <c r="AW38" i="29"/>
  <c r="AY38" i="29" s="1"/>
  <c r="AW51" i="29"/>
  <c r="AV6" i="29"/>
  <c r="AU2" i="29"/>
  <c r="AV21" i="29"/>
  <c r="AW21" i="29"/>
  <c r="AT1" i="29"/>
  <c r="AW6" i="29"/>
  <c r="BG85" i="29" l="1"/>
  <c r="BI85" i="29" s="1"/>
  <c r="BJ85" i="29"/>
  <c r="BK85" i="29" s="1"/>
  <c r="BM85" i="29" s="1"/>
  <c r="BH71" i="29"/>
  <c r="BJ71" i="29" s="1"/>
  <c r="BK71" i="29" s="1"/>
  <c r="BM71" i="29" s="1"/>
  <c r="BA43" i="29"/>
  <c r="BA71" i="29"/>
  <c r="BG71" i="29" s="1"/>
  <c r="AZ43" i="29"/>
  <c r="BG89" i="29"/>
  <c r="BI89" i="29" s="1"/>
  <c r="AZ76" i="29"/>
  <c r="BG76" i="29" s="1"/>
  <c r="BH76" i="29"/>
  <c r="BA87" i="29"/>
  <c r="BG87" i="29" s="1"/>
  <c r="BL87" i="29" s="1"/>
  <c r="BH52" i="29"/>
  <c r="BJ52" i="29" s="1"/>
  <c r="BK52" i="29" s="1"/>
  <c r="BM52" i="29" s="1"/>
  <c r="BA52" i="29"/>
  <c r="BG52" i="29" s="1"/>
  <c r="BH87" i="29"/>
  <c r="BJ87" i="29" s="1"/>
  <c r="BK87" i="29" s="1"/>
  <c r="BN87" i="29" s="1"/>
  <c r="BJ7" i="29"/>
  <c r="BK7" i="29" s="1"/>
  <c r="BN7" i="29" s="1"/>
  <c r="BJ64" i="29"/>
  <c r="BK64" i="29" s="1"/>
  <c r="BN64" i="29" s="1"/>
  <c r="BH12" i="29"/>
  <c r="BJ12" i="29" s="1"/>
  <c r="BK12" i="29" s="1"/>
  <c r="BM12" i="29" s="1"/>
  <c r="BA68" i="29"/>
  <c r="BG68" i="29" s="1"/>
  <c r="AY73" i="29"/>
  <c r="BA73" i="29" s="1"/>
  <c r="BH68" i="29"/>
  <c r="BJ68" i="29" s="1"/>
  <c r="BK68" i="29" s="1"/>
  <c r="BJ89" i="29"/>
  <c r="BK89" i="29" s="1"/>
  <c r="BN89" i="29" s="1"/>
  <c r="AY21" i="29"/>
  <c r="AZ21" i="29" s="1"/>
  <c r="BA24" i="29"/>
  <c r="AY6" i="29"/>
  <c r="BH6" i="29" s="1"/>
  <c r="AZ24" i="29"/>
  <c r="BJ24" i="29" s="1"/>
  <c r="BK24" i="29" s="1"/>
  <c r="BN24" i="29" s="1"/>
  <c r="BA12" i="29"/>
  <c r="BG12" i="29" s="1"/>
  <c r="BA15" i="29"/>
  <c r="BG15" i="29" s="1"/>
  <c r="BH15" i="29"/>
  <c r="BJ15" i="29" s="1"/>
  <c r="BK15" i="29" s="1"/>
  <c r="BJ80" i="29"/>
  <c r="BK80" i="29" s="1"/>
  <c r="BN80" i="29" s="1"/>
  <c r="AY51" i="29"/>
  <c r="AZ51" i="29" s="1"/>
  <c r="BG80" i="29"/>
  <c r="BL80" i="29" s="1"/>
  <c r="AV2" i="29"/>
  <c r="AY55" i="29"/>
  <c r="AZ55" i="29" s="1"/>
  <c r="BG64" i="29"/>
  <c r="BL64" i="29" s="1"/>
  <c r="BA20" i="29"/>
  <c r="AZ20" i="29"/>
  <c r="BH20" i="29"/>
  <c r="AZ11" i="29"/>
  <c r="BH11" i="29"/>
  <c r="BA11" i="29"/>
  <c r="AZ83" i="29"/>
  <c r="BA83" i="29"/>
  <c r="BH83" i="29"/>
  <c r="BH38" i="29"/>
  <c r="AZ38" i="29"/>
  <c r="BA38" i="29"/>
  <c r="AZ57" i="29"/>
  <c r="BA57" i="29"/>
  <c r="BH57" i="29"/>
  <c r="AZ28" i="29"/>
  <c r="BA28" i="29"/>
  <c r="BH28" i="29"/>
  <c r="BA59" i="29"/>
  <c r="BH59" i="29"/>
  <c r="AZ59" i="29"/>
  <c r="AZ78" i="29"/>
  <c r="BH78" i="29"/>
  <c r="BA78" i="29"/>
  <c r="BA19" i="29"/>
  <c r="AZ19" i="29"/>
  <c r="BH19" i="29"/>
  <c r="AZ66" i="29"/>
  <c r="BH66" i="29"/>
  <c r="BA66" i="29"/>
  <c r="BA49" i="29"/>
  <c r="AZ49" i="29"/>
  <c r="BH49" i="29"/>
  <c r="AZ79" i="29"/>
  <c r="BA79" i="29"/>
  <c r="BH79" i="29"/>
  <c r="AZ26" i="29"/>
  <c r="BH26" i="29"/>
  <c r="BA26" i="29"/>
  <c r="BA77" i="29"/>
  <c r="AZ77" i="29"/>
  <c r="BH77" i="29"/>
  <c r="BH53" i="29"/>
  <c r="AZ53" i="29"/>
  <c r="BA53" i="29"/>
  <c r="BH91" i="29"/>
  <c r="AZ91" i="29"/>
  <c r="BA91" i="29"/>
  <c r="BA72" i="29"/>
  <c r="AZ72" i="29"/>
  <c r="BH72" i="29"/>
  <c r="BH37" i="29"/>
  <c r="AZ37" i="29"/>
  <c r="BA37" i="29"/>
  <c r="BH30" i="29"/>
  <c r="AZ30" i="29"/>
  <c r="BA30" i="29"/>
  <c r="BA35" i="29"/>
  <c r="AZ35" i="29"/>
  <c r="BH35" i="29"/>
  <c r="BH29" i="29"/>
  <c r="BA29" i="29"/>
  <c r="AZ29" i="29"/>
  <c r="BH34" i="29"/>
  <c r="AZ34" i="29"/>
  <c r="BA34" i="29"/>
  <c r="AZ22" i="29"/>
  <c r="BA22" i="29"/>
  <c r="BH22" i="29"/>
  <c r="BH63" i="29"/>
  <c r="BA63" i="29"/>
  <c r="AZ63" i="29"/>
  <c r="AZ50" i="29"/>
  <c r="BH50" i="29"/>
  <c r="BA50" i="29"/>
  <c r="AZ23" i="29"/>
  <c r="BA23" i="29"/>
  <c r="BH23" i="29"/>
  <c r="AZ48" i="29"/>
  <c r="BH48" i="29"/>
  <c r="BA48" i="29"/>
  <c r="BH70" i="29"/>
  <c r="BA70" i="29"/>
  <c r="AZ70" i="29"/>
  <c r="BA13" i="29"/>
  <c r="AZ13" i="29"/>
  <c r="BH13" i="29"/>
  <c r="AZ86" i="29"/>
  <c r="BH86" i="29"/>
  <c r="BA86" i="29"/>
  <c r="BH25" i="29"/>
  <c r="AZ25" i="29"/>
  <c r="BA25" i="29"/>
  <c r="BH62" i="29"/>
  <c r="AZ62" i="29"/>
  <c r="BA62" i="29"/>
  <c r="BA58" i="29"/>
  <c r="AZ58" i="29"/>
  <c r="BH58" i="29"/>
  <c r="BA16" i="29"/>
  <c r="BH16" i="29"/>
  <c r="AZ16" i="29"/>
  <c r="BA54" i="29"/>
  <c r="BH54" i="29"/>
  <c r="AZ54" i="29"/>
  <c r="BA17" i="29"/>
  <c r="AZ17" i="29"/>
  <c r="BH17" i="29"/>
  <c r="BH36" i="29"/>
  <c r="AZ36" i="29"/>
  <c r="BA36" i="29"/>
  <c r="BA32" i="29"/>
  <c r="BH32" i="29"/>
  <c r="AZ32" i="29"/>
  <c r="BA33" i="29"/>
  <c r="BH33" i="29"/>
  <c r="AZ33" i="29"/>
  <c r="BH93" i="29"/>
  <c r="BA93" i="29"/>
  <c r="AZ93" i="29"/>
  <c r="BH10" i="29"/>
  <c r="BA10" i="29"/>
  <c r="AZ10" i="29"/>
  <c r="BH90" i="29"/>
  <c r="AZ90" i="29"/>
  <c r="BA90" i="29"/>
  <c r="BA9" i="29"/>
  <c r="AZ9" i="29"/>
  <c r="BH9" i="29"/>
  <c r="BA75" i="29"/>
  <c r="AZ75" i="29"/>
  <c r="BH75" i="29"/>
  <c r="BH14" i="29"/>
  <c r="AZ14" i="29"/>
  <c r="BA14" i="29"/>
  <c r="BA61" i="29"/>
  <c r="BH61" i="29"/>
  <c r="AZ61" i="29"/>
  <c r="BH84" i="29"/>
  <c r="AZ84" i="29"/>
  <c r="BA84" i="29"/>
  <c r="BH69" i="29"/>
  <c r="BA69" i="29"/>
  <c r="AZ69" i="29"/>
  <c r="AZ46" i="29"/>
  <c r="BH46" i="29"/>
  <c r="BA46" i="29"/>
  <c r="AZ41" i="29"/>
  <c r="BH41" i="29"/>
  <c r="BA41" i="29"/>
  <c r="BH92" i="29"/>
  <c r="AZ92" i="29"/>
  <c r="BA92" i="29"/>
  <c r="AZ81" i="29"/>
  <c r="BA81" i="29"/>
  <c r="BH81" i="29"/>
  <c r="AZ27" i="29"/>
  <c r="BA27" i="29"/>
  <c r="BH27" i="29"/>
  <c r="BA67" i="29"/>
  <c r="BH67" i="29"/>
  <c r="AZ67" i="29"/>
  <c r="BA44" i="29"/>
  <c r="BH44" i="29"/>
  <c r="AZ44" i="29"/>
  <c r="AZ18" i="29"/>
  <c r="BH18" i="29"/>
  <c r="BA18" i="29"/>
  <c r="BA42" i="29"/>
  <c r="AZ42" i="29"/>
  <c r="BH42" i="29"/>
  <c r="BH45" i="29"/>
  <c r="BA45" i="29"/>
  <c r="AZ45" i="29"/>
  <c r="BG7" i="29"/>
  <c r="BH60" i="29"/>
  <c r="AZ60" i="29"/>
  <c r="BA60" i="29"/>
  <c r="AZ39" i="29"/>
  <c r="BA39" i="29"/>
  <c r="BH39" i="29"/>
  <c r="AZ56" i="29"/>
  <c r="BH56" i="29"/>
  <c r="BA56" i="29"/>
  <c r="AW2" i="29"/>
  <c r="BL85" i="29" l="1"/>
  <c r="BN85" i="29"/>
  <c r="BG43" i="29"/>
  <c r="BL43" i="29" s="1"/>
  <c r="BJ43" i="29"/>
  <c r="BK43" i="29" s="1"/>
  <c r="BN43" i="29" s="1"/>
  <c r="BL89" i="29"/>
  <c r="BJ84" i="29"/>
  <c r="BK84" i="29" s="1"/>
  <c r="BN84" i="29" s="1"/>
  <c r="BG45" i="29"/>
  <c r="BL45" i="29" s="1"/>
  <c r="BG92" i="29"/>
  <c r="BI92" i="29" s="1"/>
  <c r="BG39" i="29"/>
  <c r="BL39" i="29" s="1"/>
  <c r="BM64" i="29"/>
  <c r="BN71" i="29"/>
  <c r="BJ46" i="29"/>
  <c r="BK46" i="29" s="1"/>
  <c r="BM46" i="29" s="1"/>
  <c r="BM7" i="29"/>
  <c r="BJ29" i="29"/>
  <c r="BK29" i="29" s="1"/>
  <c r="BN29" i="29" s="1"/>
  <c r="BG54" i="29"/>
  <c r="BL54" i="29" s="1"/>
  <c r="BJ76" i="29"/>
  <c r="BK76" i="29" s="1"/>
  <c r="BN76" i="29" s="1"/>
  <c r="BL76" i="29"/>
  <c r="BI76" i="29"/>
  <c r="BI87" i="29"/>
  <c r="BG77" i="29"/>
  <c r="BL77" i="29" s="1"/>
  <c r="BM24" i="29"/>
  <c r="BH73" i="29"/>
  <c r="BJ67" i="29"/>
  <c r="BK67" i="29" s="1"/>
  <c r="BN67" i="29" s="1"/>
  <c r="BG46" i="29"/>
  <c r="BI46" i="29" s="1"/>
  <c r="BM87" i="29"/>
  <c r="BJ69" i="29"/>
  <c r="BK69" i="29" s="1"/>
  <c r="BN69" i="29" s="1"/>
  <c r="BG59" i="29"/>
  <c r="BL59" i="29" s="1"/>
  <c r="AZ6" i="29"/>
  <c r="BJ41" i="29"/>
  <c r="BK41" i="29" s="1"/>
  <c r="BN41" i="29" s="1"/>
  <c r="BG84" i="29"/>
  <c r="BI84" i="29" s="1"/>
  <c r="BJ14" i="29"/>
  <c r="BK14" i="29" s="1"/>
  <c r="BM14" i="29" s="1"/>
  <c r="BJ93" i="29"/>
  <c r="BK93" i="29" s="1"/>
  <c r="BN93" i="29" s="1"/>
  <c r="BG19" i="29"/>
  <c r="BL19" i="29" s="1"/>
  <c r="BA6" i="29"/>
  <c r="BA2" i="29" s="1"/>
  <c r="AZ73" i="29"/>
  <c r="BG73" i="29" s="1"/>
  <c r="BI80" i="29"/>
  <c r="BG27" i="29"/>
  <c r="BI27" i="29" s="1"/>
  <c r="BJ10" i="29"/>
  <c r="BK10" i="29" s="1"/>
  <c r="BN10" i="29" s="1"/>
  <c r="BG17" i="29"/>
  <c r="BL17" i="29" s="1"/>
  <c r="BN12" i="29"/>
  <c r="BG9" i="29"/>
  <c r="BL9" i="29" s="1"/>
  <c r="BG32" i="29"/>
  <c r="BI32" i="29" s="1"/>
  <c r="BG48" i="29"/>
  <c r="BL48" i="29" s="1"/>
  <c r="BM68" i="29"/>
  <c r="BN68" i="29"/>
  <c r="BJ20" i="29"/>
  <c r="BK20" i="29" s="1"/>
  <c r="BN20" i="29" s="1"/>
  <c r="BG56" i="29"/>
  <c r="BL56" i="29" s="1"/>
  <c r="BG36" i="29"/>
  <c r="BI36" i="29" s="1"/>
  <c r="BG20" i="29"/>
  <c r="BL20" i="29" s="1"/>
  <c r="BM89" i="29"/>
  <c r="BJ90" i="29"/>
  <c r="BK90" i="29" s="1"/>
  <c r="BN90" i="29" s="1"/>
  <c r="BG86" i="29"/>
  <c r="BI86" i="29" s="1"/>
  <c r="BG24" i="29"/>
  <c r="BI24" i="29" s="1"/>
  <c r="BJ58" i="29"/>
  <c r="BK58" i="29" s="1"/>
  <c r="BM58" i="29" s="1"/>
  <c r="BJ42" i="29"/>
  <c r="BK42" i="29" s="1"/>
  <c r="BM42" i="29" s="1"/>
  <c r="BJ92" i="29"/>
  <c r="BK92" i="29" s="1"/>
  <c r="BN92" i="29" s="1"/>
  <c r="BJ61" i="29"/>
  <c r="BK61" i="29" s="1"/>
  <c r="BM61" i="29" s="1"/>
  <c r="BJ86" i="29"/>
  <c r="BK86" i="29" s="1"/>
  <c r="BN86" i="29" s="1"/>
  <c r="BJ30" i="29"/>
  <c r="BK30" i="29" s="1"/>
  <c r="BN30" i="29" s="1"/>
  <c r="BH55" i="29"/>
  <c r="BJ55" i="29" s="1"/>
  <c r="BK55" i="29" s="1"/>
  <c r="BH21" i="29"/>
  <c r="BJ21" i="29" s="1"/>
  <c r="BK21" i="29" s="1"/>
  <c r="BA21" i="29"/>
  <c r="BG21" i="29" s="1"/>
  <c r="BJ78" i="29"/>
  <c r="BK78" i="29" s="1"/>
  <c r="BN78" i="29" s="1"/>
  <c r="BG34" i="29"/>
  <c r="BI34" i="29" s="1"/>
  <c r="BI64" i="29"/>
  <c r="BG44" i="29"/>
  <c r="BI44" i="29" s="1"/>
  <c r="BG42" i="29"/>
  <c r="BI42" i="29" s="1"/>
  <c r="BJ48" i="29"/>
  <c r="BK48" i="29" s="1"/>
  <c r="BM48" i="29" s="1"/>
  <c r="BJ77" i="29"/>
  <c r="BK77" i="29" s="1"/>
  <c r="BM77" i="29" s="1"/>
  <c r="BG79" i="29"/>
  <c r="BL79" i="29" s="1"/>
  <c r="BG66" i="29"/>
  <c r="BG57" i="29"/>
  <c r="BL57" i="29" s="1"/>
  <c r="BG14" i="29"/>
  <c r="BL14" i="29" s="1"/>
  <c r="BG18" i="29"/>
  <c r="BL18" i="29" s="1"/>
  <c r="BJ45" i="29"/>
  <c r="BK45" i="29" s="1"/>
  <c r="BM45" i="29" s="1"/>
  <c r="BG58" i="29"/>
  <c r="BI58" i="29" s="1"/>
  <c r="BG23" i="29"/>
  <c r="BI23" i="29" s="1"/>
  <c r="BA55" i="29"/>
  <c r="BG55" i="29" s="1"/>
  <c r="BI55" i="29" s="1"/>
  <c r="BJ38" i="29"/>
  <c r="BK38" i="29" s="1"/>
  <c r="BN38" i="29" s="1"/>
  <c r="BI15" i="29"/>
  <c r="BL15" i="29"/>
  <c r="BI12" i="29"/>
  <c r="BL12" i="29"/>
  <c r="BG62" i="29"/>
  <c r="BI62" i="29" s="1"/>
  <c r="BG35" i="29"/>
  <c r="BL35" i="29" s="1"/>
  <c r="BG53" i="29"/>
  <c r="BL53" i="29" s="1"/>
  <c r="BJ19" i="29"/>
  <c r="BK19" i="29" s="1"/>
  <c r="BM19" i="29" s="1"/>
  <c r="BJ59" i="29"/>
  <c r="BK59" i="29" s="1"/>
  <c r="BM59" i="29" s="1"/>
  <c r="BA51" i="29"/>
  <c r="BG51" i="29" s="1"/>
  <c r="BH51" i="29"/>
  <c r="BJ51" i="29" s="1"/>
  <c r="BK51" i="29" s="1"/>
  <c r="BM80" i="29"/>
  <c r="BJ9" i="29"/>
  <c r="BK9" i="29" s="1"/>
  <c r="BN9" i="29" s="1"/>
  <c r="BJ33" i="29"/>
  <c r="BK33" i="29" s="1"/>
  <c r="BM33" i="29" s="1"/>
  <c r="BG16" i="29"/>
  <c r="BI16" i="29" s="1"/>
  <c r="BJ50" i="29"/>
  <c r="BK50" i="29" s="1"/>
  <c r="BN50" i="29" s="1"/>
  <c r="BG63" i="29"/>
  <c r="BL63" i="29" s="1"/>
  <c r="BJ72" i="29"/>
  <c r="BK72" i="29" s="1"/>
  <c r="BM72" i="29" s="1"/>
  <c r="BJ66" i="29"/>
  <c r="BK66" i="29" s="1"/>
  <c r="BN66" i="29" s="1"/>
  <c r="BJ11" i="29"/>
  <c r="BK11" i="29" s="1"/>
  <c r="BM11" i="29" s="1"/>
  <c r="BG50" i="29"/>
  <c r="BL50" i="29" s="1"/>
  <c r="BN52" i="29"/>
  <c r="BG81" i="29"/>
  <c r="BL81" i="29" s="1"/>
  <c r="BJ39" i="29"/>
  <c r="BK39" i="29" s="1"/>
  <c r="BM39" i="29" s="1"/>
  <c r="BJ13" i="29"/>
  <c r="BK13" i="29" s="1"/>
  <c r="BN13" i="29" s="1"/>
  <c r="BG29" i="29"/>
  <c r="BL29" i="29" s="1"/>
  <c r="BG72" i="29"/>
  <c r="BL72" i="29" s="1"/>
  <c r="BJ18" i="29"/>
  <c r="BK18" i="29" s="1"/>
  <c r="BN18" i="29" s="1"/>
  <c r="BJ27" i="29"/>
  <c r="BK27" i="29" s="1"/>
  <c r="BN27" i="29" s="1"/>
  <c r="BJ32" i="29"/>
  <c r="BK32" i="29" s="1"/>
  <c r="BN32" i="29" s="1"/>
  <c r="BJ25" i="29"/>
  <c r="BK25" i="29" s="1"/>
  <c r="BN25" i="29" s="1"/>
  <c r="BJ22" i="29"/>
  <c r="BK22" i="29" s="1"/>
  <c r="BM22" i="29" s="1"/>
  <c r="BJ28" i="29"/>
  <c r="BK28" i="29" s="1"/>
  <c r="BN28" i="29" s="1"/>
  <c r="BJ83" i="29"/>
  <c r="BK83" i="29" s="1"/>
  <c r="BM83" i="29" s="1"/>
  <c r="BJ60" i="29"/>
  <c r="BK60" i="29" s="1"/>
  <c r="BN60" i="29" s="1"/>
  <c r="BG67" i="29"/>
  <c r="BL67" i="29" s="1"/>
  <c r="BG75" i="29"/>
  <c r="BL75" i="29" s="1"/>
  <c r="BG93" i="29"/>
  <c r="BL93" i="29" s="1"/>
  <c r="BJ17" i="29"/>
  <c r="BK17" i="29" s="1"/>
  <c r="BM17" i="29" s="1"/>
  <c r="BJ70" i="29"/>
  <c r="BK70" i="29" s="1"/>
  <c r="BM70" i="29" s="1"/>
  <c r="BJ23" i="29"/>
  <c r="BK23" i="29" s="1"/>
  <c r="BM23" i="29" s="1"/>
  <c r="BG22" i="29"/>
  <c r="BI22" i="29" s="1"/>
  <c r="BJ35" i="29"/>
  <c r="BK35" i="29" s="1"/>
  <c r="BN35" i="29" s="1"/>
  <c r="BG37" i="29"/>
  <c r="BL37" i="29" s="1"/>
  <c r="BJ91" i="29"/>
  <c r="BK91" i="29" s="1"/>
  <c r="BN91" i="29" s="1"/>
  <c r="BG49" i="29"/>
  <c r="BI49" i="29" s="1"/>
  <c r="BG83" i="29"/>
  <c r="BL83" i="29" s="1"/>
  <c r="BJ54" i="29"/>
  <c r="BK54" i="29" s="1"/>
  <c r="BG30" i="29"/>
  <c r="BJ57" i="29"/>
  <c r="BK57" i="29" s="1"/>
  <c r="BG90" i="29"/>
  <c r="BG25" i="29"/>
  <c r="BG13" i="29"/>
  <c r="BJ79" i="29"/>
  <c r="BK79" i="29" s="1"/>
  <c r="BG38" i="29"/>
  <c r="BJ44" i="29"/>
  <c r="BK44" i="29" s="1"/>
  <c r="BG10" i="29"/>
  <c r="BI71" i="29"/>
  <c r="BL71" i="29"/>
  <c r="BJ53" i="29"/>
  <c r="BK53" i="29" s="1"/>
  <c r="BJ49" i="29"/>
  <c r="BK49" i="29" s="1"/>
  <c r="BI68" i="29"/>
  <c r="BL68" i="29"/>
  <c r="BM15" i="29"/>
  <c r="BN15" i="29"/>
  <c r="BG41" i="29"/>
  <c r="BG33" i="29"/>
  <c r="BL7" i="29"/>
  <c r="BI7" i="29"/>
  <c r="BJ56" i="29"/>
  <c r="BK56" i="29" s="1"/>
  <c r="BJ81" i="29"/>
  <c r="BK81" i="29" s="1"/>
  <c r="BJ75" i="29"/>
  <c r="BK75" i="29" s="1"/>
  <c r="BJ63" i="29"/>
  <c r="BK63" i="29" s="1"/>
  <c r="BJ34" i="29"/>
  <c r="BK34" i="29" s="1"/>
  <c r="BG11" i="29"/>
  <c r="BG60" i="29"/>
  <c r="BG69" i="29"/>
  <c r="BG61" i="29"/>
  <c r="BI52" i="29"/>
  <c r="BL52" i="29"/>
  <c r="BJ16" i="29"/>
  <c r="BK16" i="29" s="1"/>
  <c r="BJ37" i="29"/>
  <c r="BK37" i="29" s="1"/>
  <c r="BG91" i="29"/>
  <c r="BG26" i="29"/>
  <c r="BG78" i="29"/>
  <c r="BG28" i="29"/>
  <c r="BJ36" i="29"/>
  <c r="BK36" i="29" s="1"/>
  <c r="BJ62" i="29"/>
  <c r="BK62" i="29" s="1"/>
  <c r="BG70" i="29"/>
  <c r="BJ26" i="29"/>
  <c r="BK26" i="29" s="1"/>
  <c r="AY2" i="29"/>
  <c r="BM43" i="29" l="1"/>
  <c r="BL92" i="29"/>
  <c r="BI43" i="29"/>
  <c r="BI39" i="29"/>
  <c r="BM84" i="29"/>
  <c r="AZ2" i="29"/>
  <c r="BL84" i="29"/>
  <c r="BL46" i="29"/>
  <c r="BM41" i="29"/>
  <c r="BI45" i="29"/>
  <c r="BN46" i="29"/>
  <c r="BN48" i="29"/>
  <c r="BL86" i="29"/>
  <c r="BL27" i="29"/>
  <c r="BI50" i="29"/>
  <c r="BL58" i="29"/>
  <c r="BM90" i="29"/>
  <c r="BJ6" i="29"/>
  <c r="BK6" i="29" s="1"/>
  <c r="BM6" i="29" s="1"/>
  <c r="BI75" i="29"/>
  <c r="BM9" i="29"/>
  <c r="BI59" i="29"/>
  <c r="BM76" i="29"/>
  <c r="BN77" i="29"/>
  <c r="BM67" i="29"/>
  <c r="BN14" i="29"/>
  <c r="BI54" i="29"/>
  <c r="BM29" i="29"/>
  <c r="BM27" i="29"/>
  <c r="BL66" i="29"/>
  <c r="BI66" i="29"/>
  <c r="BM32" i="29"/>
  <c r="BI48" i="29"/>
  <c r="BM69" i="29"/>
  <c r="BM60" i="29"/>
  <c r="BM18" i="29"/>
  <c r="BL42" i="29"/>
  <c r="BM30" i="29"/>
  <c r="BM86" i="29"/>
  <c r="BM35" i="29"/>
  <c r="BJ73" i="29"/>
  <c r="BK73" i="29" s="1"/>
  <c r="BN73" i="29" s="1"/>
  <c r="BM66" i="29"/>
  <c r="BI77" i="29"/>
  <c r="BI72" i="29"/>
  <c r="BI18" i="29"/>
  <c r="BN58" i="29"/>
  <c r="BL32" i="29"/>
  <c r="BI19" i="29"/>
  <c r="BL24" i="29"/>
  <c r="BM10" i="29"/>
  <c r="BG6" i="29"/>
  <c r="BG2" i="29" s="1"/>
  <c r="BI9" i="29"/>
  <c r="BL36" i="29"/>
  <c r="BM93" i="29"/>
  <c r="BI57" i="29"/>
  <c r="BI37" i="29"/>
  <c r="BN45" i="29"/>
  <c r="BL23" i="29"/>
  <c r="BL34" i="29"/>
  <c r="BN33" i="29"/>
  <c r="BN23" i="29"/>
  <c r="BI79" i="29"/>
  <c r="BN42" i="29"/>
  <c r="BI83" i="29"/>
  <c r="BI17" i="29"/>
  <c r="BM92" i="29"/>
  <c r="BN61" i="29"/>
  <c r="BM20" i="29"/>
  <c r="BN22" i="29"/>
  <c r="BL62" i="29"/>
  <c r="BN55" i="29"/>
  <c r="BM55" i="29"/>
  <c r="BI20" i="29"/>
  <c r="BL16" i="29"/>
  <c r="BL55" i="29"/>
  <c r="BM78" i="29"/>
  <c r="BN59" i="29"/>
  <c r="BN70" i="29"/>
  <c r="BN19" i="29"/>
  <c r="BM13" i="29"/>
  <c r="BL49" i="29"/>
  <c r="BI56" i="29"/>
  <c r="BN39" i="29"/>
  <c r="BI63" i="29"/>
  <c r="BL44" i="29"/>
  <c r="BN83" i="29"/>
  <c r="BM50" i="29"/>
  <c r="BM38" i="29"/>
  <c r="BI67" i="29"/>
  <c r="BI14" i="29"/>
  <c r="BN11" i="29"/>
  <c r="BI29" i="29"/>
  <c r="BN72" i="29"/>
  <c r="BL22" i="29"/>
  <c r="BM28" i="29"/>
  <c r="BM51" i="29"/>
  <c r="BN51" i="29"/>
  <c r="BI35" i="29"/>
  <c r="BN17" i="29"/>
  <c r="BI81" i="29"/>
  <c r="BM25" i="29"/>
  <c r="BM91" i="29"/>
  <c r="BI93" i="29"/>
  <c r="BI53" i="29"/>
  <c r="BL61" i="29"/>
  <c r="BI61" i="29"/>
  <c r="BL13" i="29"/>
  <c r="BI13" i="29"/>
  <c r="BL69" i="29"/>
  <c r="BI69" i="29"/>
  <c r="BL25" i="29"/>
  <c r="BI25" i="29"/>
  <c r="BN44" i="29"/>
  <c r="BM44" i="29"/>
  <c r="BL11" i="29"/>
  <c r="BI11" i="29"/>
  <c r="BN49" i="29"/>
  <c r="BM49" i="29"/>
  <c r="BL21" i="29"/>
  <c r="BI21" i="29"/>
  <c r="BN62" i="29"/>
  <c r="BM62" i="29"/>
  <c r="BL28" i="29"/>
  <c r="BI28" i="29"/>
  <c r="BM53" i="29"/>
  <c r="BN53" i="29"/>
  <c r="BL30" i="29"/>
  <c r="BI30" i="29"/>
  <c r="BN21" i="29"/>
  <c r="BM21" i="29"/>
  <c r="BN56" i="29"/>
  <c r="BM56" i="29"/>
  <c r="BL70" i="29"/>
  <c r="BI70" i="29"/>
  <c r="BM63" i="29"/>
  <c r="BN63" i="29"/>
  <c r="BN57" i="29"/>
  <c r="BM57" i="29"/>
  <c r="BM37" i="29"/>
  <c r="BN37" i="29"/>
  <c r="BL41" i="29"/>
  <c r="BI41" i="29"/>
  <c r="BL90" i="29"/>
  <c r="BI90" i="29"/>
  <c r="BM26" i="29"/>
  <c r="BN26" i="29"/>
  <c r="BL73" i="29"/>
  <c r="BI73" i="29"/>
  <c r="BL78" i="29"/>
  <c r="BI78" i="29"/>
  <c r="BM75" i="29"/>
  <c r="BN75" i="29"/>
  <c r="BL38" i="29"/>
  <c r="BI38" i="29"/>
  <c r="BN34" i="29"/>
  <c r="BM34" i="29"/>
  <c r="BL91" i="29"/>
  <c r="BI91" i="29"/>
  <c r="BL33" i="29"/>
  <c r="BI33" i="29"/>
  <c r="BL10" i="29"/>
  <c r="BI10" i="29"/>
  <c r="BM54" i="29"/>
  <c r="BN54" i="29"/>
  <c r="BL60" i="29"/>
  <c r="BI60" i="29"/>
  <c r="BN36" i="29"/>
  <c r="BM36" i="29"/>
  <c r="BM16" i="29"/>
  <c r="BN16" i="29"/>
  <c r="BL51" i="29"/>
  <c r="BI51" i="29"/>
  <c r="BI26" i="29"/>
  <c r="BL26" i="29"/>
  <c r="BN81" i="29"/>
  <c r="BM81" i="29"/>
  <c r="BN79" i="29"/>
  <c r="BM79" i="29"/>
  <c r="BN6" i="29" l="1"/>
  <c r="BM73" i="29"/>
  <c r="BI6" i="29"/>
  <c r="BL6" i="29"/>
  <c r="BG3" i="29"/>
  <c r="BH2" i="29"/>
  <c r="BI2" i="29"/>
  <c r="BE2" i="29"/>
  <c r="BL96" i="29" l="1"/>
  <c r="BJ2" i="29"/>
  <c r="BH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Soundara Raja</author>
  </authors>
  <commentList>
    <comment ref="K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Soundara Raja:</t>
        </r>
        <r>
          <rPr>
            <sz val="9"/>
            <color indexed="81"/>
            <rFont val="Tahoma"/>
            <family val="2"/>
          </rPr>
          <t xml:space="preserve">
A - ANALYST
C - CALLER/CREDENTIAL
D - CODER
M - MANAGEMENT
S - TRANSACTION
E - CREDENTIAL
I -  DIGITAL
</t>
        </r>
      </text>
    </comment>
  </commentList>
</comments>
</file>

<file path=xl/sharedStrings.xml><?xml version="1.0" encoding="utf-8"?>
<sst xmlns="http://schemas.openxmlformats.org/spreadsheetml/2006/main" count="1645" uniqueCount="423">
  <si>
    <t>AE2</t>
  </si>
  <si>
    <t>AE3</t>
  </si>
  <si>
    <t>AE4</t>
  </si>
  <si>
    <t>AE5</t>
  </si>
  <si>
    <t>AE6</t>
  </si>
  <si>
    <t>E1</t>
  </si>
  <si>
    <t>E2</t>
  </si>
  <si>
    <t>SE1</t>
  </si>
  <si>
    <t>Level / Rating</t>
  </si>
  <si>
    <t>AE1</t>
  </si>
  <si>
    <t>E3</t>
  </si>
  <si>
    <t>E4</t>
  </si>
  <si>
    <t>SE2</t>
  </si>
  <si>
    <t>SE3</t>
  </si>
  <si>
    <t>Revised overall CTC</t>
  </si>
  <si>
    <t>Before vs After revision</t>
  </si>
  <si>
    <t>Appraisal %</t>
  </si>
  <si>
    <t>Total Gross</t>
  </si>
  <si>
    <t>In dollars</t>
  </si>
  <si>
    <t>Employee ID</t>
  </si>
  <si>
    <t>Depart</t>
  </si>
  <si>
    <t>STATUS</t>
  </si>
  <si>
    <t>Annual Appraisal Review (E/NE)</t>
  </si>
  <si>
    <t>Category</t>
  </si>
  <si>
    <t>Prefix</t>
  </si>
  <si>
    <t>Employee Name</t>
  </si>
  <si>
    <t>DOJ</t>
  </si>
  <si>
    <t>Sai Exp</t>
  </si>
  <si>
    <t>Earlie.Exp</t>
  </si>
  <si>
    <t>Sub Band  - DOMAIN</t>
  </si>
  <si>
    <t>Role</t>
  </si>
  <si>
    <t>Curr Design</t>
  </si>
  <si>
    <t>Designation</t>
  </si>
  <si>
    <t>Current CTC</t>
  </si>
  <si>
    <t>Basic</t>
  </si>
  <si>
    <t>HRA</t>
  </si>
  <si>
    <t>Medical</t>
  </si>
  <si>
    <t xml:space="preserve">Special Allowance </t>
  </si>
  <si>
    <t>Current Gross</t>
  </si>
  <si>
    <t xml:space="preserve">PF-Co Share </t>
  </si>
  <si>
    <t xml:space="preserve">ESIC -Co. Share </t>
  </si>
  <si>
    <t>Labour Welfare</t>
  </si>
  <si>
    <t xml:space="preserve">Group Medical </t>
  </si>
  <si>
    <t>Gratuity</t>
  </si>
  <si>
    <t>Reimbursement</t>
  </si>
  <si>
    <t>Annul Bonus</t>
  </si>
  <si>
    <t xml:space="preserve">Current  CTC </t>
  </si>
  <si>
    <t xml:space="preserve">ESIC -Emp. Share </t>
  </si>
  <si>
    <t>Diff</t>
  </si>
  <si>
    <t>Current NTH</t>
  </si>
  <si>
    <t>Current NTH Monthly</t>
  </si>
  <si>
    <t>Appraiser</t>
  </si>
  <si>
    <t>Reviewer</t>
  </si>
  <si>
    <t>Self Rating</t>
  </si>
  <si>
    <t>Reveiwer</t>
  </si>
  <si>
    <t>Management</t>
  </si>
  <si>
    <t>Incr</t>
  </si>
  <si>
    <t>Pro rata</t>
  </si>
  <si>
    <t>Adj</t>
  </si>
  <si>
    <t>Increment %</t>
  </si>
  <si>
    <t>Promotion (Y/N)</t>
  </si>
  <si>
    <t>New Designaton</t>
  </si>
  <si>
    <t>Promotion Verify</t>
  </si>
  <si>
    <t>Revised CTC</t>
  </si>
  <si>
    <t>Revised Gross</t>
  </si>
  <si>
    <t>Co.PF</t>
  </si>
  <si>
    <t>Annual Bonus</t>
  </si>
  <si>
    <t xml:space="preserve">Revised CTC </t>
  </si>
  <si>
    <t xml:space="preserve"> Diff</t>
  </si>
  <si>
    <t>Revised NTH</t>
  </si>
  <si>
    <t>Revised NTH Monthly</t>
  </si>
  <si>
    <t>Abs Increase-CTC</t>
  </si>
  <si>
    <t>Abs Increase-NTH Monthly</t>
  </si>
  <si>
    <t>Difference in TH</t>
  </si>
  <si>
    <t>2021 Promotion</t>
  </si>
  <si>
    <t xml:space="preserve">2021 Management  Rating </t>
  </si>
  <si>
    <t>2021 - Oct Eligible ( Revsion)</t>
  </si>
  <si>
    <t xml:space="preserve">October Review 2022 - Eligible </t>
  </si>
  <si>
    <t>HR Remarks</t>
  </si>
  <si>
    <t>Current CTC vs Revised CTC</t>
  </si>
  <si>
    <t>Active</t>
  </si>
  <si>
    <t>Eligible</t>
  </si>
  <si>
    <t>Exp</t>
  </si>
  <si>
    <t>NA</t>
  </si>
  <si>
    <t>Yes</t>
  </si>
  <si>
    <t>No</t>
  </si>
  <si>
    <t>Loyalty</t>
  </si>
  <si>
    <t>M</t>
  </si>
  <si>
    <t>Imran Khan</t>
  </si>
  <si>
    <t>Level</t>
  </si>
  <si>
    <t>Deferred Component</t>
  </si>
  <si>
    <t>Effective From 1July</t>
  </si>
  <si>
    <t xml:space="preserve">Effective From 1Apr </t>
  </si>
  <si>
    <t>Reimb</t>
  </si>
  <si>
    <t>Mr</t>
  </si>
  <si>
    <t>Ms</t>
  </si>
  <si>
    <t xml:space="preserve">Bonus </t>
  </si>
  <si>
    <t>AC1</t>
  </si>
  <si>
    <t>AC2</t>
  </si>
  <si>
    <t>AC3</t>
  </si>
  <si>
    <t>AC4</t>
  </si>
  <si>
    <t>AC5</t>
  </si>
  <si>
    <t>C1</t>
  </si>
  <si>
    <t>C2</t>
  </si>
  <si>
    <t>C3</t>
  </si>
  <si>
    <t>C4</t>
  </si>
  <si>
    <t>SC1</t>
  </si>
  <si>
    <t>SC2</t>
  </si>
  <si>
    <t>SC3</t>
  </si>
  <si>
    <t>SAC1</t>
  </si>
  <si>
    <t>SAC2</t>
  </si>
  <si>
    <t>SAC3</t>
  </si>
  <si>
    <t>SAC4</t>
  </si>
  <si>
    <t>SAC5</t>
  </si>
  <si>
    <t>SAC6</t>
  </si>
  <si>
    <t>SAC7</t>
  </si>
  <si>
    <t>SAC8</t>
  </si>
  <si>
    <t>PUNE</t>
  </si>
  <si>
    <t>I00859</t>
  </si>
  <si>
    <t>SST</t>
  </si>
  <si>
    <t>Deepti Pradeep Kashid</t>
  </si>
  <si>
    <t>I00869</t>
  </si>
  <si>
    <t>Darshan Thakare</t>
  </si>
  <si>
    <t>I00891</t>
  </si>
  <si>
    <t>Anirudha Anantarao Pawar</t>
  </si>
  <si>
    <t>I00726</t>
  </si>
  <si>
    <t>Payal Gaikwad</t>
  </si>
  <si>
    <t>Vishakha Deshpande</t>
  </si>
  <si>
    <t>Chirag Modi</t>
  </si>
  <si>
    <t>Mangesh Pawar</t>
  </si>
  <si>
    <t>I00127</t>
  </si>
  <si>
    <t>I00129</t>
  </si>
  <si>
    <t>I00135</t>
  </si>
  <si>
    <t>I00232</t>
  </si>
  <si>
    <t>I00437</t>
  </si>
  <si>
    <t>I00544</t>
  </si>
  <si>
    <t>I00592</t>
  </si>
  <si>
    <t>I00639</t>
  </si>
  <si>
    <t>I00661</t>
  </si>
  <si>
    <t>I00693</t>
  </si>
  <si>
    <t>I00705</t>
  </si>
  <si>
    <t>I00740</t>
  </si>
  <si>
    <t>I00741</t>
  </si>
  <si>
    <t>I00747</t>
  </si>
  <si>
    <t>I00749</t>
  </si>
  <si>
    <t>I00751</t>
  </si>
  <si>
    <t>I00756</t>
  </si>
  <si>
    <t>I00758</t>
  </si>
  <si>
    <t>I00765</t>
  </si>
  <si>
    <t>I00769</t>
  </si>
  <si>
    <t>I00777</t>
  </si>
  <si>
    <t>I00783</t>
  </si>
  <si>
    <t>I00784</t>
  </si>
  <si>
    <t>I00786</t>
  </si>
  <si>
    <t>I00787</t>
  </si>
  <si>
    <t>I00788</t>
  </si>
  <si>
    <t>I00790</t>
  </si>
  <si>
    <t>I00792</t>
  </si>
  <si>
    <t>I00798</t>
  </si>
  <si>
    <t>I00799</t>
  </si>
  <si>
    <t>I00804</t>
  </si>
  <si>
    <t>I00806</t>
  </si>
  <si>
    <t>I00818</t>
  </si>
  <si>
    <t>I00820</t>
  </si>
  <si>
    <t>I00823</t>
  </si>
  <si>
    <t>I00830</t>
  </si>
  <si>
    <t>I00833</t>
  </si>
  <si>
    <t>I00843</t>
  </si>
  <si>
    <t>I00852</t>
  </si>
  <si>
    <t>I00866</t>
  </si>
  <si>
    <t>I00876</t>
  </si>
  <si>
    <t>I00880</t>
  </si>
  <si>
    <t>I00886</t>
  </si>
  <si>
    <t>I00892</t>
  </si>
  <si>
    <t>I00893</t>
  </si>
  <si>
    <t>I00896</t>
  </si>
  <si>
    <t>I00897</t>
  </si>
  <si>
    <t>I00902</t>
  </si>
  <si>
    <t>I00910</t>
  </si>
  <si>
    <t>I00913</t>
  </si>
  <si>
    <t>I00914</t>
  </si>
  <si>
    <t>I00921</t>
  </si>
  <si>
    <t>I00922</t>
  </si>
  <si>
    <t>I00925</t>
  </si>
  <si>
    <t>I00927</t>
  </si>
  <si>
    <t>I00931</t>
  </si>
  <si>
    <t>I00932</t>
  </si>
  <si>
    <t>I00934</t>
  </si>
  <si>
    <t>I00941</t>
  </si>
  <si>
    <t>I00944</t>
  </si>
  <si>
    <t>I00950</t>
  </si>
  <si>
    <t>I00952</t>
  </si>
  <si>
    <t>I00954</t>
  </si>
  <si>
    <t>I00955</t>
  </si>
  <si>
    <t>I00956</t>
  </si>
  <si>
    <t>I00957</t>
  </si>
  <si>
    <t>I00959</t>
  </si>
  <si>
    <t>I00961</t>
  </si>
  <si>
    <t>I00963</t>
  </si>
  <si>
    <t>I00965</t>
  </si>
  <si>
    <t>I00967</t>
  </si>
  <si>
    <t>I00969</t>
  </si>
  <si>
    <t>I00970</t>
  </si>
  <si>
    <t>I00972</t>
  </si>
  <si>
    <t>I00973</t>
  </si>
  <si>
    <t>I00974</t>
  </si>
  <si>
    <t>I00980</t>
  </si>
  <si>
    <t>I00981</t>
  </si>
  <si>
    <t>I00982</t>
  </si>
  <si>
    <t>I00986</t>
  </si>
  <si>
    <t>I00987</t>
  </si>
  <si>
    <t>I00988</t>
  </si>
  <si>
    <t>I00989</t>
  </si>
  <si>
    <t>I00990</t>
  </si>
  <si>
    <t>I00991</t>
  </si>
  <si>
    <t>Vishakha Vivek Deshpande</t>
  </si>
  <si>
    <t>Kalyan Rao Baptla</t>
  </si>
  <si>
    <t>Saikrishna Kumar</t>
  </si>
  <si>
    <t>Nitin Khachane</t>
  </si>
  <si>
    <t>MURALI KRISHNA SUNKU</t>
  </si>
  <si>
    <t>MALLIKARJUN  PUTTA</t>
  </si>
  <si>
    <t>MUKUND VITTHAL DUGAM</t>
  </si>
  <si>
    <t>PRABHAWATI JADHAV</t>
  </si>
  <si>
    <t>MAHESH WABLE</t>
  </si>
  <si>
    <t>SHRIYA ANAND</t>
  </si>
  <si>
    <t>Pranav Kachhi</t>
  </si>
  <si>
    <t>Vishwajeet Bhosale</t>
  </si>
  <si>
    <t>Arvind Kale</t>
  </si>
  <si>
    <t>Nageswara Rao</t>
  </si>
  <si>
    <t>Sairam Ragi</t>
  </si>
  <si>
    <t>Harshal Chaudhari</t>
  </si>
  <si>
    <t>Sachin Goni</t>
  </si>
  <si>
    <t>Pranoti Darekar</t>
  </si>
  <si>
    <t>Amar Bapurao Yelmar</t>
  </si>
  <si>
    <t>Mayur Jagtap</t>
  </si>
  <si>
    <t>SUPRIYA JAYANT DIXIT</t>
  </si>
  <si>
    <t>Jaydatt Mohite</t>
  </si>
  <si>
    <t>Kiran Kushwaha</t>
  </si>
  <si>
    <t>Suresh Kumar</t>
  </si>
  <si>
    <t>Iswa Tirupati Rao</t>
  </si>
  <si>
    <t>Raavi Sai Bindu</t>
  </si>
  <si>
    <t>Akash Dharam</t>
  </si>
  <si>
    <t>Swapnil Barkul</t>
  </si>
  <si>
    <t>Aditya Parkhe</t>
  </si>
  <si>
    <t>Abhijeet Kadlag</t>
  </si>
  <si>
    <t>Supriya Maity</t>
  </si>
  <si>
    <t>Shraddha Sunil Adhav</t>
  </si>
  <si>
    <t>Sandeep Popatrao Bhakare</t>
  </si>
  <si>
    <t>Keshav Prasad Kori</t>
  </si>
  <si>
    <t>Sagar Balaso Ekal</t>
  </si>
  <si>
    <t>Sumaiyyah Saiyyadbasha Manure</t>
  </si>
  <si>
    <t>Namdev Ramkrishna Vhaval</t>
  </si>
  <si>
    <t>Amit Kumar Singh</t>
  </si>
  <si>
    <t>Saavi Khawale</t>
  </si>
  <si>
    <t>C S BAYAPA REDDY</t>
  </si>
  <si>
    <t>Sangeetha S</t>
  </si>
  <si>
    <t>Sudhagar Natarajan</t>
  </si>
  <si>
    <t>Avijit Bera</t>
  </si>
  <si>
    <t>Akshay Avhad</t>
  </si>
  <si>
    <t>Neha Dilip Gandhi</t>
  </si>
  <si>
    <t>Abhishek Bhavsar</t>
  </si>
  <si>
    <t>Archana Swain</t>
  </si>
  <si>
    <t>Rutwik Pawar</t>
  </si>
  <si>
    <t>Pramod Turakane</t>
  </si>
  <si>
    <t>Ekta Sur</t>
  </si>
  <si>
    <t>Abhishek Barhate</t>
  </si>
  <si>
    <t>Umashankar Somasekar</t>
  </si>
  <si>
    <t>Shabdali Charudatta Deshpande</t>
  </si>
  <si>
    <t>Prathamesh Prafull Deshpande</t>
  </si>
  <si>
    <t>Sayali Tondekar</t>
  </si>
  <si>
    <t>Ravikiran Chinta</t>
  </si>
  <si>
    <t>Amruta Rupesh Kambale</t>
  </si>
  <si>
    <t>Payal Sanjiv Gaikwad</t>
  </si>
  <si>
    <t>Pratap Vaijnath Bachate</t>
  </si>
  <si>
    <t>Vaidehi Arun Kaklij</t>
  </si>
  <si>
    <t>Saikumar Adepollu</t>
  </si>
  <si>
    <t>Bhavesh Narkhede</t>
  </si>
  <si>
    <t>Ravula Venkatesh</t>
  </si>
  <si>
    <t>Hasari Babaji Chakkar</t>
  </si>
  <si>
    <t>Megha Sachin Waghmare</t>
  </si>
  <si>
    <t>Gaurav Kantibhai Patel</t>
  </si>
  <si>
    <t>Vijayalakshmi S</t>
  </si>
  <si>
    <t>Sourabh Pradipkumar Patil</t>
  </si>
  <si>
    <t>Jasminebanu S Tased</t>
  </si>
  <si>
    <t>Poojaraj Aher</t>
  </si>
  <si>
    <t>Akash Kumar</t>
  </si>
  <si>
    <t>Ashutosh Gupta</t>
  </si>
  <si>
    <t>Purva Makhamale</t>
  </si>
  <si>
    <t>Santosh Kumar Veladi</t>
  </si>
  <si>
    <t>Amit Salunkhe</t>
  </si>
  <si>
    <t>Sharif Yusuf Shaikh</t>
  </si>
  <si>
    <t>Aniruddha Bhosale</t>
  </si>
  <si>
    <t xml:space="preserve">Siva Sukumar Reddy Poreddy </t>
  </si>
  <si>
    <t>Nikunj Sheladiya</t>
  </si>
  <si>
    <t>Kaustav Ganguly</t>
  </si>
  <si>
    <t>Tejashree Vijaysinh Ghatage</t>
  </si>
  <si>
    <t>Dhanshri Vijayrav Rangankar</t>
  </si>
  <si>
    <t>Pankaj Gosavi</t>
  </si>
  <si>
    <t>Not Eligible</t>
  </si>
  <si>
    <t>MS</t>
  </si>
  <si>
    <t>Dhanashree Karhale</t>
  </si>
  <si>
    <t>10 MAY 2022</t>
  </si>
  <si>
    <t>24 JUL 2023</t>
  </si>
  <si>
    <t>01 FEB 2023</t>
  </si>
  <si>
    <t>23 SEP 2019</t>
  </si>
  <si>
    <t>18 MAY 2023</t>
  </si>
  <si>
    <t>23 FEB 2004</t>
  </si>
  <si>
    <t>08 SEP 2004</t>
  </si>
  <si>
    <t>24 APR 2006</t>
  </si>
  <si>
    <t>12 APR 2010</t>
  </si>
  <si>
    <t>20 JUN 2013</t>
  </si>
  <si>
    <t>20 FEB 2012</t>
  </si>
  <si>
    <t>12 OCT 2020</t>
  </si>
  <si>
    <t>19 AUG 2020</t>
  </si>
  <si>
    <t>05 AUG 2019</t>
  </si>
  <si>
    <t>23 FEB 2015</t>
  </si>
  <si>
    <t>20 SEP 2021</t>
  </si>
  <si>
    <t>30 MAY 2016</t>
  </si>
  <si>
    <t>02 AUG 2021</t>
  </si>
  <si>
    <t>05 MAR 2018</t>
  </si>
  <si>
    <t>12 DEC 2022</t>
  </si>
  <si>
    <t>27 OCT 2020</t>
  </si>
  <si>
    <t>01 MAR 2021</t>
  </si>
  <si>
    <t>28 JUL 2021</t>
  </si>
  <si>
    <t>08 MAR 2023</t>
  </si>
  <si>
    <t>18 OCT 2021</t>
  </si>
  <si>
    <t>14 NOV 2022</t>
  </si>
  <si>
    <t>16 OCT 2023</t>
  </si>
  <si>
    <t>08 DEC 2020</t>
  </si>
  <si>
    <t>04 APR 2023</t>
  </si>
  <si>
    <t>01 APR 2021</t>
  </si>
  <si>
    <t>04 JAN 2021</t>
  </si>
  <si>
    <t>19 SEP 2022</t>
  </si>
  <si>
    <t>23 MAR 2023</t>
  </si>
  <si>
    <t>17 APR 2023</t>
  </si>
  <si>
    <t>04 OCT 2022</t>
  </si>
  <si>
    <t>02 MAY 2023</t>
  </si>
  <si>
    <t>29 MAY 2023</t>
  </si>
  <si>
    <t>05 MAY 2021</t>
  </si>
  <si>
    <t>01 NOV 2021</t>
  </si>
  <si>
    <t>26 APR 2021</t>
  </si>
  <si>
    <t>01 MAR 2022</t>
  </si>
  <si>
    <t>01 DEC 2021</t>
  </si>
  <si>
    <t>09 JAN 2023</t>
  </si>
  <si>
    <t>14 MAR 2002</t>
  </si>
  <si>
    <t>19 MAY 2021</t>
  </si>
  <si>
    <t>10 MAY 2021</t>
  </si>
  <si>
    <t>03 MAY 2021</t>
  </si>
  <si>
    <t>01 FEB 2022</t>
  </si>
  <si>
    <t>09 NOV 2022</t>
  </si>
  <si>
    <t>06 JUL 2022</t>
  </si>
  <si>
    <t>22 DEC 2022</t>
  </si>
  <si>
    <t>04 SEP 2023</t>
  </si>
  <si>
    <t>06 OCT 2020</t>
  </si>
  <si>
    <t>01 MAR 2023</t>
  </si>
  <si>
    <t>12 FEB 2021</t>
  </si>
  <si>
    <t>10 OCT 2022</t>
  </si>
  <si>
    <t>02 JUN 2022</t>
  </si>
  <si>
    <t>02 AUG 2023</t>
  </si>
  <si>
    <t>19 APR 2022</t>
  </si>
  <si>
    <t>10 APR 2023</t>
  </si>
  <si>
    <t>01 SEP 2022</t>
  </si>
  <si>
    <t>03 APR 2023</t>
  </si>
  <si>
    <t>11 AUG 2022</t>
  </si>
  <si>
    <t>31 JAN 2023</t>
  </si>
  <si>
    <t>05 JUL 2021</t>
  </si>
  <si>
    <t>01 SEP 2023</t>
  </si>
  <si>
    <t>10 JUL 2023</t>
  </si>
  <si>
    <t>23 OCT 2023</t>
  </si>
  <si>
    <t>20 FEB 2023</t>
  </si>
  <si>
    <t>03 SEP 2021</t>
  </si>
  <si>
    <t>05 JUN 2023</t>
  </si>
  <si>
    <t>06 OCT 2023</t>
  </si>
  <si>
    <t>25 SEP 2023</t>
  </si>
  <si>
    <t>05 APR 2023</t>
  </si>
  <si>
    <t>20 APR 2021</t>
  </si>
  <si>
    <t>13 SEP 2021</t>
  </si>
  <si>
    <t>14 JUL 2023</t>
  </si>
  <si>
    <t>7.4</t>
  </si>
  <si>
    <t>5.6</t>
  </si>
  <si>
    <t>3.1</t>
  </si>
  <si>
    <t>2.11</t>
  </si>
  <si>
    <t>2.9</t>
  </si>
  <si>
    <t>2.8</t>
  </si>
  <si>
    <t>2.6</t>
  </si>
  <si>
    <t>2.4</t>
  </si>
  <si>
    <t>2.2</t>
  </si>
  <si>
    <t>2.1</t>
  </si>
  <si>
    <t>2.0</t>
  </si>
  <si>
    <t>1.11</t>
  </si>
  <si>
    <t>1.10</t>
  </si>
  <si>
    <t>1.4</t>
  </si>
  <si>
    <t>1.3</t>
  </si>
  <si>
    <t>1.2</t>
  </si>
  <si>
    <t>1.1</t>
  </si>
  <si>
    <t>1.0</t>
  </si>
  <si>
    <t>0.9</t>
  </si>
  <si>
    <t>0.8</t>
  </si>
  <si>
    <t>0.7</t>
  </si>
  <si>
    <t>0.6</t>
  </si>
  <si>
    <t>0.5</t>
  </si>
  <si>
    <t>0.4</t>
  </si>
  <si>
    <t>0.3</t>
  </si>
  <si>
    <t>0.2</t>
  </si>
  <si>
    <t>0.1</t>
  </si>
  <si>
    <t>0.0</t>
  </si>
  <si>
    <t>4.0</t>
  </si>
  <si>
    <t>19.7</t>
  </si>
  <si>
    <t>19.0</t>
  </si>
  <si>
    <t>17.5</t>
  </si>
  <si>
    <t>13.5</t>
  </si>
  <si>
    <t>10.3</t>
  </si>
  <si>
    <t>11.7</t>
  </si>
  <si>
    <t>4.1</t>
  </si>
  <si>
    <t>8.7</t>
  </si>
  <si>
    <t>2.7</t>
  </si>
  <si>
    <t>0.10</t>
  </si>
  <si>
    <t>0.11</t>
  </si>
  <si>
    <t>2.5</t>
  </si>
  <si>
    <t>1.7</t>
  </si>
  <si>
    <t>21.6</t>
  </si>
  <si>
    <t>1.8</t>
  </si>
  <si>
    <t>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</si>
</sst>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&quot;$&quot;#,##0.00"/>
    <numFmt numFmtId="167" formatCode="&quot;Yes&quot;;&quot;Yes&quot;;&quot;No&quot;"/>
    <numFmt numFmtId="168" formatCode="m/d/yyyy;@"/>
    <numFmt numFmtId="169" formatCode="&quot;$&quot;#,##0"/>
    <numFmt numFmtId="170" formatCode="[$₹-449]\ #,##0.00"/>
  </numFmts>
  <fonts count="3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000000"/>
      <name val="Calibri"/>
      <family val="2"/>
    </font>
    <font>
      <sz val="10"/>
      <color indexed="8"/>
      <name val="MS Sans Serif"/>
    </font>
    <font>
      <sz val="11"/>
      <color indexed="8"/>
      <name val="Calibri"/>
      <family val="2"/>
    </font>
    <font>
      <b/>
      <sz val="11.05"/>
      <color indexed="8"/>
      <name val="Verdana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b/>
      <sz val="10"/>
      <color indexed="8"/>
      <name val="MS Sans Serif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1"/>
      <scheme val="maj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9C000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MS Sans Serif"/>
    </font>
  </fonts>
  <fills count="2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88402966399123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87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12" fillId="0" borderId="0"/>
    <xf numFmtId="0" fontId="4" fillId="0" borderId="0"/>
    <xf numFmtId="0" fontId="13" fillId="12" borderId="0" applyNumberFormat="0" applyBorder="0" applyAlignment="0" applyProtection="0"/>
    <xf numFmtId="0" fontId="4" fillId="13" borderId="5" applyNumberFormat="0" applyFont="0" applyAlignment="0" applyProtection="0"/>
    <xf numFmtId="0" fontId="12" fillId="13" borderId="5" applyNumberFormat="0" applyFont="0" applyAlignment="0" applyProtection="0"/>
    <xf numFmtId="0" fontId="4" fillId="0" borderId="0"/>
    <xf numFmtId="0" fontId="3" fillId="0" borderId="0"/>
    <xf numFmtId="0" fontId="17" fillId="0" borderId="0"/>
    <xf numFmtId="0" fontId="18" fillId="0" borderId="0"/>
    <xf numFmtId="0" fontId="3" fillId="0" borderId="0"/>
    <xf numFmtId="9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5" applyNumberFormat="0" applyFont="0" applyAlignment="0" applyProtection="0"/>
    <xf numFmtId="0" fontId="3" fillId="0" borderId="0"/>
    <xf numFmtId="0" fontId="20" fillId="0" borderId="0"/>
    <xf numFmtId="167" fontId="18" fillId="0" borderId="0" applyFont="0" applyFill="0" applyBorder="0" applyAlignment="0" applyProtection="0"/>
    <xf numFmtId="0" fontId="20" fillId="0" borderId="0"/>
    <xf numFmtId="167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20" fillId="0" borderId="0"/>
    <xf numFmtId="0" fontId="20" fillId="0" borderId="0"/>
    <xf numFmtId="168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0" fontId="20" fillId="0" borderId="0"/>
    <xf numFmtId="0" fontId="20" fillId="0" borderId="0"/>
    <xf numFmtId="167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0" fontId="20" fillId="0" borderId="0"/>
    <xf numFmtId="0" fontId="20" fillId="0" borderId="0"/>
    <xf numFmtId="167" fontId="18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" fillId="0" borderId="0"/>
    <xf numFmtId="9" fontId="18" fillId="0" borderId="0" applyFont="0" applyFill="0" applyBorder="0" applyAlignment="0" applyProtection="0"/>
    <xf numFmtId="0" fontId="21" fillId="0" borderId="0"/>
    <xf numFmtId="9" fontId="18" fillId="0" borderId="0" applyFont="0" applyFill="0" applyBorder="0" applyAlignment="0" applyProtection="0"/>
    <xf numFmtId="0" fontId="23" fillId="14" borderId="0" applyNumberFormat="0" applyBorder="0" applyAlignment="0" applyProtection="0"/>
    <xf numFmtId="0" fontId="24" fillId="15" borderId="0" applyNumberFormat="0" applyBorder="0" applyAlignment="0" applyProtection="0"/>
    <xf numFmtId="0" fontId="27" fillId="0" borderId="0"/>
    <xf numFmtId="0" fontId="27" fillId="17" borderId="5" applyNumberFormat="0" applyFont="0" applyAlignment="0" applyProtection="0"/>
    <xf numFmtId="0" fontId="28" fillId="0" borderId="0" applyNumberFormat="0" applyFill="0" applyBorder="0" applyAlignment="0" applyProtection="0"/>
    <xf numFmtId="0" fontId="26" fillId="19" borderId="6" applyNumberFormat="0" applyAlignment="0" applyProtection="0"/>
    <xf numFmtId="0" fontId="2" fillId="0" borderId="0"/>
    <xf numFmtId="0" fontId="2" fillId="0" borderId="0"/>
    <xf numFmtId="0" fontId="2" fillId="16" borderId="0" applyNumberFormat="0" applyBorder="0" applyAlignment="0" applyProtection="0"/>
    <xf numFmtId="0" fontId="13" fillId="18" borderId="0" applyNumberFormat="0" applyBorder="0" applyAlignment="0" applyProtection="0"/>
    <xf numFmtId="0" fontId="2" fillId="17" borderId="5" applyNumberFormat="0" applyFont="0" applyAlignment="0" applyProtection="0"/>
  </cellStyleXfs>
  <cellXfs count="105">
    <xf numFmtId="0" fontId="0" fillId="0" borderId="0" xfId="0"/>
    <xf numFmtId="0" fontId="5" fillId="2" borderId="1" xfId="3" applyFont="1" applyFill="1" applyBorder="1" applyAlignment="1">
      <alignment horizontal="center"/>
    </xf>
    <xf numFmtId="0" fontId="5" fillId="2" borderId="2" xfId="3" applyFont="1" applyFill="1" applyBorder="1" applyAlignment="1">
      <alignment horizontal="center"/>
    </xf>
    <xf numFmtId="0" fontId="5" fillId="2" borderId="3" xfId="3" applyFont="1" applyFill="1" applyBorder="1" applyAlignment="1">
      <alignment horizontal="center"/>
    </xf>
    <xf numFmtId="0" fontId="5" fillId="2" borderId="0" xfId="3" applyFont="1" applyFill="1" applyAlignment="1">
      <alignment horizontal="center"/>
    </xf>
    <xf numFmtId="0" fontId="5" fillId="3" borderId="0" xfId="3" applyFont="1" applyFill="1" applyAlignment="1">
      <alignment horizontal="center"/>
    </xf>
    <xf numFmtId="9" fontId="5" fillId="2" borderId="1" xfId="3" applyNumberFormat="1" applyFont="1" applyFill="1" applyBorder="1" applyAlignment="1">
      <alignment horizontal="center"/>
    </xf>
    <xf numFmtId="9" fontId="5" fillId="3" borderId="1" xfId="3" applyNumberFormat="1" applyFont="1" applyFill="1" applyBorder="1" applyAlignment="1">
      <alignment horizontal="center"/>
    </xf>
    <xf numFmtId="9" fontId="5" fillId="4" borderId="1" xfId="3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center"/>
    </xf>
    <xf numFmtId="164" fontId="0" fillId="0" borderId="0" xfId="2" applyNumberFormat="1" applyFont="1"/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22" fillId="0" borderId="1" xfId="0" applyFont="1" applyBorder="1"/>
    <xf numFmtId="0" fontId="22" fillId="0" borderId="0" xfId="0" applyFont="1"/>
    <xf numFmtId="9" fontId="0" fillId="0" borderId="0" xfId="0" applyNumberFormat="1"/>
    <xf numFmtId="9" fontId="0" fillId="0" borderId="0" xfId="2" applyFont="1"/>
    <xf numFmtId="2" fontId="0" fillId="0" borderId="0" xfId="0" applyNumberFormat="1"/>
    <xf numFmtId="0" fontId="29" fillId="5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left" vertical="center" wrapText="1"/>
    </xf>
    <xf numFmtId="43" fontId="30" fillId="15" borderId="1" xfId="77" applyNumberFormat="1" applyFont="1" applyBorder="1" applyAlignment="1">
      <alignment horizontal="center" vertical="center"/>
    </xf>
    <xf numFmtId="0" fontId="29" fillId="5" borderId="1" xfId="0" applyFont="1" applyFill="1" applyBorder="1" applyAlignment="1">
      <alignment horizontal="center" vertical="center"/>
    </xf>
    <xf numFmtId="43" fontId="29" fillId="5" borderId="1" xfId="1" applyFont="1" applyFill="1" applyBorder="1" applyAlignment="1">
      <alignment horizontal="center" vertical="center"/>
    </xf>
    <xf numFmtId="170" fontId="30" fillId="15" borderId="1" xfId="77" applyNumberFormat="1" applyFont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 wrapText="1"/>
    </xf>
    <xf numFmtId="0" fontId="29" fillId="11" borderId="1" xfId="0" applyFont="1" applyFill="1" applyBorder="1" applyAlignment="1">
      <alignment horizontal="center" vertical="center" wrapText="1"/>
    </xf>
    <xf numFmtId="0" fontId="31" fillId="14" borderId="1" xfId="76" applyFont="1" applyBorder="1" applyAlignment="1">
      <alignment horizontal="center" vertical="center"/>
    </xf>
    <xf numFmtId="43" fontId="29" fillId="7" borderId="1" xfId="1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29" fillId="8" borderId="1" xfId="0" applyFont="1" applyFill="1" applyBorder="1" applyAlignment="1">
      <alignment horizontal="center" vertical="center" wrapText="1"/>
    </xf>
    <xf numFmtId="43" fontId="32" fillId="20" borderId="1" xfId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1" fillId="0" borderId="1" xfId="0" applyFont="1" applyBorder="1"/>
    <xf numFmtId="43" fontId="11" fillId="0" borderId="1" xfId="1" applyFont="1" applyBorder="1" applyAlignment="1">
      <alignment horizontal="center" vertical="center"/>
    </xf>
    <xf numFmtId="43" fontId="11" fillId="0" borderId="1" xfId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1" xfId="16" applyFont="1" applyFill="1" applyBorder="1" applyAlignment="1">
      <alignment horizontal="center" vertical="center"/>
    </xf>
    <xf numFmtId="43" fontId="11" fillId="0" borderId="1" xfId="0" applyNumberFormat="1" applyFont="1" applyBorder="1" applyAlignment="1">
      <alignment horizontal="center" vertical="center"/>
    </xf>
    <xf numFmtId="43" fontId="11" fillId="0" borderId="1" xfId="16" applyFont="1" applyFill="1" applyBorder="1" applyAlignment="1">
      <alignment horizontal="center" vertical="center" wrapText="1"/>
    </xf>
    <xf numFmtId="170" fontId="11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164" fontId="11" fillId="0" borderId="1" xfId="2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/>
    </xf>
    <xf numFmtId="0" fontId="11" fillId="0" borderId="0" xfId="0" applyFont="1" applyAlignment="1">
      <alignment horizontal="left" vertical="center"/>
    </xf>
    <xf numFmtId="43" fontId="11" fillId="0" borderId="0" xfId="1" applyFont="1" applyBorder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0" fontId="6" fillId="21" borderId="1" xfId="3" applyFont="1" applyFill="1" applyBorder="1" applyAlignment="1">
      <alignment horizontal="center" vertical="center"/>
    </xf>
    <xf numFmtId="0" fontId="0" fillId="21" borderId="0" xfId="0" applyFill="1"/>
    <xf numFmtId="0" fontId="20" fillId="22" borderId="1" xfId="0" applyFont="1" applyFill="1" applyBorder="1"/>
    <xf numFmtId="10" fontId="20" fillId="22" borderId="1" xfId="0" applyNumberFormat="1" applyFont="1" applyFill="1" applyBorder="1"/>
    <xf numFmtId="0" fontId="34" fillId="21" borderId="0" xfId="0" applyFont="1" applyFill="1"/>
    <xf numFmtId="0" fontId="35" fillId="22" borderId="1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9" fontId="34" fillId="21" borderId="7" xfId="0" applyNumberFormat="1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9" fontId="34" fillId="21" borderId="8" xfId="0" applyNumberFormat="1" applyFont="1" applyFill="1" applyBorder="1" applyAlignment="1">
      <alignment horizontal="center"/>
    </xf>
    <xf numFmtId="9" fontId="34" fillId="22" borderId="8" xfId="0" applyNumberFormat="1" applyFont="1" applyFill="1" applyBorder="1" applyAlignment="1">
      <alignment horizontal="center"/>
    </xf>
    <xf numFmtId="0" fontId="1" fillId="21" borderId="0" xfId="0" applyFont="1" applyFill="1"/>
    <xf numFmtId="0" fontId="7" fillId="0" borderId="0" xfId="0" applyFont="1" applyAlignment="1">
      <alignment horizontal="center"/>
    </xf>
    <xf numFmtId="0" fontId="20" fillId="0" borderId="0" xfId="0" applyFont="1"/>
    <xf numFmtId="10" fontId="20" fillId="0" borderId="0" xfId="0" applyNumberFormat="1" applyFont="1"/>
    <xf numFmtId="164" fontId="11" fillId="0" borderId="1" xfId="2" applyNumberFormat="1" applyFont="1" applyFill="1" applyBorder="1" applyAlignment="1">
      <alignment horizontal="center" vertical="center"/>
    </xf>
    <xf numFmtId="43" fontId="11" fillId="0" borderId="0" xfId="0" applyNumberFormat="1" applyFont="1" applyAlignment="1">
      <alignment horizontal="center" vertical="center"/>
    </xf>
    <xf numFmtId="170" fontId="11" fillId="0" borderId="0" xfId="1" applyNumberFormat="1" applyFont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165" fontId="29" fillId="9" borderId="1" xfId="1" applyNumberFormat="1" applyFont="1" applyFill="1" applyBorder="1" applyAlignment="1">
      <alignment horizontal="center" vertical="center"/>
    </xf>
    <xf numFmtId="43" fontId="29" fillId="9" borderId="1" xfId="1" applyFont="1" applyFill="1" applyBorder="1" applyAlignment="1">
      <alignment horizontal="center" vertical="center"/>
    </xf>
    <xf numFmtId="10" fontId="29" fillId="9" borderId="1" xfId="1" applyNumberFormat="1" applyFont="1" applyFill="1" applyBorder="1" applyAlignment="1">
      <alignment horizontal="center" vertical="center"/>
    </xf>
    <xf numFmtId="43" fontId="11" fillId="0" borderId="1" xfId="1" applyFont="1" applyBorder="1" applyAlignment="1">
      <alignment horizontal="left" vertical="center"/>
    </xf>
    <xf numFmtId="0" fontId="29" fillId="0" borderId="1" xfId="0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69" fontId="29" fillId="0" borderId="1" xfId="0" applyNumberFormat="1" applyFont="1" applyBorder="1" applyAlignment="1">
      <alignment horizontal="center" vertical="center"/>
    </xf>
    <xf numFmtId="10" fontId="11" fillId="0" borderId="1" xfId="0" applyNumberFormat="1" applyFont="1" applyBorder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6" fontId="11" fillId="0" borderId="1" xfId="1" applyNumberFormat="1" applyFont="1" applyFill="1" applyBorder="1" applyAlignment="1">
      <alignment horizontal="center" vertical="center"/>
    </xf>
    <xf numFmtId="170" fontId="11" fillId="0" borderId="0" xfId="1" applyNumberFormat="1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9" fontId="11" fillId="0" borderId="0" xfId="1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/>
    </xf>
    <xf numFmtId="43" fontId="33" fillId="0" borderId="1" xfId="16" applyFont="1" applyFill="1" applyBorder="1"/>
    <xf numFmtId="0" fontId="33" fillId="0" borderId="1" xfId="13" applyFont="1" applyBorder="1"/>
    <xf numFmtId="0" fontId="15" fillId="0" borderId="1" xfId="0" applyFont="1" applyBorder="1" applyAlignment="1">
      <alignment horizontal="left" vertical="top"/>
    </xf>
    <xf numFmtId="43" fontId="33" fillId="0" borderId="1" xfId="16" applyFont="1" applyFill="1" applyBorder="1" applyAlignment="1">
      <alignment horizontal="left"/>
    </xf>
    <xf numFmtId="43" fontId="29" fillId="0" borderId="1" xfId="1" applyFont="1" applyFill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43" fontId="11" fillId="0" borderId="0" xfId="1" applyFont="1" applyFill="1" applyAlignment="1">
      <alignment horizontal="center" vertical="center"/>
    </xf>
    <xf numFmtId="2" fontId="29" fillId="9" borderId="1" xfId="1" applyNumberFormat="1" applyFont="1" applyFill="1" applyBorder="1" applyAlignment="1">
      <alignment horizontal="right" vertical="center"/>
    </xf>
    <xf numFmtId="2" fontId="11" fillId="0" borderId="1" xfId="1" applyNumberFormat="1" applyFont="1" applyBorder="1" applyAlignment="1">
      <alignment horizontal="right" vertical="center"/>
    </xf>
    <xf numFmtId="2" fontId="11" fillId="0" borderId="0" xfId="2" applyNumberFormat="1" applyFont="1" applyFill="1" applyAlignment="1">
      <alignment horizontal="right" vertical="center"/>
    </xf>
    <xf numFmtId="2" fontId="31" fillId="14" borderId="1" xfId="76" applyNumberFormat="1" applyFont="1" applyBorder="1" applyAlignment="1">
      <alignment horizontal="right" vertical="center"/>
    </xf>
    <xf numFmtId="2" fontId="11" fillId="0" borderId="1" xfId="0" applyNumberFormat="1" applyFont="1" applyBorder="1" applyAlignment="1">
      <alignment horizontal="right" vertical="center"/>
    </xf>
    <xf numFmtId="2" fontId="11" fillId="0" borderId="0" xfId="0" applyNumberFormat="1" applyFont="1" applyAlignment="1">
      <alignment horizontal="right" vertical="center"/>
    </xf>
    <xf numFmtId="0" fontId="33" fillId="0" borderId="1" xfId="0" applyFont="1" applyBorder="1"/>
    <xf numFmtId="43" fontId="11" fillId="0" borderId="0" xfId="0" applyNumberFormat="1" applyFont="1" applyAlignment="1">
      <alignment horizontal="left" vertical="center"/>
    </xf>
    <xf numFmtId="43" fontId="11" fillId="0" borderId="0" xfId="1" applyFont="1" applyBorder="1" applyAlignment="1">
      <alignment horizontal="left" vertical="center"/>
    </xf>
    <xf numFmtId="43" fontId="11" fillId="0" borderId="0" xfId="1" applyFont="1" applyFill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43" fontId="11" fillId="0" borderId="0" xfId="0" applyNumberFormat="1" applyFont="1"/>
    <xf numFmtId="0" fontId="29" fillId="0" borderId="1" xfId="0" applyFont="1" applyBorder="1" applyAlignment="1">
      <alignment horizontal="left" vertical="center"/>
    </xf>
  </cellXfs>
  <cellStyles count="87">
    <cellStyle name="20% - Accent6 2" xfId="84" xr:uid="{F046BBD1-F29E-4514-B08F-0344D67014E5}"/>
    <cellStyle name="Accent6" xfId="77" builtinId="49"/>
    <cellStyle name="Bad" xfId="76" builtinId="27"/>
    <cellStyle name="Comma" xfId="1" builtinId="3"/>
    <cellStyle name="Comma 2" xfId="17" xr:uid="{00000000-0005-0000-0000-000001000000}"/>
    <cellStyle name="Comma 5" xfId="16" xr:uid="{00000000-0005-0000-0000-000002000000}"/>
    <cellStyle name="Comma 7" xfId="15" xr:uid="{00000000-0005-0000-0000-000003000000}"/>
    <cellStyle name="Currency 2" xfId="35" xr:uid="{00000000-0005-0000-0000-000005000000}"/>
    <cellStyle name="Currency 2 10" xfId="36" xr:uid="{00000000-0005-0000-0000-000006000000}"/>
    <cellStyle name="Currency 2 11" xfId="37" xr:uid="{00000000-0005-0000-0000-000007000000}"/>
    <cellStyle name="Currency 2 14" xfId="27" xr:uid="{00000000-0005-0000-0000-000008000000}"/>
    <cellStyle name="Currency 2 2" xfId="30" xr:uid="{00000000-0005-0000-0000-000009000000}"/>
    <cellStyle name="Currency 2 49" xfId="38" xr:uid="{00000000-0005-0000-0000-00000A000000}"/>
    <cellStyle name="Currency 2 50" xfId="26" xr:uid="{00000000-0005-0000-0000-00000B000000}"/>
    <cellStyle name="Currency 2 51" xfId="31" xr:uid="{00000000-0005-0000-0000-00000C000000}"/>
    <cellStyle name="Currency 2 53" xfId="24" xr:uid="{00000000-0005-0000-0000-00000D000000}"/>
    <cellStyle name="Currency 2 56" xfId="34" xr:uid="{00000000-0005-0000-0000-00000E000000}"/>
    <cellStyle name="Currency 2 57" xfId="39" xr:uid="{00000000-0005-0000-0000-00000F000000}"/>
    <cellStyle name="Currency 2 58" xfId="42" xr:uid="{00000000-0005-0000-0000-000010000000}"/>
    <cellStyle name="Input 2" xfId="81" xr:uid="{8F4E13D4-B6E0-4F3C-80B9-4D39862D5C6F}"/>
    <cellStyle name="Neutral 2" xfId="6" xr:uid="{00000000-0005-0000-0000-000011000000}"/>
    <cellStyle name="Neutral 2 2" xfId="85" xr:uid="{EFCEC577-72E0-4A05-B580-F23F82E2EBC8}"/>
    <cellStyle name="Normal" xfId="0" builtinId="0"/>
    <cellStyle name="Normal 14" xfId="45" xr:uid="{00000000-0005-0000-0000-000013000000}"/>
    <cellStyle name="Normal 2" xfId="5" xr:uid="{00000000-0005-0000-0000-000014000000}"/>
    <cellStyle name="Normal 2 10" xfId="32" xr:uid="{00000000-0005-0000-0000-000015000000}"/>
    <cellStyle name="Normal 2 11" xfId="25" xr:uid="{00000000-0005-0000-0000-000016000000}"/>
    <cellStyle name="Normal 2 13" xfId="46" xr:uid="{00000000-0005-0000-0000-000017000000}"/>
    <cellStyle name="Normal 2 14" xfId="33" xr:uid="{00000000-0005-0000-0000-000018000000}"/>
    <cellStyle name="Normal 2 15" xfId="40" xr:uid="{00000000-0005-0000-0000-000019000000}"/>
    <cellStyle name="Normal 2 16" xfId="43" xr:uid="{00000000-0005-0000-0000-00001A000000}"/>
    <cellStyle name="Normal 2 17" xfId="47" xr:uid="{00000000-0005-0000-0000-00001B000000}"/>
    <cellStyle name="Normal 2 19" xfId="50" xr:uid="{00000000-0005-0000-0000-00001C000000}"/>
    <cellStyle name="Normal 2 2" xfId="19" xr:uid="{00000000-0005-0000-0000-00001D000000}"/>
    <cellStyle name="Normal 2 2 2" xfId="52" xr:uid="{00000000-0005-0000-0000-00001E000000}"/>
    <cellStyle name="Normal 2 2 5 3" xfId="74" xr:uid="{00000000-0005-0000-0000-00001F000000}"/>
    <cellStyle name="Normal 2 20" xfId="41" xr:uid="{00000000-0005-0000-0000-000020000000}"/>
    <cellStyle name="Normal 2 21" xfId="44" xr:uid="{00000000-0005-0000-0000-000021000000}"/>
    <cellStyle name="Normal 2 22" xfId="48" xr:uid="{00000000-0005-0000-0000-000022000000}"/>
    <cellStyle name="Normal 2 23" xfId="53" xr:uid="{00000000-0005-0000-0000-000023000000}"/>
    <cellStyle name="Normal 2 24" xfId="51" xr:uid="{00000000-0005-0000-0000-000024000000}"/>
    <cellStyle name="Normal 2 25" xfId="54" xr:uid="{00000000-0005-0000-0000-000025000000}"/>
    <cellStyle name="Normal 2 27" xfId="56" xr:uid="{00000000-0005-0000-0000-000026000000}"/>
    <cellStyle name="Normal 2 28" xfId="58" xr:uid="{00000000-0005-0000-0000-000027000000}"/>
    <cellStyle name="Normal 2 29" xfId="60" xr:uid="{00000000-0005-0000-0000-000028000000}"/>
    <cellStyle name="Normal 2 3" xfId="82" xr:uid="{DBBA393F-342D-46EB-90FE-D5E40C1EB1C5}"/>
    <cellStyle name="Normal 2 30" xfId="55" xr:uid="{00000000-0005-0000-0000-000029000000}"/>
    <cellStyle name="Normal 2 31" xfId="62" xr:uid="{00000000-0005-0000-0000-00002A000000}"/>
    <cellStyle name="Normal 2 32" xfId="57" xr:uid="{00000000-0005-0000-0000-00002B000000}"/>
    <cellStyle name="Normal 2 33" xfId="59" xr:uid="{00000000-0005-0000-0000-00002C000000}"/>
    <cellStyle name="Normal 2 34" xfId="61" xr:uid="{00000000-0005-0000-0000-00002D000000}"/>
    <cellStyle name="Normal 2 35" xfId="63" xr:uid="{00000000-0005-0000-0000-00002E000000}"/>
    <cellStyle name="Normal 2 37" xfId="65" xr:uid="{00000000-0005-0000-0000-00002F000000}"/>
    <cellStyle name="Normal 2 38" xfId="67" xr:uid="{00000000-0005-0000-0000-000030000000}"/>
    <cellStyle name="Normal 2 39" xfId="29" xr:uid="{00000000-0005-0000-0000-000031000000}"/>
    <cellStyle name="Normal 2 40" xfId="64" xr:uid="{00000000-0005-0000-0000-000032000000}"/>
    <cellStyle name="Normal 2 41" xfId="69" xr:uid="{00000000-0005-0000-0000-000033000000}"/>
    <cellStyle name="Normal 2 42" xfId="66" xr:uid="{00000000-0005-0000-0000-000034000000}"/>
    <cellStyle name="Normal 2 43" xfId="68" xr:uid="{00000000-0005-0000-0000-000035000000}"/>
    <cellStyle name="Normal 2 44" xfId="28" xr:uid="{00000000-0005-0000-0000-000036000000}"/>
    <cellStyle name="Normal 2 45" xfId="70" xr:uid="{00000000-0005-0000-0000-000037000000}"/>
    <cellStyle name="Normal 2 46" xfId="23" xr:uid="{00000000-0005-0000-0000-000038000000}"/>
    <cellStyle name="Normal 2 6" xfId="71" xr:uid="{00000000-0005-0000-0000-000039000000}"/>
    <cellStyle name="Normal 3" xfId="3" xr:uid="{00000000-0005-0000-0000-00003A000000}"/>
    <cellStyle name="Normal 3 2" xfId="9" xr:uid="{00000000-0005-0000-0000-00003B000000}"/>
    <cellStyle name="Normal 3 2 2" xfId="22" xr:uid="{00000000-0005-0000-0000-00003C000000}"/>
    <cellStyle name="Normal 3 3" xfId="11" xr:uid="{00000000-0005-0000-0000-00003D000000}"/>
    <cellStyle name="Normal 3 4" xfId="12" xr:uid="{00000000-0005-0000-0000-00003E000000}"/>
    <cellStyle name="Normal 3 5" xfId="20" xr:uid="{00000000-0005-0000-0000-00003F000000}"/>
    <cellStyle name="Normal 3 6" xfId="83" xr:uid="{A3BA06BB-9FFA-44BA-A106-D8016E8411BF}"/>
    <cellStyle name="Normal 4" xfId="4" xr:uid="{00000000-0005-0000-0000-000040000000}"/>
    <cellStyle name="Normal 5" xfId="10" xr:uid="{00000000-0005-0000-0000-000041000000}"/>
    <cellStyle name="Normal 6" xfId="72" xr:uid="{00000000-0005-0000-0000-000042000000}"/>
    <cellStyle name="Normal 7" xfId="78" xr:uid="{C76F1D40-AAA3-48ED-9BAA-C276245BBF1E}"/>
    <cellStyle name="Normal 9" xfId="13" xr:uid="{00000000-0005-0000-0000-000043000000}"/>
    <cellStyle name="Normal 91" xfId="49" xr:uid="{00000000-0005-0000-0000-000044000000}"/>
    <cellStyle name="Note 2" xfId="7" xr:uid="{00000000-0005-0000-0000-000045000000}"/>
    <cellStyle name="Note 2 2" xfId="21" xr:uid="{00000000-0005-0000-0000-000046000000}"/>
    <cellStyle name="Note 2 3" xfId="86" xr:uid="{6771058A-1824-4E92-B94B-DB29541BC23F}"/>
    <cellStyle name="Note 3" xfId="8" xr:uid="{00000000-0005-0000-0000-000047000000}"/>
    <cellStyle name="Note 4" xfId="79" xr:uid="{C81875A1-BB72-4E7F-AD40-F4D6B45D45AA}"/>
    <cellStyle name="Percent" xfId="2" builtinId="5"/>
    <cellStyle name="Percent 2" xfId="18" xr:uid="{00000000-0005-0000-0000-000049000000}"/>
    <cellStyle name="Percent 2 2" xfId="75" xr:uid="{00000000-0005-0000-0000-00004A000000}"/>
    <cellStyle name="Percent 3" xfId="14" xr:uid="{00000000-0005-0000-0000-00004B000000}"/>
    <cellStyle name="Percent 5" xfId="73" xr:uid="{00000000-0005-0000-0000-00004C000000}"/>
    <cellStyle name="Title 2" xfId="80" xr:uid="{6D6A46D7-1964-4EEC-A6DA-F1040DBD153D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chine113\Documents%20and%20Settings\psingh\Local%20Settings\Temporary%20Internet%20Files\Content.Outlook\OOPHVGEW\Saicle%20_%20FTE%20cost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Revenue "/>
      <sheetName val="Salary Expenses "/>
      <sheetName val="Other Expenses"/>
      <sheetName val="Dep_Cost"/>
      <sheetName val="Dep Cost"/>
      <sheetName val="AR"/>
      <sheetName val="Loan to Saicle "/>
      <sheetName val="Loan_Infra"/>
      <sheetName val="Loan_WC"/>
      <sheetName val="Invoice Register _USD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Loan Amortization Schedule</v>
          </cell>
        </row>
        <row r="4">
          <cell r="B4" t="str">
            <v>Enter values</v>
          </cell>
          <cell r="H4" t="str">
            <v>Loan summary</v>
          </cell>
        </row>
        <row r="5">
          <cell r="C5" t="str">
            <v>Loan amount</v>
          </cell>
          <cell r="D5">
            <v>3345888.2</v>
          </cell>
          <cell r="I5" t="str">
            <v>Scheduled payment</v>
          </cell>
          <cell r="J5">
            <v>64685.392510256519</v>
          </cell>
        </row>
        <row r="6">
          <cell r="C6" t="str">
            <v>Annual interest rate</v>
          </cell>
          <cell r="D6">
            <v>0.06</v>
          </cell>
          <cell r="I6" t="str">
            <v>Scheduled number of payments</v>
          </cell>
          <cell r="J6">
            <v>60</v>
          </cell>
        </row>
        <row r="7">
          <cell r="C7" t="str">
            <v>Loan period in years</v>
          </cell>
          <cell r="D7">
            <v>5</v>
          </cell>
          <cell r="I7" t="str">
            <v>Actual number of payments</v>
          </cell>
          <cell r="J7">
            <v>60</v>
          </cell>
        </row>
        <row r="8">
          <cell r="C8" t="str">
            <v>Number of payments per year</v>
          </cell>
          <cell r="D8">
            <v>12</v>
          </cell>
          <cell r="I8" t="str">
            <v>Total early payments</v>
          </cell>
          <cell r="J8">
            <v>0</v>
          </cell>
        </row>
        <row r="9">
          <cell r="C9" t="str">
            <v>Start date of loan</v>
          </cell>
          <cell r="D9">
            <v>40909</v>
          </cell>
          <cell r="I9" t="str">
            <v>Total interest</v>
          </cell>
          <cell r="J9">
            <v>535235.35061527276</v>
          </cell>
        </row>
        <row r="10">
          <cell r="C10" t="str">
            <v>Optional extra payments</v>
          </cell>
          <cell r="D10">
            <v>0</v>
          </cell>
        </row>
        <row r="12">
          <cell r="B12" t="str">
            <v>Lender name:</v>
          </cell>
        </row>
        <row r="16">
          <cell r="A16" t="str">
            <v>Pmt. No.</v>
          </cell>
          <cell r="B16" t="str">
            <v>Payment Date</v>
          </cell>
          <cell r="C16" t="str">
            <v>Beginning Balance</v>
          </cell>
          <cell r="D16" t="str">
            <v>Scheduled Payment</v>
          </cell>
          <cell r="E16" t="str">
            <v>Extra Payment</v>
          </cell>
          <cell r="F16" t="str">
            <v>Total Payment</v>
          </cell>
          <cell r="G16" t="str">
            <v>Principal</v>
          </cell>
          <cell r="H16" t="str">
            <v>Interest</v>
          </cell>
          <cell r="I16" t="str">
            <v>Ending Balance</v>
          </cell>
          <cell r="J16" t="str">
            <v>Cumulative Interest</v>
          </cell>
        </row>
        <row r="18">
          <cell r="A18">
            <v>1</v>
          </cell>
          <cell r="B18">
            <v>40940</v>
          </cell>
          <cell r="C18">
            <v>3345888.2</v>
          </cell>
          <cell r="D18">
            <v>64685.392510256519</v>
          </cell>
          <cell r="E18">
            <v>0</v>
          </cell>
          <cell r="F18">
            <v>64685.392510256519</v>
          </cell>
          <cell r="G18">
            <v>47955.95151025652</v>
          </cell>
          <cell r="H18">
            <v>16729.441000000003</v>
          </cell>
          <cell r="I18">
            <v>3297932.2484897436</v>
          </cell>
          <cell r="J18">
            <v>16729.441000000003</v>
          </cell>
        </row>
        <row r="19">
          <cell r="A19">
            <v>2</v>
          </cell>
          <cell r="B19">
            <v>40969</v>
          </cell>
          <cell r="C19">
            <v>3297932.2484897436</v>
          </cell>
          <cell r="D19">
            <v>64685.392510256519</v>
          </cell>
          <cell r="E19">
            <v>0</v>
          </cell>
          <cell r="F19">
            <v>64685.392510256519</v>
          </cell>
          <cell r="G19">
            <v>48195.731267807801</v>
          </cell>
          <cell r="H19">
            <v>16489.661242448718</v>
          </cell>
          <cell r="I19">
            <v>3249736.5172219356</v>
          </cell>
          <cell r="J19">
            <v>33219.102242448716</v>
          </cell>
        </row>
        <row r="20">
          <cell r="A20">
            <v>3</v>
          </cell>
          <cell r="B20">
            <v>41000</v>
          </cell>
          <cell r="C20">
            <v>3249736.5172219356</v>
          </cell>
          <cell r="D20">
            <v>64685.392510256519</v>
          </cell>
          <cell r="E20">
            <v>0</v>
          </cell>
          <cell r="F20">
            <v>64685.392510256519</v>
          </cell>
          <cell r="G20">
            <v>48436.709924146839</v>
          </cell>
          <cell r="H20">
            <v>16248.682586109679</v>
          </cell>
          <cell r="I20">
            <v>3201299.8072977886</v>
          </cell>
          <cell r="J20">
            <v>49467.784828558397</v>
          </cell>
        </row>
        <row r="21">
          <cell r="A21">
            <v>4</v>
          </cell>
          <cell r="B21">
            <v>41030</v>
          </cell>
          <cell r="C21">
            <v>3201299.8072977886</v>
          </cell>
          <cell r="D21">
            <v>64685.392510256519</v>
          </cell>
          <cell r="E21">
            <v>0</v>
          </cell>
          <cell r="F21">
            <v>64685.392510256519</v>
          </cell>
          <cell r="G21">
            <v>48678.893473767574</v>
          </cell>
          <cell r="H21">
            <v>16006.499036488944</v>
          </cell>
          <cell r="I21">
            <v>3152620.9138240209</v>
          </cell>
          <cell r="J21">
            <v>65474.283865047342</v>
          </cell>
        </row>
        <row r="22">
          <cell r="A22">
            <v>5</v>
          </cell>
          <cell r="B22">
            <v>41061</v>
          </cell>
          <cell r="C22">
            <v>3152620.9138240209</v>
          </cell>
          <cell r="D22">
            <v>64685.392510256519</v>
          </cell>
          <cell r="E22">
            <v>0</v>
          </cell>
          <cell r="F22">
            <v>64685.392510256519</v>
          </cell>
          <cell r="G22">
            <v>48922.287941136412</v>
          </cell>
          <cell r="H22">
            <v>15763.104569120105</v>
          </cell>
          <cell r="I22">
            <v>3103698.6258828845</v>
          </cell>
          <cell r="J22">
            <v>81237.388434167442</v>
          </cell>
        </row>
        <row r="23">
          <cell r="A23">
            <v>6</v>
          </cell>
          <cell r="B23">
            <v>41091</v>
          </cell>
          <cell r="C23">
            <v>3103698.6258828845</v>
          </cell>
          <cell r="D23">
            <v>64685.392510256519</v>
          </cell>
          <cell r="E23">
            <v>0</v>
          </cell>
          <cell r="F23">
            <v>64685.392510256519</v>
          </cell>
          <cell r="G23">
            <v>49166.8993808421</v>
          </cell>
          <cell r="H23">
            <v>15518.493129414421</v>
          </cell>
          <cell r="I23">
            <v>3054531.7265020423</v>
          </cell>
          <cell r="J23">
            <v>96755.881563581861</v>
          </cell>
        </row>
        <row r="24">
          <cell r="A24">
            <v>7</v>
          </cell>
          <cell r="B24">
            <v>41122</v>
          </cell>
          <cell r="C24">
            <v>3054531.7265020423</v>
          </cell>
          <cell r="D24">
            <v>64685.392510256519</v>
          </cell>
          <cell r="E24">
            <v>0</v>
          </cell>
          <cell r="F24">
            <v>64685.392510256519</v>
          </cell>
          <cell r="G24">
            <v>49412.733877746308</v>
          </cell>
          <cell r="H24">
            <v>15272.658632510211</v>
          </cell>
          <cell r="I24">
            <v>3005118.9926242959</v>
          </cell>
          <cell r="J24">
            <v>112028.54019609207</v>
          </cell>
        </row>
        <row r="25">
          <cell r="A25">
            <v>8</v>
          </cell>
          <cell r="B25">
            <v>41153</v>
          </cell>
          <cell r="C25">
            <v>3005118.9926242959</v>
          </cell>
          <cell r="D25">
            <v>64685.392510256519</v>
          </cell>
          <cell r="E25">
            <v>0</v>
          </cell>
          <cell r="F25">
            <v>64685.392510256519</v>
          </cell>
          <cell r="G25">
            <v>49659.797547135044</v>
          </cell>
          <cell r="H25">
            <v>15025.594963121477</v>
          </cell>
          <cell r="I25">
            <v>2955459.1950771608</v>
          </cell>
          <cell r="J25">
            <v>127054.13515921355</v>
          </cell>
        </row>
        <row r="26">
          <cell r="A26">
            <v>9</v>
          </cell>
          <cell r="B26">
            <v>41183</v>
          </cell>
          <cell r="C26">
            <v>2955459.1950771608</v>
          </cell>
          <cell r="D26">
            <v>64685.392510256519</v>
          </cell>
          <cell r="E26">
            <v>0</v>
          </cell>
          <cell r="F26">
            <v>64685.392510256519</v>
          </cell>
          <cell r="G26">
            <v>49908.096534870718</v>
          </cell>
          <cell r="H26">
            <v>14777.295975385803</v>
          </cell>
          <cell r="I26">
            <v>2905551.0985422903</v>
          </cell>
          <cell r="J26">
            <v>141831.43113459935</v>
          </cell>
        </row>
        <row r="27">
          <cell r="A27">
            <v>10</v>
          </cell>
          <cell r="B27">
            <v>41214</v>
          </cell>
          <cell r="C27">
            <v>2905551.0985422903</v>
          </cell>
          <cell r="D27">
            <v>64685.392510256519</v>
          </cell>
          <cell r="E27">
            <v>0</v>
          </cell>
          <cell r="F27">
            <v>64685.392510256519</v>
          </cell>
          <cell r="G27">
            <v>50157.637017545065</v>
          </cell>
          <cell r="H27">
            <v>14527.755492711452</v>
          </cell>
          <cell r="I27">
            <v>2855393.461524745</v>
          </cell>
          <cell r="J27">
            <v>156359.18662731079</v>
          </cell>
        </row>
        <row r="28">
          <cell r="A28">
            <v>11</v>
          </cell>
          <cell r="B28">
            <v>41244</v>
          </cell>
          <cell r="C28">
            <v>2855393.461524745</v>
          </cell>
          <cell r="D28">
            <v>64685.392510256519</v>
          </cell>
          <cell r="E28">
            <v>0</v>
          </cell>
          <cell r="F28">
            <v>64685.392510256519</v>
          </cell>
          <cell r="G28">
            <v>50408.425202632796</v>
          </cell>
          <cell r="H28">
            <v>14276.967307623725</v>
          </cell>
          <cell r="I28">
            <v>2804985.0363221122</v>
          </cell>
          <cell r="J28">
            <v>170636.15393493453</v>
          </cell>
        </row>
        <row r="29">
          <cell r="A29">
            <v>12</v>
          </cell>
          <cell r="B29">
            <v>41275</v>
          </cell>
          <cell r="C29">
            <v>2804985.0363221122</v>
          </cell>
          <cell r="D29">
            <v>64685.392510256519</v>
          </cell>
          <cell r="E29">
            <v>0</v>
          </cell>
          <cell r="F29">
            <v>64685.392510256519</v>
          </cell>
          <cell r="G29">
            <v>50660.467328645958</v>
          </cell>
          <cell r="H29">
            <v>14024.925181610561</v>
          </cell>
          <cell r="I29">
            <v>2754324.5689934664</v>
          </cell>
          <cell r="J29">
            <v>184661.07911654509</v>
          </cell>
        </row>
        <row r="30">
          <cell r="A30">
            <v>13</v>
          </cell>
          <cell r="B30">
            <v>41306</v>
          </cell>
          <cell r="C30">
            <v>2754324.5689934664</v>
          </cell>
          <cell r="D30">
            <v>64685.392510256519</v>
          </cell>
          <cell r="E30">
            <v>0</v>
          </cell>
          <cell r="F30">
            <v>64685.392510256519</v>
          </cell>
          <cell r="G30">
            <v>50913.76966528919</v>
          </cell>
          <cell r="H30">
            <v>13771.622844967331</v>
          </cell>
          <cell r="I30">
            <v>2703410.7993281772</v>
          </cell>
          <cell r="J30">
            <v>198432.70196151242</v>
          </cell>
        </row>
        <row r="31">
          <cell r="A31">
            <v>14</v>
          </cell>
          <cell r="B31">
            <v>41334</v>
          </cell>
          <cell r="C31">
            <v>2703410.7993281772</v>
          </cell>
          <cell r="D31">
            <v>64685.392510256519</v>
          </cell>
          <cell r="E31">
            <v>0</v>
          </cell>
          <cell r="F31">
            <v>64685.392510256519</v>
          </cell>
          <cell r="G31">
            <v>51168.338513615636</v>
          </cell>
          <cell r="H31">
            <v>13517.053996640885</v>
          </cell>
          <cell r="I31">
            <v>2652242.4608145617</v>
          </cell>
          <cell r="J31">
            <v>211949.75595815331</v>
          </cell>
        </row>
        <row r="32">
          <cell r="A32">
            <v>15</v>
          </cell>
          <cell r="B32">
            <v>41365</v>
          </cell>
          <cell r="C32">
            <v>2652242.4608145617</v>
          </cell>
          <cell r="D32">
            <v>64685.392510256519</v>
          </cell>
          <cell r="E32">
            <v>0</v>
          </cell>
          <cell r="F32">
            <v>64685.392510256519</v>
          </cell>
          <cell r="G32">
            <v>51424.180206183708</v>
          </cell>
          <cell r="H32">
            <v>13261.212304072809</v>
          </cell>
          <cell r="I32">
            <v>2600818.2806083779</v>
          </cell>
          <cell r="J32">
            <v>225210.96826222612</v>
          </cell>
        </row>
        <row r="33">
          <cell r="A33">
            <v>16</v>
          </cell>
          <cell r="B33">
            <v>41395</v>
          </cell>
          <cell r="C33">
            <v>2600818.2806083779</v>
          </cell>
          <cell r="D33">
            <v>64685.392510256519</v>
          </cell>
          <cell r="E33">
            <v>0</v>
          </cell>
          <cell r="F33">
            <v>64685.392510256519</v>
          </cell>
          <cell r="G33">
            <v>51681.301107214633</v>
          </cell>
          <cell r="H33">
            <v>13004.091403041888</v>
          </cell>
          <cell r="I33">
            <v>2549136.9795011631</v>
          </cell>
          <cell r="J33">
            <v>238215.059665268</v>
          </cell>
        </row>
        <row r="34">
          <cell r="A34">
            <v>17</v>
          </cell>
          <cell r="B34">
            <v>41426</v>
          </cell>
          <cell r="C34">
            <v>2549136.9795011631</v>
          </cell>
          <cell r="D34">
            <v>64685.392510256519</v>
          </cell>
          <cell r="E34">
            <v>0</v>
          </cell>
          <cell r="F34">
            <v>64685.392510256519</v>
          </cell>
          <cell r="G34">
            <v>51939.707612750703</v>
          </cell>
          <cell r="H34">
            <v>12745.684897505815</v>
          </cell>
          <cell r="I34">
            <v>2497197.2718884125</v>
          </cell>
          <cell r="J34">
            <v>250960.74456277382</v>
          </cell>
        </row>
        <row r="35">
          <cell r="A35">
            <v>18</v>
          </cell>
          <cell r="B35">
            <v>41456</v>
          </cell>
          <cell r="C35">
            <v>2497197.2718884125</v>
          </cell>
          <cell r="D35">
            <v>64685.392510256519</v>
          </cell>
          <cell r="E35">
            <v>0</v>
          </cell>
          <cell r="F35">
            <v>64685.392510256519</v>
          </cell>
          <cell r="G35">
            <v>52199.406150814459</v>
          </cell>
          <cell r="H35">
            <v>12485.986359442062</v>
          </cell>
          <cell r="I35">
            <v>2444997.8657375979</v>
          </cell>
          <cell r="J35">
            <v>263446.73092221591</v>
          </cell>
        </row>
        <row r="36">
          <cell r="A36">
            <v>19</v>
          </cell>
          <cell r="B36">
            <v>41487</v>
          </cell>
          <cell r="C36">
            <v>2444997.8657375979</v>
          </cell>
          <cell r="D36">
            <v>64685.392510256519</v>
          </cell>
          <cell r="E36">
            <v>0</v>
          </cell>
          <cell r="F36">
            <v>64685.392510256519</v>
          </cell>
          <cell r="G36">
            <v>52460.40318156853</v>
          </cell>
          <cell r="H36">
            <v>12224.989328687989</v>
          </cell>
          <cell r="I36">
            <v>2392537.4625560292</v>
          </cell>
          <cell r="J36">
            <v>275671.72025090392</v>
          </cell>
        </row>
        <row r="37">
          <cell r="A37">
            <v>20</v>
          </cell>
          <cell r="B37">
            <v>41518</v>
          </cell>
          <cell r="C37">
            <v>2392537.4625560292</v>
          </cell>
          <cell r="D37">
            <v>64685.392510256519</v>
          </cell>
          <cell r="E37">
            <v>0</v>
          </cell>
          <cell r="F37">
            <v>64685.392510256519</v>
          </cell>
          <cell r="G37">
            <v>52722.705197476374</v>
          </cell>
          <cell r="H37">
            <v>11962.687312780145</v>
          </cell>
          <cell r="I37">
            <v>2339814.7573585529</v>
          </cell>
          <cell r="J37">
            <v>287634.40756368404</v>
          </cell>
        </row>
        <row r="38">
          <cell r="A38">
            <v>21</v>
          </cell>
          <cell r="B38">
            <v>41548</v>
          </cell>
          <cell r="C38">
            <v>2339814.7573585529</v>
          </cell>
          <cell r="D38">
            <v>64685.392510256519</v>
          </cell>
          <cell r="E38">
            <v>0</v>
          </cell>
          <cell r="F38">
            <v>64685.392510256519</v>
          </cell>
          <cell r="G38">
            <v>52986.318723463752</v>
          </cell>
          <cell r="H38">
            <v>11699.073786792766</v>
          </cell>
          <cell r="I38">
            <v>2286828.438635089</v>
          </cell>
          <cell r="J38">
            <v>299333.4813504768</v>
          </cell>
        </row>
        <row r="39">
          <cell r="A39">
            <v>22</v>
          </cell>
          <cell r="B39">
            <v>41579</v>
          </cell>
          <cell r="C39">
            <v>2286828.438635089</v>
          </cell>
          <cell r="D39">
            <v>64685.392510256519</v>
          </cell>
          <cell r="E39">
            <v>0</v>
          </cell>
          <cell r="F39">
            <v>64685.392510256519</v>
          </cell>
          <cell r="G39">
            <v>53251.250317081074</v>
          </cell>
          <cell r="H39">
            <v>11434.142193175445</v>
          </cell>
          <cell r="I39">
            <v>2233577.1883180081</v>
          </cell>
          <cell r="J39">
            <v>310767.62354365224</v>
          </cell>
        </row>
        <row r="40">
          <cell r="A40">
            <v>23</v>
          </cell>
          <cell r="B40">
            <v>41609</v>
          </cell>
          <cell r="C40">
            <v>2233577.1883180081</v>
          </cell>
          <cell r="D40">
            <v>64685.392510256519</v>
          </cell>
          <cell r="E40">
            <v>0</v>
          </cell>
          <cell r="F40">
            <v>64685.392510256519</v>
          </cell>
          <cell r="G40">
            <v>53517.506568666482</v>
          </cell>
          <cell r="H40">
            <v>11167.885941590039</v>
          </cell>
          <cell r="I40">
            <v>2180059.6817493415</v>
          </cell>
          <cell r="J40">
            <v>321935.50948524231</v>
          </cell>
        </row>
        <row r="41">
          <cell r="A41">
            <v>24</v>
          </cell>
          <cell r="B41">
            <v>41640</v>
          </cell>
          <cell r="C41">
            <v>2180059.6817493415</v>
          </cell>
          <cell r="D41">
            <v>64685.392510256519</v>
          </cell>
          <cell r="E41">
            <v>0</v>
          </cell>
          <cell r="F41">
            <v>64685.392510256519</v>
          </cell>
          <cell r="G41">
            <v>53785.094101509814</v>
          </cell>
          <cell r="H41">
            <v>10900.298408746707</v>
          </cell>
          <cell r="I41">
            <v>2126274.5876478315</v>
          </cell>
          <cell r="J41">
            <v>332835.80789398903</v>
          </cell>
        </row>
        <row r="42">
          <cell r="A42">
            <v>25</v>
          </cell>
          <cell r="B42">
            <v>41671</v>
          </cell>
          <cell r="C42">
            <v>2126274.5876478315</v>
          </cell>
          <cell r="D42">
            <v>64685.392510256519</v>
          </cell>
          <cell r="E42">
            <v>0</v>
          </cell>
          <cell r="F42">
            <v>64685.392510256519</v>
          </cell>
          <cell r="G42">
            <v>54054.019572017365</v>
          </cell>
          <cell r="H42">
            <v>10631.372938239158</v>
          </cell>
          <cell r="I42">
            <v>2072220.5680758143</v>
          </cell>
          <cell r="J42">
            <v>343467.18083222816</v>
          </cell>
        </row>
        <row r="43">
          <cell r="A43">
            <v>26</v>
          </cell>
          <cell r="B43">
            <v>41699</v>
          </cell>
          <cell r="C43">
            <v>2072220.5680758143</v>
          </cell>
          <cell r="D43">
            <v>64685.392510256519</v>
          </cell>
          <cell r="E43">
            <v>0</v>
          </cell>
          <cell r="F43">
            <v>64685.392510256519</v>
          </cell>
          <cell r="G43">
            <v>54324.289669877449</v>
          </cell>
          <cell r="H43">
            <v>10361.102840379071</v>
          </cell>
          <cell r="I43">
            <v>2017896.2784059369</v>
          </cell>
          <cell r="J43">
            <v>353828.28367260721</v>
          </cell>
        </row>
        <row r="44">
          <cell r="A44">
            <v>27</v>
          </cell>
          <cell r="B44">
            <v>41730</v>
          </cell>
          <cell r="C44">
            <v>2017896.2784059369</v>
          </cell>
          <cell r="D44">
            <v>64685.392510256519</v>
          </cell>
          <cell r="E44">
            <v>0</v>
          </cell>
          <cell r="F44">
            <v>64685.392510256519</v>
          </cell>
          <cell r="G44">
            <v>54595.911118226839</v>
          </cell>
          <cell r="H44">
            <v>10089.481392029684</v>
          </cell>
          <cell r="I44">
            <v>1963300.3672877101</v>
          </cell>
          <cell r="J44">
            <v>363917.76506463689</v>
          </cell>
        </row>
        <row r="45">
          <cell r="A45">
            <v>28</v>
          </cell>
          <cell r="B45">
            <v>41760</v>
          </cell>
          <cell r="C45">
            <v>1963300.3672877101</v>
          </cell>
          <cell r="D45">
            <v>64685.392510256519</v>
          </cell>
          <cell r="E45">
            <v>0</v>
          </cell>
          <cell r="F45">
            <v>64685.392510256519</v>
          </cell>
          <cell r="G45">
            <v>54868.890673817965</v>
          </cell>
          <cell r="H45">
            <v>9816.5018364385505</v>
          </cell>
          <cell r="I45">
            <v>1908431.476613892</v>
          </cell>
          <cell r="J45">
            <v>373734.26690107543</v>
          </cell>
        </row>
        <row r="46">
          <cell r="A46">
            <v>29</v>
          </cell>
          <cell r="B46">
            <v>41791</v>
          </cell>
          <cell r="C46">
            <v>1908431.476613892</v>
          </cell>
          <cell r="D46">
            <v>64685.392510256519</v>
          </cell>
          <cell r="E46">
            <v>0</v>
          </cell>
          <cell r="F46">
            <v>64685.392510256519</v>
          </cell>
          <cell r="G46">
            <v>55143.235127187058</v>
          </cell>
          <cell r="H46">
            <v>9542.1573830694597</v>
          </cell>
          <cell r="I46">
            <v>1853288.2414867049</v>
          </cell>
          <cell r="J46">
            <v>383276.42428414489</v>
          </cell>
        </row>
        <row r="47">
          <cell r="A47">
            <v>30</v>
          </cell>
          <cell r="B47">
            <v>41821</v>
          </cell>
          <cell r="C47">
            <v>1853288.2414867049</v>
          </cell>
          <cell r="D47">
            <v>64685.392510256519</v>
          </cell>
          <cell r="E47">
            <v>0</v>
          </cell>
          <cell r="F47">
            <v>64685.392510256519</v>
          </cell>
          <cell r="G47">
            <v>55418.951302822992</v>
          </cell>
          <cell r="H47">
            <v>9266.4412074335251</v>
          </cell>
          <cell r="I47">
            <v>1797869.290183882</v>
          </cell>
          <cell r="J47">
            <v>392542.86549157841</v>
          </cell>
        </row>
        <row r="48">
          <cell r="A48">
            <v>31</v>
          </cell>
          <cell r="B48">
            <v>41852</v>
          </cell>
          <cell r="C48">
            <v>1797869.290183882</v>
          </cell>
          <cell r="D48">
            <v>64685.392510256519</v>
          </cell>
          <cell r="E48">
            <v>0</v>
          </cell>
          <cell r="F48">
            <v>64685.392510256519</v>
          </cell>
          <cell r="G48">
            <v>55696.04605933711</v>
          </cell>
          <cell r="H48">
            <v>8989.3464509194091</v>
          </cell>
          <cell r="I48">
            <v>1742173.2441245448</v>
          </cell>
          <cell r="J48">
            <v>401532.21194249782</v>
          </cell>
        </row>
        <row r="49">
          <cell r="A49">
            <v>32</v>
          </cell>
          <cell r="B49">
            <v>41883</v>
          </cell>
          <cell r="C49">
            <v>1742173.2441245448</v>
          </cell>
          <cell r="D49">
            <v>64685.392510256519</v>
          </cell>
          <cell r="E49">
            <v>0</v>
          </cell>
          <cell r="F49">
            <v>64685.392510256519</v>
          </cell>
          <cell r="G49">
            <v>55974.526289633795</v>
          </cell>
          <cell r="H49">
            <v>8710.8662206227236</v>
          </cell>
          <cell r="I49">
            <v>1686198.7178349111</v>
          </cell>
          <cell r="J49">
            <v>410243.07816312055</v>
          </cell>
        </row>
        <row r="50">
          <cell r="A50">
            <v>33</v>
          </cell>
          <cell r="B50">
            <v>41913</v>
          </cell>
          <cell r="C50">
            <v>1686198.7178349111</v>
          </cell>
          <cell r="D50">
            <v>64685.392510256519</v>
          </cell>
          <cell r="E50">
            <v>0</v>
          </cell>
          <cell r="F50">
            <v>64685.392510256519</v>
          </cell>
          <cell r="G50">
            <v>56254.398921081964</v>
          </cell>
          <cell r="H50">
            <v>8430.9935891745554</v>
          </cell>
          <cell r="I50">
            <v>1629944.318913829</v>
          </cell>
          <cell r="J50">
            <v>418674.07175229513</v>
          </cell>
        </row>
        <row r="51">
          <cell r="A51">
            <v>34</v>
          </cell>
          <cell r="B51">
            <v>41944</v>
          </cell>
          <cell r="C51">
            <v>1629944.318913829</v>
          </cell>
          <cell r="D51">
            <v>64685.392510256519</v>
          </cell>
          <cell r="E51">
            <v>0</v>
          </cell>
          <cell r="F51">
            <v>64685.392510256519</v>
          </cell>
          <cell r="G51">
            <v>56535.670915687377</v>
          </cell>
          <cell r="H51">
            <v>8149.7215945691451</v>
          </cell>
          <cell r="I51">
            <v>1573408.6479981416</v>
          </cell>
          <cell r="J51">
            <v>426823.79334686429</v>
          </cell>
        </row>
        <row r="52">
          <cell r="A52">
            <v>35</v>
          </cell>
          <cell r="B52">
            <v>41974</v>
          </cell>
          <cell r="C52">
            <v>1573408.6479981416</v>
          </cell>
          <cell r="D52">
            <v>64685.392510256519</v>
          </cell>
          <cell r="E52">
            <v>0</v>
          </cell>
          <cell r="F52">
            <v>64685.392510256519</v>
          </cell>
          <cell r="G52">
            <v>56818.349270265811</v>
          </cell>
          <cell r="H52">
            <v>7867.0432399907077</v>
          </cell>
          <cell r="I52">
            <v>1516590.2987278758</v>
          </cell>
          <cell r="J52">
            <v>434690.836586855</v>
          </cell>
        </row>
        <row r="53">
          <cell r="A53">
            <v>36</v>
          </cell>
          <cell r="B53">
            <v>42005</v>
          </cell>
          <cell r="C53">
            <v>1516590.2987278758</v>
          </cell>
          <cell r="D53">
            <v>64685.392510256519</v>
          </cell>
          <cell r="E53">
            <v>0</v>
          </cell>
          <cell r="F53">
            <v>64685.392510256519</v>
          </cell>
          <cell r="G53">
            <v>57102.441016617144</v>
          </cell>
          <cell r="H53">
            <v>7582.9514936393789</v>
          </cell>
          <cell r="I53">
            <v>1459487.8577112586</v>
          </cell>
          <cell r="J53">
            <v>442273.78808049439</v>
          </cell>
        </row>
        <row r="54">
          <cell r="A54">
            <v>37</v>
          </cell>
          <cell r="B54">
            <v>42036</v>
          </cell>
          <cell r="C54">
            <v>1459487.8577112586</v>
          </cell>
          <cell r="D54">
            <v>64685.392510256519</v>
          </cell>
          <cell r="E54">
            <v>0</v>
          </cell>
          <cell r="F54">
            <v>64685.392510256519</v>
          </cell>
          <cell r="G54">
            <v>57387.953221700227</v>
          </cell>
          <cell r="H54">
            <v>7297.439288556292</v>
          </cell>
          <cell r="I54">
            <v>1402099.9044895584</v>
          </cell>
          <cell r="J54">
            <v>449571.22736905067</v>
          </cell>
        </row>
        <row r="55">
          <cell r="A55">
            <v>38</v>
          </cell>
          <cell r="B55">
            <v>42064</v>
          </cell>
          <cell r="C55">
            <v>1402099.9044895584</v>
          </cell>
          <cell r="D55">
            <v>64685.392510256519</v>
          </cell>
          <cell r="E55">
            <v>0</v>
          </cell>
          <cell r="F55">
            <v>64685.392510256519</v>
          </cell>
          <cell r="G55">
            <v>57674.892987808729</v>
          </cell>
          <cell r="H55">
            <v>7010.4995224477925</v>
          </cell>
          <cell r="I55">
            <v>1344425.0115017497</v>
          </cell>
          <cell r="J55">
            <v>456581.72689149849</v>
          </cell>
        </row>
        <row r="56">
          <cell r="A56">
            <v>39</v>
          </cell>
          <cell r="B56">
            <v>42095</v>
          </cell>
          <cell r="C56">
            <v>1344425.0115017497</v>
          </cell>
          <cell r="D56">
            <v>64685.392510256519</v>
          </cell>
          <cell r="E56">
            <v>0</v>
          </cell>
          <cell r="F56">
            <v>64685.392510256519</v>
          </cell>
          <cell r="G56">
            <v>57963.267452747772</v>
          </cell>
          <cell r="H56">
            <v>6722.1250575087479</v>
          </cell>
          <cell r="I56">
            <v>1286461.744049002</v>
          </cell>
          <cell r="J56">
            <v>463303.85194900725</v>
          </cell>
        </row>
        <row r="57">
          <cell r="A57">
            <v>40</v>
          </cell>
          <cell r="B57">
            <v>42125</v>
          </cell>
          <cell r="C57">
            <v>1286461.744049002</v>
          </cell>
          <cell r="D57">
            <v>64685.392510256519</v>
          </cell>
          <cell r="E57">
            <v>0</v>
          </cell>
          <cell r="F57">
            <v>64685.392510256519</v>
          </cell>
          <cell r="G57">
            <v>58253.083790011508</v>
          </cell>
          <cell r="H57">
            <v>6432.3087202450088</v>
          </cell>
          <cell r="I57">
            <v>1228208.6602589905</v>
          </cell>
          <cell r="J57">
            <v>469736.16066925228</v>
          </cell>
        </row>
        <row r="58">
          <cell r="A58">
            <v>41</v>
          </cell>
          <cell r="B58">
            <v>42156</v>
          </cell>
          <cell r="C58">
            <v>1228208.6602589905</v>
          </cell>
          <cell r="D58">
            <v>64685.392510256519</v>
          </cell>
          <cell r="E58">
            <v>0</v>
          </cell>
          <cell r="F58">
            <v>64685.392510256519</v>
          </cell>
          <cell r="G58">
            <v>58544.349208961568</v>
          </cell>
          <cell r="H58">
            <v>6141.0433012949516</v>
          </cell>
          <cell r="I58">
            <v>1169664.311050029</v>
          </cell>
          <cell r="J58">
            <v>475877.20397054724</v>
          </cell>
        </row>
        <row r="59">
          <cell r="A59">
            <v>42</v>
          </cell>
          <cell r="B59">
            <v>42186</v>
          </cell>
          <cell r="C59">
            <v>1169664.311050029</v>
          </cell>
          <cell r="D59">
            <v>64685.392510256519</v>
          </cell>
          <cell r="E59">
            <v>0</v>
          </cell>
          <cell r="F59">
            <v>64685.392510256519</v>
          </cell>
          <cell r="G59">
            <v>58837.070955006377</v>
          </cell>
          <cell r="H59">
            <v>5848.3215552501451</v>
          </cell>
          <cell r="I59">
            <v>1110827.2400950226</v>
          </cell>
          <cell r="J59">
            <v>481725.52552579739</v>
          </cell>
        </row>
        <row r="60">
          <cell r="A60">
            <v>43</v>
          </cell>
          <cell r="B60">
            <v>42217</v>
          </cell>
          <cell r="C60">
            <v>1110827.2400950226</v>
          </cell>
          <cell r="D60">
            <v>64685.392510256519</v>
          </cell>
          <cell r="E60">
            <v>0</v>
          </cell>
          <cell r="F60">
            <v>64685.392510256519</v>
          </cell>
          <cell r="G60">
            <v>59131.256309781405</v>
          </cell>
          <cell r="H60">
            <v>5554.1362004751127</v>
          </cell>
          <cell r="I60">
            <v>1051695.9837852411</v>
          </cell>
          <cell r="J60">
            <v>487279.66172627249</v>
          </cell>
        </row>
        <row r="61">
          <cell r="A61">
            <v>44</v>
          </cell>
          <cell r="B61">
            <v>42248</v>
          </cell>
          <cell r="C61">
            <v>1051695.9837852411</v>
          </cell>
          <cell r="D61">
            <v>64685.392510256519</v>
          </cell>
          <cell r="E61">
            <v>0</v>
          </cell>
          <cell r="F61">
            <v>64685.392510256519</v>
          </cell>
          <cell r="G61">
            <v>59426.912591330314</v>
          </cell>
          <cell r="H61">
            <v>5258.4799189262058</v>
          </cell>
          <cell r="I61">
            <v>992269.07119391079</v>
          </cell>
          <cell r="J61">
            <v>492538.14164519869</v>
          </cell>
        </row>
        <row r="62">
          <cell r="A62">
            <v>45</v>
          </cell>
          <cell r="B62">
            <v>42278</v>
          </cell>
          <cell r="C62">
            <v>992269.07119391079</v>
          </cell>
          <cell r="D62">
            <v>64685.392510256519</v>
          </cell>
          <cell r="E62">
            <v>0</v>
          </cell>
          <cell r="F62">
            <v>64685.392510256519</v>
          </cell>
          <cell r="G62">
            <v>59724.047154286964</v>
          </cell>
          <cell r="H62">
            <v>4961.3453559695536</v>
          </cell>
          <cell r="I62">
            <v>932545.02403962379</v>
          </cell>
          <cell r="J62">
            <v>497499.48700116825</v>
          </cell>
        </row>
        <row r="63">
          <cell r="A63">
            <v>46</v>
          </cell>
          <cell r="B63">
            <v>42309</v>
          </cell>
          <cell r="C63">
            <v>932545.02403962379</v>
          </cell>
          <cell r="D63">
            <v>64685.392510256519</v>
          </cell>
          <cell r="E63">
            <v>0</v>
          </cell>
          <cell r="F63">
            <v>64685.392510256519</v>
          </cell>
          <cell r="G63">
            <v>60022.667390058399</v>
          </cell>
          <cell r="H63">
            <v>4662.7251201981189</v>
          </cell>
          <cell r="I63">
            <v>872522.35664956539</v>
          </cell>
          <cell r="J63">
            <v>502162.21212136635</v>
          </cell>
        </row>
        <row r="64">
          <cell r="A64">
            <v>47</v>
          </cell>
          <cell r="B64">
            <v>42339</v>
          </cell>
          <cell r="C64">
            <v>872522.35664956539</v>
          </cell>
          <cell r="D64">
            <v>64685.392510256519</v>
          </cell>
          <cell r="E64">
            <v>0</v>
          </cell>
          <cell r="F64">
            <v>64685.392510256519</v>
          </cell>
          <cell r="G64">
            <v>60322.780727008692</v>
          </cell>
          <cell r="H64">
            <v>4362.6117832478267</v>
          </cell>
          <cell r="I64">
            <v>812199.57592255669</v>
          </cell>
          <cell r="J64">
            <v>506524.8239046142</v>
          </cell>
        </row>
        <row r="65">
          <cell r="A65">
            <v>48</v>
          </cell>
          <cell r="B65">
            <v>42370</v>
          </cell>
          <cell r="C65">
            <v>812199.57592255669</v>
          </cell>
          <cell r="D65">
            <v>64685.392510256519</v>
          </cell>
          <cell r="E65">
            <v>0</v>
          </cell>
          <cell r="F65">
            <v>64685.392510256519</v>
          </cell>
          <cell r="G65">
            <v>60624.394630643736</v>
          </cell>
          <cell r="H65">
            <v>4060.9978796127834</v>
          </cell>
          <cell r="I65">
            <v>751575.18129191292</v>
          </cell>
          <cell r="J65">
            <v>510585.82178422698</v>
          </cell>
        </row>
        <row r="66">
          <cell r="A66">
            <v>49</v>
          </cell>
          <cell r="B66">
            <v>42401</v>
          </cell>
          <cell r="C66">
            <v>751575.18129191292</v>
          </cell>
          <cell r="D66">
            <v>64685.392510256519</v>
          </cell>
          <cell r="E66">
            <v>0</v>
          </cell>
          <cell r="F66">
            <v>64685.392510256519</v>
          </cell>
          <cell r="G66">
            <v>60927.516603796954</v>
          </cell>
          <cell r="H66">
            <v>3757.8759064595647</v>
          </cell>
          <cell r="I66">
            <v>690647.66468811594</v>
          </cell>
          <cell r="J66">
            <v>514343.69769068656</v>
          </cell>
        </row>
        <row r="67">
          <cell r="A67">
            <v>50</v>
          </cell>
          <cell r="B67">
            <v>42430</v>
          </cell>
          <cell r="C67">
            <v>690647.66468811594</v>
          </cell>
          <cell r="D67">
            <v>64685.392510256519</v>
          </cell>
          <cell r="E67">
            <v>0</v>
          </cell>
          <cell r="F67">
            <v>64685.392510256519</v>
          </cell>
          <cell r="G67">
            <v>61232.15418681594</v>
          </cell>
          <cell r="H67">
            <v>3453.2383234405793</v>
          </cell>
          <cell r="I67">
            <v>629415.51050129998</v>
          </cell>
          <cell r="J67">
            <v>517796.93601412716</v>
          </cell>
        </row>
        <row r="68">
          <cell r="A68">
            <v>51</v>
          </cell>
          <cell r="B68">
            <v>42461</v>
          </cell>
          <cell r="C68">
            <v>629415.51050129998</v>
          </cell>
          <cell r="D68">
            <v>64685.392510256519</v>
          </cell>
          <cell r="E68">
            <v>0</v>
          </cell>
          <cell r="F68">
            <v>64685.392510256519</v>
          </cell>
          <cell r="G68">
            <v>61538.314957750015</v>
          </cell>
          <cell r="H68">
            <v>3147.0775525065001</v>
          </cell>
          <cell r="I68">
            <v>567877.19554354995</v>
          </cell>
          <cell r="J68">
            <v>520944.01356663369</v>
          </cell>
        </row>
        <row r="69">
          <cell r="A69">
            <v>52</v>
          </cell>
          <cell r="B69">
            <v>42491</v>
          </cell>
          <cell r="C69">
            <v>567877.19554354995</v>
          </cell>
          <cell r="D69">
            <v>64685.392510256519</v>
          </cell>
          <cell r="E69">
            <v>0</v>
          </cell>
          <cell r="F69">
            <v>64685.392510256519</v>
          </cell>
          <cell r="G69">
            <v>61846.00653253877</v>
          </cell>
          <cell r="H69">
            <v>2839.3859777177495</v>
          </cell>
          <cell r="I69">
            <v>506031.18901101116</v>
          </cell>
          <cell r="J69">
            <v>523783.39954435144</v>
          </cell>
        </row>
        <row r="70">
          <cell r="A70">
            <v>53</v>
          </cell>
          <cell r="B70">
            <v>42522</v>
          </cell>
          <cell r="C70">
            <v>506031.18901101116</v>
          </cell>
          <cell r="D70">
            <v>64685.392510256519</v>
          </cell>
          <cell r="E70">
            <v>0</v>
          </cell>
          <cell r="F70">
            <v>64685.392510256519</v>
          </cell>
          <cell r="G70">
            <v>62155.236565201463</v>
          </cell>
          <cell r="H70">
            <v>2530.1559450550558</v>
          </cell>
          <cell r="I70">
            <v>443875.95244580967</v>
          </cell>
          <cell r="J70">
            <v>526313.55548940646</v>
          </cell>
        </row>
        <row r="71">
          <cell r="A71">
            <v>54</v>
          </cell>
          <cell r="B71">
            <v>42552</v>
          </cell>
          <cell r="C71">
            <v>443875.95244580967</v>
          </cell>
          <cell r="D71">
            <v>64685.392510256519</v>
          </cell>
          <cell r="E71">
            <v>0</v>
          </cell>
          <cell r="F71">
            <v>64685.392510256519</v>
          </cell>
          <cell r="G71">
            <v>62466.012748027468</v>
          </cell>
          <cell r="H71">
            <v>2219.3797622290481</v>
          </cell>
          <cell r="I71">
            <v>381409.93969778222</v>
          </cell>
          <cell r="J71">
            <v>528532.9352516355</v>
          </cell>
        </row>
        <row r="72">
          <cell r="A72">
            <v>55</v>
          </cell>
          <cell r="B72">
            <v>42583</v>
          </cell>
          <cell r="C72">
            <v>381409.93969778222</v>
          </cell>
          <cell r="D72">
            <v>64685.392510256519</v>
          </cell>
          <cell r="E72">
            <v>0</v>
          </cell>
          <cell r="F72">
            <v>64685.392510256519</v>
          </cell>
          <cell r="G72">
            <v>62778.342811767609</v>
          </cell>
          <cell r="H72">
            <v>1907.0496984889112</v>
          </cell>
          <cell r="I72">
            <v>318631.59688601462</v>
          </cell>
          <cell r="J72">
            <v>530439.9849501244</v>
          </cell>
        </row>
        <row r="73">
          <cell r="A73">
            <v>56</v>
          </cell>
          <cell r="B73">
            <v>42614</v>
          </cell>
          <cell r="C73">
            <v>318631.59688601462</v>
          </cell>
          <cell r="D73">
            <v>64685.392510256519</v>
          </cell>
          <cell r="E73">
            <v>0</v>
          </cell>
          <cell r="F73">
            <v>64685.392510256519</v>
          </cell>
          <cell r="G73">
            <v>63092.234525826447</v>
          </cell>
          <cell r="H73">
            <v>1593.1579844300732</v>
          </cell>
          <cell r="I73">
            <v>255539.36236018818</v>
          </cell>
          <cell r="J73">
            <v>532033.14293455449</v>
          </cell>
        </row>
        <row r="74">
          <cell r="A74">
            <v>57</v>
          </cell>
          <cell r="B74">
            <v>42644</v>
          </cell>
          <cell r="C74">
            <v>255539.36236018818</v>
          </cell>
          <cell r="D74">
            <v>64685.392510256519</v>
          </cell>
          <cell r="E74">
            <v>0</v>
          </cell>
          <cell r="F74">
            <v>64685.392510256519</v>
          </cell>
          <cell r="G74">
            <v>63407.69569845558</v>
          </cell>
          <cell r="H74">
            <v>1277.6968118009408</v>
          </cell>
          <cell r="I74">
            <v>192131.6666617326</v>
          </cell>
          <cell r="J74">
            <v>533310.83974635543</v>
          </cell>
        </row>
        <row r="75">
          <cell r="A75">
            <v>58</v>
          </cell>
          <cell r="B75">
            <v>42675</v>
          </cell>
          <cell r="C75">
            <v>192131.6666617326</v>
          </cell>
          <cell r="D75">
            <v>64685.392510256519</v>
          </cell>
          <cell r="E75">
            <v>0</v>
          </cell>
          <cell r="F75">
            <v>64685.392510256519</v>
          </cell>
          <cell r="G75">
            <v>63724.734176947859</v>
          </cell>
          <cell r="H75">
            <v>960.65833330866292</v>
          </cell>
          <cell r="I75">
            <v>128406.93248478475</v>
          </cell>
          <cell r="J75">
            <v>534271.49807966407</v>
          </cell>
        </row>
        <row r="76">
          <cell r="A76">
            <v>59</v>
          </cell>
          <cell r="B76">
            <v>42705</v>
          </cell>
          <cell r="C76">
            <v>128406.93248478475</v>
          </cell>
          <cell r="D76">
            <v>64685.392510256519</v>
          </cell>
          <cell r="E76">
            <v>0</v>
          </cell>
          <cell r="F76">
            <v>64685.392510256519</v>
          </cell>
          <cell r="G76">
            <v>64043.357847832594</v>
          </cell>
          <cell r="H76">
            <v>642.03466242392369</v>
          </cell>
          <cell r="I76">
            <v>64363.574636952151</v>
          </cell>
          <cell r="J76">
            <v>534913.53274208796</v>
          </cell>
        </row>
        <row r="77">
          <cell r="A77">
            <v>60</v>
          </cell>
          <cell r="B77">
            <v>42736</v>
          </cell>
          <cell r="C77">
            <v>64363.574636952151</v>
          </cell>
          <cell r="D77">
            <v>64685.392510256519</v>
          </cell>
          <cell r="E77">
            <v>0</v>
          </cell>
          <cell r="F77">
            <v>64363.574636952151</v>
          </cell>
          <cell r="G77">
            <v>64041.756763767393</v>
          </cell>
          <cell r="H77">
            <v>321.81787318476074</v>
          </cell>
          <cell r="I77">
            <v>0</v>
          </cell>
          <cell r="J77">
            <v>535235.35061527276</v>
          </cell>
        </row>
        <row r="78">
          <cell r="A78">
            <v>61</v>
          </cell>
          <cell r="B78">
            <v>42767</v>
          </cell>
          <cell r="C78">
            <v>0</v>
          </cell>
          <cell r="D78">
            <v>64685.392510256519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535235.35061527276</v>
          </cell>
        </row>
        <row r="79">
          <cell r="A79">
            <v>62</v>
          </cell>
          <cell r="B79">
            <v>42795</v>
          </cell>
          <cell r="C79">
            <v>0</v>
          </cell>
          <cell r="D79">
            <v>64685.392510256519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535235.35061527276</v>
          </cell>
        </row>
        <row r="80">
          <cell r="A80">
            <v>63</v>
          </cell>
          <cell r="B80">
            <v>42826</v>
          </cell>
          <cell r="C80">
            <v>0</v>
          </cell>
          <cell r="D80">
            <v>64685.392510256519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535235.35061527276</v>
          </cell>
        </row>
        <row r="81">
          <cell r="A81">
            <v>64</v>
          </cell>
          <cell r="B81">
            <v>42856</v>
          </cell>
          <cell r="C81">
            <v>0</v>
          </cell>
          <cell r="D81">
            <v>64685.392510256519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535235.35061527276</v>
          </cell>
        </row>
        <row r="82">
          <cell r="A82">
            <v>65</v>
          </cell>
          <cell r="B82">
            <v>42887</v>
          </cell>
          <cell r="C82">
            <v>0</v>
          </cell>
          <cell r="D82">
            <v>64685.392510256519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535235.35061527276</v>
          </cell>
        </row>
        <row r="83">
          <cell r="A83">
            <v>66</v>
          </cell>
          <cell r="B83">
            <v>42917</v>
          </cell>
          <cell r="C83">
            <v>0</v>
          </cell>
          <cell r="D83">
            <v>64685.392510256519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535235.35061527276</v>
          </cell>
        </row>
        <row r="84">
          <cell r="A84">
            <v>67</v>
          </cell>
          <cell r="B84">
            <v>42948</v>
          </cell>
          <cell r="C84">
            <v>0</v>
          </cell>
          <cell r="D84">
            <v>64685.392510256519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535235.35061527276</v>
          </cell>
        </row>
        <row r="85">
          <cell r="A85">
            <v>68</v>
          </cell>
          <cell r="B85">
            <v>42979</v>
          </cell>
          <cell r="C85">
            <v>0</v>
          </cell>
          <cell r="D85">
            <v>64685.392510256519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535235.35061527276</v>
          </cell>
        </row>
        <row r="86">
          <cell r="A86">
            <v>69</v>
          </cell>
          <cell r="B86">
            <v>43009</v>
          </cell>
          <cell r="C86">
            <v>0</v>
          </cell>
          <cell r="D86">
            <v>64685.392510256519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535235.35061527276</v>
          </cell>
        </row>
        <row r="87">
          <cell r="A87">
            <v>70</v>
          </cell>
          <cell r="B87">
            <v>43040</v>
          </cell>
          <cell r="C87">
            <v>0</v>
          </cell>
          <cell r="D87">
            <v>64685.392510256519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535235.35061527276</v>
          </cell>
        </row>
        <row r="88">
          <cell r="A88">
            <v>71</v>
          </cell>
          <cell r="B88">
            <v>43070</v>
          </cell>
          <cell r="C88">
            <v>0</v>
          </cell>
          <cell r="D88">
            <v>64685.392510256519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535235.35061527276</v>
          </cell>
        </row>
        <row r="89">
          <cell r="A89">
            <v>72</v>
          </cell>
          <cell r="B89">
            <v>43101</v>
          </cell>
          <cell r="C89">
            <v>0</v>
          </cell>
          <cell r="D89">
            <v>64685.392510256519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535235.35061527276</v>
          </cell>
        </row>
        <row r="90">
          <cell r="A90">
            <v>73</v>
          </cell>
          <cell r="B90">
            <v>43132</v>
          </cell>
          <cell r="C90">
            <v>0</v>
          </cell>
          <cell r="D90">
            <v>64685.392510256519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535235.35061527276</v>
          </cell>
        </row>
        <row r="91">
          <cell r="A91">
            <v>74</v>
          </cell>
          <cell r="B91">
            <v>43160</v>
          </cell>
          <cell r="C91">
            <v>0</v>
          </cell>
          <cell r="D91">
            <v>64685.392510256519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535235.35061527276</v>
          </cell>
        </row>
        <row r="92">
          <cell r="A92">
            <v>75</v>
          </cell>
          <cell r="B92">
            <v>43191</v>
          </cell>
          <cell r="C92">
            <v>0</v>
          </cell>
          <cell r="D92">
            <v>64685.392510256519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535235.35061527276</v>
          </cell>
        </row>
        <row r="93">
          <cell r="A93">
            <v>76</v>
          </cell>
          <cell r="B93">
            <v>43221</v>
          </cell>
          <cell r="C93">
            <v>0</v>
          </cell>
          <cell r="D93">
            <v>64685.392510256519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535235.35061527276</v>
          </cell>
        </row>
        <row r="94">
          <cell r="A94">
            <v>77</v>
          </cell>
          <cell r="B94">
            <v>43252</v>
          </cell>
          <cell r="C94">
            <v>0</v>
          </cell>
          <cell r="D94">
            <v>64685.392510256519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535235.35061527276</v>
          </cell>
        </row>
        <row r="95">
          <cell r="A95">
            <v>78</v>
          </cell>
          <cell r="B95">
            <v>43282</v>
          </cell>
          <cell r="C95">
            <v>0</v>
          </cell>
          <cell r="D95">
            <v>64685.392510256519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535235.35061527276</v>
          </cell>
        </row>
        <row r="96">
          <cell r="A96">
            <v>79</v>
          </cell>
          <cell r="B96">
            <v>43313</v>
          </cell>
          <cell r="C96">
            <v>0</v>
          </cell>
          <cell r="D96">
            <v>64685.392510256519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535235.35061527276</v>
          </cell>
        </row>
        <row r="97">
          <cell r="A97">
            <v>80</v>
          </cell>
          <cell r="B97">
            <v>43344</v>
          </cell>
          <cell r="C97">
            <v>0</v>
          </cell>
          <cell r="D97">
            <v>64685.392510256519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535235.35061527276</v>
          </cell>
        </row>
        <row r="98">
          <cell r="A98">
            <v>81</v>
          </cell>
          <cell r="B98">
            <v>43374</v>
          </cell>
          <cell r="C98">
            <v>0</v>
          </cell>
          <cell r="D98">
            <v>64685.392510256519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535235.35061527276</v>
          </cell>
        </row>
        <row r="99">
          <cell r="A99">
            <v>82</v>
          </cell>
          <cell r="B99">
            <v>43405</v>
          </cell>
          <cell r="C99">
            <v>0</v>
          </cell>
          <cell r="D99">
            <v>64685.392510256519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535235.35061527276</v>
          </cell>
        </row>
        <row r="100">
          <cell r="A100">
            <v>83</v>
          </cell>
          <cell r="B100">
            <v>43435</v>
          </cell>
          <cell r="C100">
            <v>0</v>
          </cell>
          <cell r="D100">
            <v>64685.392510256519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535235.35061527276</v>
          </cell>
        </row>
        <row r="101">
          <cell r="A101">
            <v>84</v>
          </cell>
          <cell r="B101">
            <v>43466</v>
          </cell>
          <cell r="C101">
            <v>0</v>
          </cell>
          <cell r="D101">
            <v>64685.392510256519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535235.35061527276</v>
          </cell>
        </row>
        <row r="102">
          <cell r="A102">
            <v>85</v>
          </cell>
          <cell r="B102">
            <v>43497</v>
          </cell>
          <cell r="C102">
            <v>0</v>
          </cell>
          <cell r="D102">
            <v>64685.392510256519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535235.35061527276</v>
          </cell>
        </row>
        <row r="103">
          <cell r="A103">
            <v>86</v>
          </cell>
          <cell r="B103">
            <v>43525</v>
          </cell>
          <cell r="C103">
            <v>0</v>
          </cell>
          <cell r="D103">
            <v>64685.392510256519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535235.35061527276</v>
          </cell>
        </row>
        <row r="104">
          <cell r="A104">
            <v>87</v>
          </cell>
          <cell r="B104">
            <v>43556</v>
          </cell>
          <cell r="C104">
            <v>0</v>
          </cell>
          <cell r="D104">
            <v>64685.392510256519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535235.35061527276</v>
          </cell>
        </row>
        <row r="105">
          <cell r="A105">
            <v>88</v>
          </cell>
          <cell r="B105">
            <v>43586</v>
          </cell>
          <cell r="C105">
            <v>0</v>
          </cell>
          <cell r="D105">
            <v>64685.392510256519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535235.35061527276</v>
          </cell>
        </row>
        <row r="106">
          <cell r="A106">
            <v>89</v>
          </cell>
          <cell r="B106">
            <v>43617</v>
          </cell>
          <cell r="C106">
            <v>0</v>
          </cell>
          <cell r="D106">
            <v>64685.392510256519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535235.35061527276</v>
          </cell>
        </row>
        <row r="107">
          <cell r="A107">
            <v>90</v>
          </cell>
          <cell r="B107">
            <v>43647</v>
          </cell>
          <cell r="C107">
            <v>0</v>
          </cell>
          <cell r="D107">
            <v>64685.392510256519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535235.35061527276</v>
          </cell>
        </row>
        <row r="108">
          <cell r="A108">
            <v>91</v>
          </cell>
          <cell r="B108">
            <v>43678</v>
          </cell>
          <cell r="C108">
            <v>0</v>
          </cell>
          <cell r="D108">
            <v>64685.392510256519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535235.35061527276</v>
          </cell>
        </row>
        <row r="109">
          <cell r="A109">
            <v>92</v>
          </cell>
          <cell r="B109">
            <v>43709</v>
          </cell>
          <cell r="C109">
            <v>0</v>
          </cell>
          <cell r="D109">
            <v>64685.392510256519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535235.35061527276</v>
          </cell>
        </row>
        <row r="110">
          <cell r="A110">
            <v>93</v>
          </cell>
          <cell r="B110">
            <v>43739</v>
          </cell>
          <cell r="C110">
            <v>0</v>
          </cell>
          <cell r="D110">
            <v>64685.392510256519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535235.35061527276</v>
          </cell>
        </row>
        <row r="111">
          <cell r="A111">
            <v>94</v>
          </cell>
          <cell r="B111">
            <v>43770</v>
          </cell>
          <cell r="C111">
            <v>0</v>
          </cell>
          <cell r="D111">
            <v>64685.392510256519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535235.35061527276</v>
          </cell>
        </row>
        <row r="112">
          <cell r="A112">
            <v>95</v>
          </cell>
          <cell r="B112">
            <v>43800</v>
          </cell>
          <cell r="C112">
            <v>0</v>
          </cell>
          <cell r="D112">
            <v>64685.392510256519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535235.35061527276</v>
          </cell>
        </row>
        <row r="113">
          <cell r="A113">
            <v>96</v>
          </cell>
          <cell r="B113">
            <v>43831</v>
          </cell>
          <cell r="C113">
            <v>0</v>
          </cell>
          <cell r="D113">
            <v>64685.392510256519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535235.35061527276</v>
          </cell>
        </row>
        <row r="114">
          <cell r="A114">
            <v>97</v>
          </cell>
          <cell r="B114">
            <v>43862</v>
          </cell>
          <cell r="C114">
            <v>0</v>
          </cell>
          <cell r="D114">
            <v>64685.392510256519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535235.35061527276</v>
          </cell>
        </row>
        <row r="115">
          <cell r="A115">
            <v>98</v>
          </cell>
          <cell r="B115">
            <v>43891</v>
          </cell>
          <cell r="C115">
            <v>0</v>
          </cell>
          <cell r="D115">
            <v>64685.392510256519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535235.35061527276</v>
          </cell>
        </row>
        <row r="116">
          <cell r="A116">
            <v>99</v>
          </cell>
          <cell r="B116">
            <v>43922</v>
          </cell>
          <cell r="C116">
            <v>0</v>
          </cell>
          <cell r="D116">
            <v>64685.392510256519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535235.35061527276</v>
          </cell>
        </row>
        <row r="117">
          <cell r="A117">
            <v>100</v>
          </cell>
          <cell r="B117">
            <v>43952</v>
          </cell>
          <cell r="C117">
            <v>0</v>
          </cell>
          <cell r="D117">
            <v>64685.392510256519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535235.35061527276</v>
          </cell>
        </row>
        <row r="118">
          <cell r="A118">
            <v>101</v>
          </cell>
          <cell r="B118">
            <v>43983</v>
          </cell>
          <cell r="C118">
            <v>0</v>
          </cell>
          <cell r="D118">
            <v>64685.392510256519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535235.35061527276</v>
          </cell>
        </row>
        <row r="119">
          <cell r="A119">
            <v>102</v>
          </cell>
          <cell r="B119">
            <v>44013</v>
          </cell>
          <cell r="C119">
            <v>0</v>
          </cell>
          <cell r="D119">
            <v>64685.392510256519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535235.35061527276</v>
          </cell>
        </row>
        <row r="120">
          <cell r="A120">
            <v>103</v>
          </cell>
          <cell r="B120">
            <v>44044</v>
          </cell>
          <cell r="C120">
            <v>0</v>
          </cell>
          <cell r="D120">
            <v>64685.392510256519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535235.35061527276</v>
          </cell>
        </row>
        <row r="121">
          <cell r="A121">
            <v>104</v>
          </cell>
          <cell r="B121">
            <v>44075</v>
          </cell>
          <cell r="C121">
            <v>0</v>
          </cell>
          <cell r="D121">
            <v>64685.392510256519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535235.35061527276</v>
          </cell>
        </row>
        <row r="122">
          <cell r="A122">
            <v>105</v>
          </cell>
          <cell r="B122">
            <v>44105</v>
          </cell>
          <cell r="C122">
            <v>0</v>
          </cell>
          <cell r="D122">
            <v>64685.392510256519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535235.35061527276</v>
          </cell>
        </row>
        <row r="123">
          <cell r="A123">
            <v>106</v>
          </cell>
          <cell r="B123">
            <v>44136</v>
          </cell>
          <cell r="C123">
            <v>0</v>
          </cell>
          <cell r="D123">
            <v>64685.392510256519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535235.35061527276</v>
          </cell>
        </row>
        <row r="124">
          <cell r="A124">
            <v>107</v>
          </cell>
          <cell r="B124">
            <v>44166</v>
          </cell>
          <cell r="C124">
            <v>0</v>
          </cell>
          <cell r="D124">
            <v>64685.392510256519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535235.35061527276</v>
          </cell>
        </row>
        <row r="125">
          <cell r="A125">
            <v>108</v>
          </cell>
          <cell r="B125">
            <v>44197</v>
          </cell>
          <cell r="C125">
            <v>0</v>
          </cell>
          <cell r="D125">
            <v>64685.392510256519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535235.35061527276</v>
          </cell>
        </row>
        <row r="126">
          <cell r="A126">
            <v>109</v>
          </cell>
          <cell r="B126">
            <v>44228</v>
          </cell>
          <cell r="C126">
            <v>0</v>
          </cell>
          <cell r="D126">
            <v>64685.392510256519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535235.35061527276</v>
          </cell>
        </row>
        <row r="127">
          <cell r="A127">
            <v>110</v>
          </cell>
          <cell r="B127">
            <v>44256</v>
          </cell>
          <cell r="C127">
            <v>0</v>
          </cell>
          <cell r="D127">
            <v>64685.392510256519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535235.35061527276</v>
          </cell>
        </row>
        <row r="128">
          <cell r="A128">
            <v>111</v>
          </cell>
          <cell r="B128">
            <v>44287</v>
          </cell>
          <cell r="C128">
            <v>0</v>
          </cell>
          <cell r="D128">
            <v>64685.392510256519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535235.35061527276</v>
          </cell>
        </row>
        <row r="129">
          <cell r="A129">
            <v>112</v>
          </cell>
          <cell r="B129">
            <v>44317</v>
          </cell>
          <cell r="C129">
            <v>0</v>
          </cell>
          <cell r="D129">
            <v>64685.392510256519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535235.35061527276</v>
          </cell>
        </row>
        <row r="130">
          <cell r="A130">
            <v>113</v>
          </cell>
          <cell r="B130">
            <v>44348</v>
          </cell>
          <cell r="C130">
            <v>0</v>
          </cell>
          <cell r="D130">
            <v>64685.392510256519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535235.35061527276</v>
          </cell>
        </row>
        <row r="131">
          <cell r="A131">
            <v>114</v>
          </cell>
          <cell r="B131">
            <v>44378</v>
          </cell>
          <cell r="C131">
            <v>0</v>
          </cell>
          <cell r="D131">
            <v>64685.392510256519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535235.35061527276</v>
          </cell>
        </row>
        <row r="132">
          <cell r="A132">
            <v>115</v>
          </cell>
          <cell r="B132">
            <v>44409</v>
          </cell>
          <cell r="C132">
            <v>0</v>
          </cell>
          <cell r="D132">
            <v>64685.392510256519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535235.35061527276</v>
          </cell>
        </row>
        <row r="133">
          <cell r="A133">
            <v>116</v>
          </cell>
          <cell r="B133">
            <v>44440</v>
          </cell>
          <cell r="C133">
            <v>0</v>
          </cell>
          <cell r="D133">
            <v>64685.392510256519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535235.35061527276</v>
          </cell>
        </row>
        <row r="134">
          <cell r="A134">
            <v>117</v>
          </cell>
          <cell r="B134">
            <v>44470</v>
          </cell>
          <cell r="C134">
            <v>0</v>
          </cell>
          <cell r="D134">
            <v>64685.392510256519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535235.35061527276</v>
          </cell>
        </row>
        <row r="135">
          <cell r="A135">
            <v>118</v>
          </cell>
          <cell r="B135">
            <v>44501</v>
          </cell>
          <cell r="C135">
            <v>0</v>
          </cell>
          <cell r="D135">
            <v>64685.392510256519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535235.35061527276</v>
          </cell>
        </row>
        <row r="136">
          <cell r="A136">
            <v>119</v>
          </cell>
          <cell r="B136">
            <v>44531</v>
          </cell>
          <cell r="C136">
            <v>0</v>
          </cell>
          <cell r="D136">
            <v>64685.392510256519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535235.35061527276</v>
          </cell>
        </row>
        <row r="137">
          <cell r="A137">
            <v>120</v>
          </cell>
          <cell r="B137">
            <v>44562</v>
          </cell>
          <cell r="C137">
            <v>0</v>
          </cell>
          <cell r="D137">
            <v>64685.392510256519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535235.35061527276</v>
          </cell>
        </row>
        <row r="138">
          <cell r="A138">
            <v>121</v>
          </cell>
          <cell r="B138">
            <v>44593</v>
          </cell>
          <cell r="C138">
            <v>0</v>
          </cell>
          <cell r="D138">
            <v>64685.392510256519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535235.35061527276</v>
          </cell>
        </row>
        <row r="139">
          <cell r="A139">
            <v>122</v>
          </cell>
          <cell r="B139">
            <v>44621</v>
          </cell>
          <cell r="C139">
            <v>0</v>
          </cell>
          <cell r="D139">
            <v>64685.392510256519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535235.35061527276</v>
          </cell>
        </row>
        <row r="140">
          <cell r="A140">
            <v>123</v>
          </cell>
          <cell r="B140">
            <v>44652</v>
          </cell>
          <cell r="C140">
            <v>0</v>
          </cell>
          <cell r="D140">
            <v>64685.392510256519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535235.35061527276</v>
          </cell>
        </row>
        <row r="141">
          <cell r="A141">
            <v>124</v>
          </cell>
          <cell r="B141">
            <v>44682</v>
          </cell>
          <cell r="C141">
            <v>0</v>
          </cell>
          <cell r="D141">
            <v>64685.392510256519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535235.35061527276</v>
          </cell>
        </row>
        <row r="142">
          <cell r="A142">
            <v>125</v>
          </cell>
          <cell r="B142">
            <v>44713</v>
          </cell>
          <cell r="C142">
            <v>0</v>
          </cell>
          <cell r="D142">
            <v>64685.392510256519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535235.35061527276</v>
          </cell>
        </row>
        <row r="143">
          <cell r="A143">
            <v>126</v>
          </cell>
          <cell r="B143">
            <v>44743</v>
          </cell>
          <cell r="C143">
            <v>0</v>
          </cell>
          <cell r="D143">
            <v>64685.392510256519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535235.35061527276</v>
          </cell>
        </row>
        <row r="144">
          <cell r="A144">
            <v>127</v>
          </cell>
          <cell r="B144">
            <v>44774</v>
          </cell>
          <cell r="C144">
            <v>0</v>
          </cell>
          <cell r="D144">
            <v>64685.392510256519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535235.35061527276</v>
          </cell>
        </row>
        <row r="145">
          <cell r="A145">
            <v>128</v>
          </cell>
          <cell r="B145">
            <v>44805</v>
          </cell>
          <cell r="C145">
            <v>0</v>
          </cell>
          <cell r="D145">
            <v>64685.392510256519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535235.35061527276</v>
          </cell>
        </row>
        <row r="146">
          <cell r="A146">
            <v>129</v>
          </cell>
          <cell r="B146">
            <v>44835</v>
          </cell>
          <cell r="C146">
            <v>0</v>
          </cell>
          <cell r="D146">
            <v>64685.392510256519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535235.35061527276</v>
          </cell>
        </row>
        <row r="147">
          <cell r="A147">
            <v>130</v>
          </cell>
          <cell r="B147">
            <v>44866</v>
          </cell>
          <cell r="C147">
            <v>0</v>
          </cell>
          <cell r="D147">
            <v>64685.392510256519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535235.35061527276</v>
          </cell>
        </row>
        <row r="148">
          <cell r="A148">
            <v>131</v>
          </cell>
          <cell r="B148">
            <v>44896</v>
          </cell>
          <cell r="C148">
            <v>0</v>
          </cell>
          <cell r="D148">
            <v>64685.392510256519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535235.35061527276</v>
          </cell>
        </row>
        <row r="149">
          <cell r="A149">
            <v>132</v>
          </cell>
          <cell r="B149">
            <v>44927</v>
          </cell>
          <cell r="C149">
            <v>0</v>
          </cell>
          <cell r="D149">
            <v>64685.392510256519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535235.35061527276</v>
          </cell>
        </row>
        <row r="150">
          <cell r="A150">
            <v>133</v>
          </cell>
          <cell r="B150">
            <v>44958</v>
          </cell>
          <cell r="C150">
            <v>0</v>
          </cell>
          <cell r="D150">
            <v>64685.392510256519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535235.35061527276</v>
          </cell>
        </row>
        <row r="151">
          <cell r="A151">
            <v>134</v>
          </cell>
          <cell r="B151">
            <v>44986</v>
          </cell>
          <cell r="C151">
            <v>0</v>
          </cell>
          <cell r="D151">
            <v>64685.392510256519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535235.35061527276</v>
          </cell>
        </row>
        <row r="152">
          <cell r="A152">
            <v>135</v>
          </cell>
          <cell r="B152">
            <v>45017</v>
          </cell>
          <cell r="C152">
            <v>0</v>
          </cell>
          <cell r="D152">
            <v>64685.392510256519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535235.35061527276</v>
          </cell>
        </row>
        <row r="153">
          <cell r="A153">
            <v>136</v>
          </cell>
          <cell r="B153">
            <v>45047</v>
          </cell>
          <cell r="C153">
            <v>0</v>
          </cell>
          <cell r="D153">
            <v>64685.392510256519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535235.35061527276</v>
          </cell>
        </row>
        <row r="154">
          <cell r="A154">
            <v>137</v>
          </cell>
          <cell r="B154">
            <v>45078</v>
          </cell>
          <cell r="C154">
            <v>0</v>
          </cell>
          <cell r="D154">
            <v>64685.392510256519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535235.35061527276</v>
          </cell>
        </row>
        <row r="155">
          <cell r="A155">
            <v>138</v>
          </cell>
          <cell r="B155">
            <v>45108</v>
          </cell>
          <cell r="C155">
            <v>0</v>
          </cell>
          <cell r="D155">
            <v>64685.392510256519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535235.35061527276</v>
          </cell>
        </row>
        <row r="156">
          <cell r="A156">
            <v>139</v>
          </cell>
          <cell r="B156">
            <v>45139</v>
          </cell>
          <cell r="C156">
            <v>0</v>
          </cell>
          <cell r="D156">
            <v>64685.392510256519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535235.35061527276</v>
          </cell>
        </row>
        <row r="157">
          <cell r="A157">
            <v>140</v>
          </cell>
          <cell r="B157">
            <v>45170</v>
          </cell>
          <cell r="C157">
            <v>0</v>
          </cell>
          <cell r="D157">
            <v>64685.392510256519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535235.35061527276</v>
          </cell>
        </row>
        <row r="158">
          <cell r="A158">
            <v>141</v>
          </cell>
          <cell r="B158">
            <v>45200</v>
          </cell>
          <cell r="C158">
            <v>0</v>
          </cell>
          <cell r="D158">
            <v>64685.392510256519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535235.35061527276</v>
          </cell>
        </row>
        <row r="159">
          <cell r="A159">
            <v>142</v>
          </cell>
          <cell r="B159">
            <v>45231</v>
          </cell>
          <cell r="C159">
            <v>0</v>
          </cell>
          <cell r="D159">
            <v>64685.392510256519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535235.35061527276</v>
          </cell>
        </row>
        <row r="160">
          <cell r="A160">
            <v>143</v>
          </cell>
          <cell r="B160">
            <v>45261</v>
          </cell>
          <cell r="C160">
            <v>0</v>
          </cell>
          <cell r="D160">
            <v>64685.392510256519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535235.35061527276</v>
          </cell>
        </row>
        <row r="161">
          <cell r="A161">
            <v>144</v>
          </cell>
          <cell r="B161">
            <v>45292</v>
          </cell>
          <cell r="C161">
            <v>0</v>
          </cell>
          <cell r="D161">
            <v>64685.392510256519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535235.35061527276</v>
          </cell>
        </row>
        <row r="162">
          <cell r="A162">
            <v>145</v>
          </cell>
          <cell r="B162">
            <v>45323</v>
          </cell>
          <cell r="C162">
            <v>0</v>
          </cell>
          <cell r="D162">
            <v>64685.392510256519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535235.35061527276</v>
          </cell>
        </row>
        <row r="163">
          <cell r="A163">
            <v>146</v>
          </cell>
          <cell r="B163">
            <v>45352</v>
          </cell>
          <cell r="C163">
            <v>0</v>
          </cell>
          <cell r="D163">
            <v>64685.392510256519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535235.35061527276</v>
          </cell>
        </row>
        <row r="164">
          <cell r="A164">
            <v>147</v>
          </cell>
          <cell r="B164">
            <v>45383</v>
          </cell>
          <cell r="C164">
            <v>0</v>
          </cell>
          <cell r="D164">
            <v>64685.392510256519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535235.35061527276</v>
          </cell>
        </row>
        <row r="165">
          <cell r="A165">
            <v>148</v>
          </cell>
          <cell r="B165">
            <v>45413</v>
          </cell>
          <cell r="C165">
            <v>0</v>
          </cell>
          <cell r="D165">
            <v>64685.392510256519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535235.35061527276</v>
          </cell>
        </row>
        <row r="166">
          <cell r="A166">
            <v>149</v>
          </cell>
          <cell r="B166">
            <v>45444</v>
          </cell>
          <cell r="C166">
            <v>0</v>
          </cell>
          <cell r="D166">
            <v>64685.392510256519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535235.35061527276</v>
          </cell>
        </row>
        <row r="167">
          <cell r="A167">
            <v>150</v>
          </cell>
          <cell r="B167">
            <v>45474</v>
          </cell>
          <cell r="C167">
            <v>0</v>
          </cell>
          <cell r="D167">
            <v>64685.392510256519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535235.35061527276</v>
          </cell>
        </row>
        <row r="168">
          <cell r="A168">
            <v>151</v>
          </cell>
          <cell r="B168">
            <v>45505</v>
          </cell>
          <cell r="C168">
            <v>0</v>
          </cell>
          <cell r="D168">
            <v>64685.392510256519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535235.35061527276</v>
          </cell>
        </row>
        <row r="169">
          <cell r="A169">
            <v>152</v>
          </cell>
          <cell r="B169">
            <v>45536</v>
          </cell>
          <cell r="C169">
            <v>0</v>
          </cell>
          <cell r="D169">
            <v>64685.392510256519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535235.35061527276</v>
          </cell>
        </row>
        <row r="170">
          <cell r="A170">
            <v>153</v>
          </cell>
          <cell r="B170">
            <v>45566</v>
          </cell>
          <cell r="C170">
            <v>0</v>
          </cell>
          <cell r="D170">
            <v>64685.392510256519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535235.35061527276</v>
          </cell>
        </row>
        <row r="171">
          <cell r="A171">
            <v>154</v>
          </cell>
          <cell r="B171">
            <v>45597</v>
          </cell>
          <cell r="C171">
            <v>0</v>
          </cell>
          <cell r="D171">
            <v>64685.392510256519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535235.35061527276</v>
          </cell>
        </row>
        <row r="172">
          <cell r="A172">
            <v>155</v>
          </cell>
          <cell r="B172">
            <v>45627</v>
          </cell>
          <cell r="C172">
            <v>0</v>
          </cell>
          <cell r="D172">
            <v>64685.392510256519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535235.35061527276</v>
          </cell>
        </row>
        <row r="173">
          <cell r="A173">
            <v>156</v>
          </cell>
          <cell r="B173">
            <v>45658</v>
          </cell>
          <cell r="C173">
            <v>0</v>
          </cell>
          <cell r="D173">
            <v>64685.392510256519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535235.35061527276</v>
          </cell>
        </row>
        <row r="174">
          <cell r="A174">
            <v>157</v>
          </cell>
          <cell r="B174">
            <v>45689</v>
          </cell>
          <cell r="C174">
            <v>0</v>
          </cell>
          <cell r="D174">
            <v>64685.392510256519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535235.35061527276</v>
          </cell>
        </row>
        <row r="175">
          <cell r="A175">
            <v>158</v>
          </cell>
          <cell r="B175">
            <v>45717</v>
          </cell>
          <cell r="C175">
            <v>0</v>
          </cell>
          <cell r="D175">
            <v>64685.392510256519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535235.35061527276</v>
          </cell>
        </row>
        <row r="176">
          <cell r="A176">
            <v>159</v>
          </cell>
          <cell r="B176">
            <v>45748</v>
          </cell>
          <cell r="C176">
            <v>0</v>
          </cell>
          <cell r="D176">
            <v>64685.392510256519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535235.35061527276</v>
          </cell>
        </row>
        <row r="177">
          <cell r="A177">
            <v>160</v>
          </cell>
          <cell r="B177">
            <v>45778</v>
          </cell>
          <cell r="C177">
            <v>0</v>
          </cell>
          <cell r="D177">
            <v>64685.392510256519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535235.35061527276</v>
          </cell>
        </row>
        <row r="178">
          <cell r="A178">
            <v>161</v>
          </cell>
          <cell r="B178">
            <v>45809</v>
          </cell>
          <cell r="C178">
            <v>0</v>
          </cell>
          <cell r="D178">
            <v>64685.392510256519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535235.35061527276</v>
          </cell>
        </row>
        <row r="179">
          <cell r="A179">
            <v>162</v>
          </cell>
          <cell r="B179">
            <v>45839</v>
          </cell>
          <cell r="C179">
            <v>0</v>
          </cell>
          <cell r="D179">
            <v>64685.392510256519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535235.35061527276</v>
          </cell>
        </row>
        <row r="180">
          <cell r="A180">
            <v>163</v>
          </cell>
          <cell r="B180">
            <v>45870</v>
          </cell>
          <cell r="C180">
            <v>0</v>
          </cell>
          <cell r="D180">
            <v>64685.392510256519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535235.35061527276</v>
          </cell>
        </row>
        <row r="181">
          <cell r="A181">
            <v>164</v>
          </cell>
          <cell r="B181">
            <v>45901</v>
          </cell>
          <cell r="C181">
            <v>0</v>
          </cell>
          <cell r="D181">
            <v>64685.392510256519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535235.35061527276</v>
          </cell>
        </row>
        <row r="182">
          <cell r="A182">
            <v>165</v>
          </cell>
          <cell r="B182">
            <v>45931</v>
          </cell>
          <cell r="C182">
            <v>0</v>
          </cell>
          <cell r="D182">
            <v>64685.392510256519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535235.35061527276</v>
          </cell>
        </row>
        <row r="183">
          <cell r="A183">
            <v>166</v>
          </cell>
          <cell r="B183">
            <v>45962</v>
          </cell>
          <cell r="C183">
            <v>0</v>
          </cell>
          <cell r="D183">
            <v>64685.392510256519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535235.35061527276</v>
          </cell>
        </row>
        <row r="184">
          <cell r="A184">
            <v>167</v>
          </cell>
          <cell r="B184">
            <v>45992</v>
          </cell>
          <cell r="C184">
            <v>0</v>
          </cell>
          <cell r="D184">
            <v>64685.392510256519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535235.35061527276</v>
          </cell>
        </row>
        <row r="185">
          <cell r="A185">
            <v>168</v>
          </cell>
          <cell r="B185">
            <v>46023</v>
          </cell>
          <cell r="C185">
            <v>0</v>
          </cell>
          <cell r="D185">
            <v>64685.392510256519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535235.35061527276</v>
          </cell>
        </row>
        <row r="186">
          <cell r="A186">
            <v>169</v>
          </cell>
          <cell r="B186">
            <v>46054</v>
          </cell>
          <cell r="C186">
            <v>0</v>
          </cell>
          <cell r="D186">
            <v>64685.392510256519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535235.35061527276</v>
          </cell>
        </row>
        <row r="187">
          <cell r="A187">
            <v>170</v>
          </cell>
          <cell r="B187">
            <v>46082</v>
          </cell>
          <cell r="C187">
            <v>0</v>
          </cell>
          <cell r="D187">
            <v>64685.392510256519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535235.35061527276</v>
          </cell>
        </row>
        <row r="188">
          <cell r="A188">
            <v>171</v>
          </cell>
          <cell r="B188">
            <v>46113</v>
          </cell>
          <cell r="C188">
            <v>0</v>
          </cell>
          <cell r="D188">
            <v>64685.392510256519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535235.35061527276</v>
          </cell>
        </row>
        <row r="189">
          <cell r="A189">
            <v>172</v>
          </cell>
          <cell r="B189">
            <v>46143</v>
          </cell>
          <cell r="C189">
            <v>0</v>
          </cell>
          <cell r="D189">
            <v>64685.392510256519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535235.35061527276</v>
          </cell>
        </row>
        <row r="190">
          <cell r="A190">
            <v>173</v>
          </cell>
          <cell r="B190">
            <v>46174</v>
          </cell>
          <cell r="C190">
            <v>0</v>
          </cell>
          <cell r="D190">
            <v>64685.392510256519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535235.35061527276</v>
          </cell>
        </row>
        <row r="191">
          <cell r="A191">
            <v>174</v>
          </cell>
          <cell r="B191">
            <v>46204</v>
          </cell>
          <cell r="C191">
            <v>0</v>
          </cell>
          <cell r="D191">
            <v>64685.392510256519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535235.35061527276</v>
          </cell>
        </row>
        <row r="192">
          <cell r="A192">
            <v>175</v>
          </cell>
          <cell r="B192">
            <v>46235</v>
          </cell>
          <cell r="C192">
            <v>0</v>
          </cell>
          <cell r="D192">
            <v>64685.392510256519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535235.35061527276</v>
          </cell>
        </row>
        <row r="193">
          <cell r="A193">
            <v>176</v>
          </cell>
          <cell r="B193">
            <v>46266</v>
          </cell>
          <cell r="C193">
            <v>0</v>
          </cell>
          <cell r="D193">
            <v>64685.392510256519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535235.35061527276</v>
          </cell>
        </row>
        <row r="194">
          <cell r="A194">
            <v>177</v>
          </cell>
          <cell r="B194">
            <v>46296</v>
          </cell>
          <cell r="C194">
            <v>0</v>
          </cell>
          <cell r="D194">
            <v>64685.392510256519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535235.35061527276</v>
          </cell>
        </row>
        <row r="195">
          <cell r="A195">
            <v>178</v>
          </cell>
          <cell r="B195">
            <v>46327</v>
          </cell>
          <cell r="C195">
            <v>0</v>
          </cell>
          <cell r="D195">
            <v>64685.392510256519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535235.35061527276</v>
          </cell>
        </row>
        <row r="196">
          <cell r="A196">
            <v>179</v>
          </cell>
          <cell r="B196">
            <v>46357</v>
          </cell>
          <cell r="C196">
            <v>0</v>
          </cell>
          <cell r="D196">
            <v>64685.392510256519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535235.35061527276</v>
          </cell>
        </row>
        <row r="197">
          <cell r="A197">
            <v>180</v>
          </cell>
          <cell r="B197">
            <v>46388</v>
          </cell>
          <cell r="C197">
            <v>0</v>
          </cell>
          <cell r="D197">
            <v>64685.392510256519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535235.35061527276</v>
          </cell>
        </row>
        <row r="198">
          <cell r="A198">
            <v>181</v>
          </cell>
          <cell r="B198">
            <v>46419</v>
          </cell>
          <cell r="C198">
            <v>0</v>
          </cell>
          <cell r="D198">
            <v>64685.392510256519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535235.35061527276</v>
          </cell>
        </row>
        <row r="199">
          <cell r="A199">
            <v>182</v>
          </cell>
          <cell r="B199">
            <v>46447</v>
          </cell>
          <cell r="C199">
            <v>0</v>
          </cell>
          <cell r="D199">
            <v>64685.392510256519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535235.35061527276</v>
          </cell>
        </row>
        <row r="200">
          <cell r="A200">
            <v>183</v>
          </cell>
          <cell r="B200">
            <v>46478</v>
          </cell>
          <cell r="C200">
            <v>0</v>
          </cell>
          <cell r="D200">
            <v>64685.392510256519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535235.35061527276</v>
          </cell>
        </row>
        <row r="201">
          <cell r="A201">
            <v>184</v>
          </cell>
          <cell r="B201">
            <v>46508</v>
          </cell>
          <cell r="C201">
            <v>0</v>
          </cell>
          <cell r="D201">
            <v>64685.392510256519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535235.35061527276</v>
          </cell>
        </row>
        <row r="202">
          <cell r="A202">
            <v>185</v>
          </cell>
          <cell r="B202">
            <v>46539</v>
          </cell>
          <cell r="C202">
            <v>0</v>
          </cell>
          <cell r="D202">
            <v>64685.392510256519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535235.35061527276</v>
          </cell>
        </row>
        <row r="203">
          <cell r="A203">
            <v>186</v>
          </cell>
          <cell r="B203">
            <v>46569</v>
          </cell>
          <cell r="C203">
            <v>0</v>
          </cell>
          <cell r="D203">
            <v>64685.392510256519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535235.35061527276</v>
          </cell>
        </row>
        <row r="204">
          <cell r="A204">
            <v>187</v>
          </cell>
          <cell r="B204">
            <v>46600</v>
          </cell>
          <cell r="C204">
            <v>0</v>
          </cell>
          <cell r="D204">
            <v>64685.392510256519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535235.35061527276</v>
          </cell>
        </row>
        <row r="205">
          <cell r="A205">
            <v>188</v>
          </cell>
          <cell r="B205">
            <v>46631</v>
          </cell>
          <cell r="C205">
            <v>0</v>
          </cell>
          <cell r="D205">
            <v>64685.392510256519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535235.35061527276</v>
          </cell>
        </row>
        <row r="206">
          <cell r="A206">
            <v>189</v>
          </cell>
          <cell r="B206">
            <v>46661</v>
          </cell>
          <cell r="C206">
            <v>0</v>
          </cell>
          <cell r="D206">
            <v>64685.392510256519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535235.35061527276</v>
          </cell>
        </row>
        <row r="207">
          <cell r="A207">
            <v>190</v>
          </cell>
          <cell r="B207">
            <v>46692</v>
          </cell>
          <cell r="C207">
            <v>0</v>
          </cell>
          <cell r="D207">
            <v>64685.392510256519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535235.35061527276</v>
          </cell>
        </row>
        <row r="208">
          <cell r="A208">
            <v>191</v>
          </cell>
          <cell r="B208">
            <v>46722</v>
          </cell>
          <cell r="C208">
            <v>0</v>
          </cell>
          <cell r="D208">
            <v>64685.392510256519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535235.35061527276</v>
          </cell>
        </row>
        <row r="209">
          <cell r="A209">
            <v>192</v>
          </cell>
          <cell r="B209">
            <v>46753</v>
          </cell>
          <cell r="C209">
            <v>0</v>
          </cell>
          <cell r="D209">
            <v>64685.392510256519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535235.35061527276</v>
          </cell>
        </row>
        <row r="210">
          <cell r="A210">
            <v>193</v>
          </cell>
          <cell r="B210">
            <v>46784</v>
          </cell>
          <cell r="C210">
            <v>0</v>
          </cell>
          <cell r="D210">
            <v>64685.392510256519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535235.35061527276</v>
          </cell>
        </row>
        <row r="211">
          <cell r="A211">
            <v>194</v>
          </cell>
          <cell r="B211">
            <v>46813</v>
          </cell>
          <cell r="C211">
            <v>0</v>
          </cell>
          <cell r="D211">
            <v>64685.392510256519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535235.35061527276</v>
          </cell>
        </row>
        <row r="212">
          <cell r="A212">
            <v>195</v>
          </cell>
          <cell r="B212">
            <v>46844</v>
          </cell>
          <cell r="C212">
            <v>0</v>
          </cell>
          <cell r="D212">
            <v>64685.392510256519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535235.35061527276</v>
          </cell>
        </row>
        <row r="213">
          <cell r="A213">
            <v>196</v>
          </cell>
          <cell r="B213">
            <v>46874</v>
          </cell>
          <cell r="C213">
            <v>0</v>
          </cell>
          <cell r="D213">
            <v>64685.392510256519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535235.35061527276</v>
          </cell>
        </row>
        <row r="214">
          <cell r="A214">
            <v>197</v>
          </cell>
          <cell r="B214">
            <v>46905</v>
          </cell>
          <cell r="C214">
            <v>0</v>
          </cell>
          <cell r="D214">
            <v>64685.392510256519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535235.35061527276</v>
          </cell>
        </row>
        <row r="215">
          <cell r="A215">
            <v>198</v>
          </cell>
          <cell r="B215">
            <v>46935</v>
          </cell>
          <cell r="C215">
            <v>0</v>
          </cell>
          <cell r="D215">
            <v>64685.392510256519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535235.35061527276</v>
          </cell>
        </row>
        <row r="216">
          <cell r="A216">
            <v>199</v>
          </cell>
          <cell r="B216">
            <v>46966</v>
          </cell>
          <cell r="C216">
            <v>0</v>
          </cell>
          <cell r="D216">
            <v>64685.392510256519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535235.35061527276</v>
          </cell>
        </row>
        <row r="217">
          <cell r="A217">
            <v>200</v>
          </cell>
          <cell r="B217">
            <v>46997</v>
          </cell>
          <cell r="C217">
            <v>0</v>
          </cell>
          <cell r="D217">
            <v>64685.392510256519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535235.35061527276</v>
          </cell>
        </row>
        <row r="218">
          <cell r="A218">
            <v>201</v>
          </cell>
          <cell r="B218">
            <v>47027</v>
          </cell>
          <cell r="C218">
            <v>0</v>
          </cell>
          <cell r="D218">
            <v>64685.392510256519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535235.35061527276</v>
          </cell>
        </row>
        <row r="219">
          <cell r="A219">
            <v>202</v>
          </cell>
          <cell r="B219">
            <v>47058</v>
          </cell>
          <cell r="C219">
            <v>0</v>
          </cell>
          <cell r="D219">
            <v>64685.392510256519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535235.35061527276</v>
          </cell>
        </row>
        <row r="220">
          <cell r="A220">
            <v>203</v>
          </cell>
          <cell r="B220">
            <v>47088</v>
          </cell>
          <cell r="C220">
            <v>0</v>
          </cell>
          <cell r="D220">
            <v>64685.392510256519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535235.35061527276</v>
          </cell>
        </row>
        <row r="221">
          <cell r="A221">
            <v>204</v>
          </cell>
          <cell r="B221">
            <v>47119</v>
          </cell>
          <cell r="C221">
            <v>0</v>
          </cell>
          <cell r="D221">
            <v>64685.392510256519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535235.35061527276</v>
          </cell>
        </row>
        <row r="222">
          <cell r="A222">
            <v>205</v>
          </cell>
          <cell r="B222">
            <v>47150</v>
          </cell>
          <cell r="C222">
            <v>0</v>
          </cell>
          <cell r="D222">
            <v>64685.392510256519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535235.35061527276</v>
          </cell>
        </row>
        <row r="223">
          <cell r="A223">
            <v>206</v>
          </cell>
          <cell r="B223">
            <v>47178</v>
          </cell>
          <cell r="C223">
            <v>0</v>
          </cell>
          <cell r="D223">
            <v>64685.392510256519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535235.35061527276</v>
          </cell>
        </row>
        <row r="224">
          <cell r="A224">
            <v>207</v>
          </cell>
          <cell r="B224">
            <v>47209</v>
          </cell>
          <cell r="C224">
            <v>0</v>
          </cell>
          <cell r="D224">
            <v>64685.392510256519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535235.35061527276</v>
          </cell>
        </row>
        <row r="225">
          <cell r="A225">
            <v>208</v>
          </cell>
          <cell r="B225">
            <v>47239</v>
          </cell>
          <cell r="C225">
            <v>0</v>
          </cell>
          <cell r="D225">
            <v>64685.392510256519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535235.35061527276</v>
          </cell>
        </row>
        <row r="226">
          <cell r="A226">
            <v>209</v>
          </cell>
          <cell r="B226">
            <v>47270</v>
          </cell>
          <cell r="C226">
            <v>0</v>
          </cell>
          <cell r="D226">
            <v>64685.392510256519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535235.35061527276</v>
          </cell>
        </row>
        <row r="227">
          <cell r="A227">
            <v>210</v>
          </cell>
          <cell r="B227">
            <v>47300</v>
          </cell>
          <cell r="C227">
            <v>0</v>
          </cell>
          <cell r="D227">
            <v>64685.392510256519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535235.35061527276</v>
          </cell>
        </row>
        <row r="228">
          <cell r="A228">
            <v>211</v>
          </cell>
          <cell r="B228">
            <v>47331</v>
          </cell>
          <cell r="C228">
            <v>0</v>
          </cell>
          <cell r="D228">
            <v>64685.392510256519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535235.35061527276</v>
          </cell>
        </row>
        <row r="229">
          <cell r="A229">
            <v>212</v>
          </cell>
          <cell r="B229">
            <v>47362</v>
          </cell>
          <cell r="C229">
            <v>0</v>
          </cell>
          <cell r="D229">
            <v>64685.392510256519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535235.35061527276</v>
          </cell>
        </row>
        <row r="230">
          <cell r="A230">
            <v>213</v>
          </cell>
          <cell r="B230">
            <v>47392</v>
          </cell>
          <cell r="C230">
            <v>0</v>
          </cell>
          <cell r="D230">
            <v>64685.392510256519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535235.35061527276</v>
          </cell>
        </row>
        <row r="231">
          <cell r="A231">
            <v>214</v>
          </cell>
          <cell r="B231">
            <v>47423</v>
          </cell>
          <cell r="C231">
            <v>0</v>
          </cell>
          <cell r="D231">
            <v>64685.392510256519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535235.35061527276</v>
          </cell>
        </row>
        <row r="232">
          <cell r="A232">
            <v>215</v>
          </cell>
          <cell r="B232">
            <v>47453</v>
          </cell>
          <cell r="C232">
            <v>0</v>
          </cell>
          <cell r="D232">
            <v>64685.392510256519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535235.35061527276</v>
          </cell>
        </row>
        <row r="233">
          <cell r="A233">
            <v>216</v>
          </cell>
          <cell r="B233">
            <v>47484</v>
          </cell>
          <cell r="C233">
            <v>0</v>
          </cell>
          <cell r="D233">
            <v>64685.392510256519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535235.35061527276</v>
          </cell>
        </row>
        <row r="234">
          <cell r="A234">
            <v>217</v>
          </cell>
          <cell r="B234">
            <v>47515</v>
          </cell>
          <cell r="C234">
            <v>0</v>
          </cell>
          <cell r="D234">
            <v>64685.392510256519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535235.35061527276</v>
          </cell>
        </row>
        <row r="235">
          <cell r="A235">
            <v>218</v>
          </cell>
          <cell r="B235">
            <v>47543</v>
          </cell>
          <cell r="C235">
            <v>0</v>
          </cell>
          <cell r="D235">
            <v>64685.392510256519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535235.35061527276</v>
          </cell>
        </row>
        <row r="236">
          <cell r="A236">
            <v>219</v>
          </cell>
          <cell r="B236">
            <v>47574</v>
          </cell>
          <cell r="C236">
            <v>0</v>
          </cell>
          <cell r="D236">
            <v>64685.392510256519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535235.35061527276</v>
          </cell>
        </row>
        <row r="237">
          <cell r="A237">
            <v>220</v>
          </cell>
          <cell r="B237">
            <v>47604</v>
          </cell>
          <cell r="C237">
            <v>0</v>
          </cell>
          <cell r="D237">
            <v>64685.392510256519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535235.35061527276</v>
          </cell>
        </row>
        <row r="238">
          <cell r="A238">
            <v>221</v>
          </cell>
          <cell r="B238">
            <v>47635</v>
          </cell>
          <cell r="C238">
            <v>0</v>
          </cell>
          <cell r="D238">
            <v>64685.392510256519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535235.35061527276</v>
          </cell>
        </row>
        <row r="239">
          <cell r="A239">
            <v>222</v>
          </cell>
          <cell r="B239">
            <v>47665</v>
          </cell>
          <cell r="C239">
            <v>0</v>
          </cell>
          <cell r="D239">
            <v>64685.392510256519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535235.35061527276</v>
          </cell>
        </row>
        <row r="240">
          <cell r="A240">
            <v>223</v>
          </cell>
          <cell r="B240">
            <v>47696</v>
          </cell>
          <cell r="C240">
            <v>0</v>
          </cell>
          <cell r="D240">
            <v>64685.392510256519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535235.35061527276</v>
          </cell>
        </row>
        <row r="241">
          <cell r="A241">
            <v>224</v>
          </cell>
          <cell r="B241">
            <v>47727</v>
          </cell>
          <cell r="C241">
            <v>0</v>
          </cell>
          <cell r="D241">
            <v>64685.392510256519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535235.35061527276</v>
          </cell>
        </row>
        <row r="242">
          <cell r="A242">
            <v>225</v>
          </cell>
          <cell r="B242">
            <v>47757</v>
          </cell>
          <cell r="C242">
            <v>0</v>
          </cell>
          <cell r="D242">
            <v>64685.392510256519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535235.35061527276</v>
          </cell>
        </row>
        <row r="243">
          <cell r="A243">
            <v>226</v>
          </cell>
          <cell r="B243">
            <v>47788</v>
          </cell>
          <cell r="C243">
            <v>0</v>
          </cell>
          <cell r="D243">
            <v>64685.392510256519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535235.35061527276</v>
          </cell>
        </row>
        <row r="244">
          <cell r="A244">
            <v>227</v>
          </cell>
          <cell r="B244">
            <v>47818</v>
          </cell>
          <cell r="C244">
            <v>0</v>
          </cell>
          <cell r="D244">
            <v>64685.392510256519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535235.35061527276</v>
          </cell>
        </row>
        <row r="245">
          <cell r="A245">
            <v>228</v>
          </cell>
          <cell r="B245">
            <v>47849</v>
          </cell>
          <cell r="C245">
            <v>0</v>
          </cell>
          <cell r="D245">
            <v>64685.392510256519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535235.35061527276</v>
          </cell>
        </row>
        <row r="246">
          <cell r="A246">
            <v>229</v>
          </cell>
          <cell r="B246">
            <v>47880</v>
          </cell>
          <cell r="C246">
            <v>0</v>
          </cell>
          <cell r="D246">
            <v>64685.392510256519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535235.35061527276</v>
          </cell>
        </row>
        <row r="247">
          <cell r="A247">
            <v>230</v>
          </cell>
          <cell r="B247">
            <v>47908</v>
          </cell>
          <cell r="C247">
            <v>0</v>
          </cell>
          <cell r="D247">
            <v>64685.392510256519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535235.35061527276</v>
          </cell>
        </row>
        <row r="248">
          <cell r="A248">
            <v>231</v>
          </cell>
          <cell r="B248">
            <v>47939</v>
          </cell>
          <cell r="C248">
            <v>0</v>
          </cell>
          <cell r="D248">
            <v>64685.392510256519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535235.35061527276</v>
          </cell>
        </row>
        <row r="249">
          <cell r="A249">
            <v>232</v>
          </cell>
          <cell r="B249">
            <v>47969</v>
          </cell>
          <cell r="C249">
            <v>0</v>
          </cell>
          <cell r="D249">
            <v>64685.392510256519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535235.35061527276</v>
          </cell>
        </row>
        <row r="250">
          <cell r="A250">
            <v>233</v>
          </cell>
          <cell r="B250">
            <v>48000</v>
          </cell>
          <cell r="C250">
            <v>0</v>
          </cell>
          <cell r="D250">
            <v>64685.392510256519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535235.35061527276</v>
          </cell>
        </row>
        <row r="251">
          <cell r="A251">
            <v>234</v>
          </cell>
          <cell r="B251">
            <v>48030</v>
          </cell>
          <cell r="C251">
            <v>0</v>
          </cell>
          <cell r="D251">
            <v>64685.392510256519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535235.35061527276</v>
          </cell>
        </row>
        <row r="252">
          <cell r="A252">
            <v>235</v>
          </cell>
          <cell r="B252">
            <v>48061</v>
          </cell>
          <cell r="C252">
            <v>0</v>
          </cell>
          <cell r="D252">
            <v>64685.392510256519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535235.35061527276</v>
          </cell>
        </row>
        <row r="253">
          <cell r="A253">
            <v>236</v>
          </cell>
          <cell r="B253">
            <v>48092</v>
          </cell>
          <cell r="C253">
            <v>0</v>
          </cell>
          <cell r="D253">
            <v>64685.392510256519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535235.35061527276</v>
          </cell>
        </row>
        <row r="254">
          <cell r="A254">
            <v>237</v>
          </cell>
          <cell r="B254">
            <v>48122</v>
          </cell>
          <cell r="C254">
            <v>0</v>
          </cell>
          <cell r="D254">
            <v>64685.392510256519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535235.35061527276</v>
          </cell>
        </row>
        <row r="255">
          <cell r="A255">
            <v>238</v>
          </cell>
          <cell r="B255">
            <v>48153</v>
          </cell>
          <cell r="C255">
            <v>0</v>
          </cell>
          <cell r="D255">
            <v>64685.392510256519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535235.35061527276</v>
          </cell>
        </row>
        <row r="256">
          <cell r="A256">
            <v>239</v>
          </cell>
          <cell r="B256">
            <v>48183</v>
          </cell>
          <cell r="C256">
            <v>0</v>
          </cell>
          <cell r="D256">
            <v>64685.392510256519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535235.35061527276</v>
          </cell>
        </row>
        <row r="257">
          <cell r="A257">
            <v>240</v>
          </cell>
          <cell r="B257">
            <v>48214</v>
          </cell>
          <cell r="C257">
            <v>0</v>
          </cell>
          <cell r="D257">
            <v>64685.392510256519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535235.35061527276</v>
          </cell>
        </row>
        <row r="258">
          <cell r="A258">
            <v>241</v>
          </cell>
          <cell r="B258">
            <v>48245</v>
          </cell>
          <cell r="C258">
            <v>0</v>
          </cell>
          <cell r="D258">
            <v>64685.392510256519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535235.35061527276</v>
          </cell>
        </row>
        <row r="259">
          <cell r="A259">
            <v>242</v>
          </cell>
          <cell r="B259">
            <v>48274</v>
          </cell>
          <cell r="C259">
            <v>0</v>
          </cell>
          <cell r="D259">
            <v>64685.392510256519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535235.35061527276</v>
          </cell>
        </row>
        <row r="260">
          <cell r="A260">
            <v>243</v>
          </cell>
          <cell r="B260">
            <v>48305</v>
          </cell>
          <cell r="C260">
            <v>0</v>
          </cell>
          <cell r="D260">
            <v>64685.392510256519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535235.35061527276</v>
          </cell>
        </row>
        <row r="261">
          <cell r="A261">
            <v>244</v>
          </cell>
          <cell r="B261">
            <v>48335</v>
          </cell>
          <cell r="C261">
            <v>0</v>
          </cell>
          <cell r="D261">
            <v>64685.392510256519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535235.35061527276</v>
          </cell>
        </row>
        <row r="262">
          <cell r="A262">
            <v>245</v>
          </cell>
          <cell r="B262">
            <v>48366</v>
          </cell>
          <cell r="C262">
            <v>0</v>
          </cell>
          <cell r="D262">
            <v>64685.392510256519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535235.35061527276</v>
          </cell>
        </row>
        <row r="263">
          <cell r="A263">
            <v>246</v>
          </cell>
          <cell r="B263">
            <v>48396</v>
          </cell>
          <cell r="C263">
            <v>0</v>
          </cell>
          <cell r="D263">
            <v>64685.392510256519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535235.35061527276</v>
          </cell>
        </row>
        <row r="264">
          <cell r="A264">
            <v>247</v>
          </cell>
          <cell r="B264">
            <v>48427</v>
          </cell>
          <cell r="C264">
            <v>0</v>
          </cell>
          <cell r="D264">
            <v>64685.392510256519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535235.35061527276</v>
          </cell>
        </row>
        <row r="265">
          <cell r="A265">
            <v>248</v>
          </cell>
          <cell r="B265">
            <v>48458</v>
          </cell>
          <cell r="C265">
            <v>0</v>
          </cell>
          <cell r="D265">
            <v>64685.392510256519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535235.35061527276</v>
          </cell>
        </row>
        <row r="266">
          <cell r="A266">
            <v>249</v>
          </cell>
          <cell r="B266">
            <v>48488</v>
          </cell>
          <cell r="C266">
            <v>0</v>
          </cell>
          <cell r="D266">
            <v>64685.392510256519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535235.35061527276</v>
          </cell>
        </row>
        <row r="267">
          <cell r="A267">
            <v>250</v>
          </cell>
          <cell r="B267">
            <v>48519</v>
          </cell>
          <cell r="C267">
            <v>0</v>
          </cell>
          <cell r="D267">
            <v>64685.392510256519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535235.35061527276</v>
          </cell>
        </row>
        <row r="268">
          <cell r="A268">
            <v>251</v>
          </cell>
          <cell r="B268">
            <v>48549</v>
          </cell>
          <cell r="C268">
            <v>0</v>
          </cell>
          <cell r="D268">
            <v>64685.392510256519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535235.35061527276</v>
          </cell>
        </row>
        <row r="269">
          <cell r="A269">
            <v>252</v>
          </cell>
          <cell r="B269">
            <v>48580</v>
          </cell>
          <cell r="C269">
            <v>0</v>
          </cell>
          <cell r="D269">
            <v>64685.392510256519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535235.35061527276</v>
          </cell>
        </row>
        <row r="270">
          <cell r="A270">
            <v>253</v>
          </cell>
          <cell r="B270">
            <v>48611</v>
          </cell>
          <cell r="C270">
            <v>0</v>
          </cell>
          <cell r="D270">
            <v>64685.392510256519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535235.35061527276</v>
          </cell>
        </row>
        <row r="271">
          <cell r="A271">
            <v>254</v>
          </cell>
          <cell r="B271">
            <v>48639</v>
          </cell>
          <cell r="C271">
            <v>0</v>
          </cell>
          <cell r="D271">
            <v>64685.392510256519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535235.35061527276</v>
          </cell>
        </row>
        <row r="272">
          <cell r="A272">
            <v>255</v>
          </cell>
          <cell r="B272">
            <v>48670</v>
          </cell>
          <cell r="C272">
            <v>0</v>
          </cell>
          <cell r="D272">
            <v>64685.392510256519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535235.35061527276</v>
          </cell>
        </row>
        <row r="273">
          <cell r="A273">
            <v>256</v>
          </cell>
          <cell r="B273">
            <v>48700</v>
          </cell>
          <cell r="C273">
            <v>0</v>
          </cell>
          <cell r="D273">
            <v>64685.392510256519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535235.35061527276</v>
          </cell>
        </row>
        <row r="274">
          <cell r="A274">
            <v>257</v>
          </cell>
          <cell r="B274">
            <v>48731</v>
          </cell>
          <cell r="C274">
            <v>0</v>
          </cell>
          <cell r="D274">
            <v>64685.392510256519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535235.35061527276</v>
          </cell>
        </row>
        <row r="275">
          <cell r="A275">
            <v>258</v>
          </cell>
          <cell r="B275">
            <v>48761</v>
          </cell>
          <cell r="C275">
            <v>0</v>
          </cell>
          <cell r="D275">
            <v>64685.392510256519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535235.35061527276</v>
          </cell>
        </row>
        <row r="276">
          <cell r="A276">
            <v>259</v>
          </cell>
          <cell r="B276">
            <v>48792</v>
          </cell>
          <cell r="C276">
            <v>0</v>
          </cell>
          <cell r="D276">
            <v>64685.392510256519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535235.35061527276</v>
          </cell>
        </row>
        <row r="277">
          <cell r="A277">
            <v>260</v>
          </cell>
          <cell r="B277">
            <v>48823</v>
          </cell>
          <cell r="C277">
            <v>0</v>
          </cell>
          <cell r="D277">
            <v>64685.392510256519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535235.35061527276</v>
          </cell>
        </row>
        <row r="278">
          <cell r="A278">
            <v>261</v>
          </cell>
          <cell r="B278">
            <v>48853</v>
          </cell>
          <cell r="C278">
            <v>0</v>
          </cell>
          <cell r="D278">
            <v>64685.392510256519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535235.35061527276</v>
          </cell>
        </row>
        <row r="279">
          <cell r="A279">
            <v>262</v>
          </cell>
          <cell r="B279">
            <v>48884</v>
          </cell>
          <cell r="C279">
            <v>0</v>
          </cell>
          <cell r="D279">
            <v>64685.392510256519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535235.35061527276</v>
          </cell>
        </row>
        <row r="280">
          <cell r="A280">
            <v>263</v>
          </cell>
          <cell r="B280">
            <v>48914</v>
          </cell>
          <cell r="C280">
            <v>0</v>
          </cell>
          <cell r="D280">
            <v>64685.392510256519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535235.35061527276</v>
          </cell>
        </row>
        <row r="281">
          <cell r="A281">
            <v>264</v>
          </cell>
          <cell r="B281">
            <v>48945</v>
          </cell>
          <cell r="C281">
            <v>0</v>
          </cell>
          <cell r="D281">
            <v>64685.392510256519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535235.35061527276</v>
          </cell>
        </row>
        <row r="282">
          <cell r="A282">
            <v>265</v>
          </cell>
          <cell r="B282">
            <v>48976</v>
          </cell>
          <cell r="C282">
            <v>0</v>
          </cell>
          <cell r="D282">
            <v>64685.392510256519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535235.35061527276</v>
          </cell>
        </row>
        <row r="283">
          <cell r="A283">
            <v>266</v>
          </cell>
          <cell r="B283">
            <v>49004</v>
          </cell>
          <cell r="C283">
            <v>0</v>
          </cell>
          <cell r="D283">
            <v>64685.392510256519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535235.35061527276</v>
          </cell>
        </row>
        <row r="284">
          <cell r="A284">
            <v>267</v>
          </cell>
          <cell r="B284">
            <v>49035</v>
          </cell>
          <cell r="C284">
            <v>0</v>
          </cell>
          <cell r="D284">
            <v>64685.392510256519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535235.35061527276</v>
          </cell>
        </row>
        <row r="285">
          <cell r="A285">
            <v>268</v>
          </cell>
          <cell r="B285">
            <v>49065</v>
          </cell>
          <cell r="C285">
            <v>0</v>
          </cell>
          <cell r="D285">
            <v>64685.392510256519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535235.35061527276</v>
          </cell>
        </row>
        <row r="286">
          <cell r="A286">
            <v>269</v>
          </cell>
          <cell r="B286">
            <v>49096</v>
          </cell>
          <cell r="C286">
            <v>0</v>
          </cell>
          <cell r="D286">
            <v>64685.392510256519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535235.35061527276</v>
          </cell>
        </row>
        <row r="287">
          <cell r="A287">
            <v>270</v>
          </cell>
          <cell r="B287">
            <v>49126</v>
          </cell>
          <cell r="C287">
            <v>0</v>
          </cell>
          <cell r="D287">
            <v>64685.392510256519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535235.35061527276</v>
          </cell>
        </row>
        <row r="288">
          <cell r="A288">
            <v>271</v>
          </cell>
          <cell r="B288">
            <v>49157</v>
          </cell>
          <cell r="C288">
            <v>0</v>
          </cell>
          <cell r="D288">
            <v>64685.392510256519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535235.35061527276</v>
          </cell>
        </row>
        <row r="289">
          <cell r="A289">
            <v>272</v>
          </cell>
          <cell r="B289">
            <v>49188</v>
          </cell>
          <cell r="C289">
            <v>0</v>
          </cell>
          <cell r="D289">
            <v>64685.392510256519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535235.35061527276</v>
          </cell>
        </row>
        <row r="290">
          <cell r="A290">
            <v>273</v>
          </cell>
          <cell r="B290">
            <v>49218</v>
          </cell>
          <cell r="C290">
            <v>0</v>
          </cell>
          <cell r="D290">
            <v>64685.392510256519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535235.35061527276</v>
          </cell>
        </row>
        <row r="291">
          <cell r="A291">
            <v>274</v>
          </cell>
          <cell r="B291">
            <v>49249</v>
          </cell>
          <cell r="C291">
            <v>0</v>
          </cell>
          <cell r="D291">
            <v>64685.392510256519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535235.35061527276</v>
          </cell>
        </row>
        <row r="292">
          <cell r="A292">
            <v>275</v>
          </cell>
          <cell r="B292">
            <v>49279</v>
          </cell>
          <cell r="C292">
            <v>0</v>
          </cell>
          <cell r="D292">
            <v>64685.392510256519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535235.35061527276</v>
          </cell>
        </row>
        <row r="293">
          <cell r="A293">
            <v>276</v>
          </cell>
          <cell r="B293">
            <v>49310</v>
          </cell>
          <cell r="C293">
            <v>0</v>
          </cell>
          <cell r="D293">
            <v>64685.392510256519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535235.35061527276</v>
          </cell>
        </row>
        <row r="294">
          <cell r="A294">
            <v>277</v>
          </cell>
          <cell r="B294">
            <v>49341</v>
          </cell>
          <cell r="C294">
            <v>0</v>
          </cell>
          <cell r="D294">
            <v>64685.392510256519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535235.35061527276</v>
          </cell>
        </row>
        <row r="295">
          <cell r="A295">
            <v>278</v>
          </cell>
          <cell r="B295">
            <v>49369</v>
          </cell>
          <cell r="C295">
            <v>0</v>
          </cell>
          <cell r="D295">
            <v>64685.392510256519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535235.35061527276</v>
          </cell>
        </row>
        <row r="296">
          <cell r="A296">
            <v>279</v>
          </cell>
          <cell r="B296">
            <v>49400</v>
          </cell>
          <cell r="C296">
            <v>0</v>
          </cell>
          <cell r="D296">
            <v>64685.392510256519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535235.35061527276</v>
          </cell>
        </row>
        <row r="297">
          <cell r="A297">
            <v>280</v>
          </cell>
          <cell r="B297">
            <v>49430</v>
          </cell>
          <cell r="C297">
            <v>0</v>
          </cell>
          <cell r="D297">
            <v>64685.392510256519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535235.35061527276</v>
          </cell>
        </row>
        <row r="298">
          <cell r="A298">
            <v>281</v>
          </cell>
          <cell r="B298">
            <v>49461</v>
          </cell>
          <cell r="C298">
            <v>0</v>
          </cell>
          <cell r="D298">
            <v>64685.392510256519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535235.35061527276</v>
          </cell>
        </row>
        <row r="299">
          <cell r="A299">
            <v>282</v>
          </cell>
          <cell r="B299">
            <v>49491</v>
          </cell>
          <cell r="C299">
            <v>0</v>
          </cell>
          <cell r="D299">
            <v>64685.392510256519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535235.35061527276</v>
          </cell>
        </row>
        <row r="300">
          <cell r="A300">
            <v>283</v>
          </cell>
          <cell r="B300">
            <v>49522</v>
          </cell>
          <cell r="C300">
            <v>0</v>
          </cell>
          <cell r="D300">
            <v>64685.392510256519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535235.35061527276</v>
          </cell>
        </row>
        <row r="301">
          <cell r="A301">
            <v>284</v>
          </cell>
          <cell r="B301">
            <v>49553</v>
          </cell>
          <cell r="C301">
            <v>0</v>
          </cell>
          <cell r="D301">
            <v>64685.392510256519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535235.35061527276</v>
          </cell>
        </row>
        <row r="302">
          <cell r="A302">
            <v>285</v>
          </cell>
          <cell r="B302">
            <v>49583</v>
          </cell>
          <cell r="C302">
            <v>0</v>
          </cell>
          <cell r="D302">
            <v>64685.392510256519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535235.35061527276</v>
          </cell>
        </row>
        <row r="303">
          <cell r="A303">
            <v>286</v>
          </cell>
          <cell r="B303">
            <v>49614</v>
          </cell>
          <cell r="C303">
            <v>0</v>
          </cell>
          <cell r="D303">
            <v>64685.392510256519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535235.35061527276</v>
          </cell>
        </row>
        <row r="304">
          <cell r="A304">
            <v>287</v>
          </cell>
          <cell r="B304">
            <v>49644</v>
          </cell>
          <cell r="C304">
            <v>0</v>
          </cell>
          <cell r="D304">
            <v>64685.392510256519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535235.35061527276</v>
          </cell>
        </row>
        <row r="305">
          <cell r="A305">
            <v>288</v>
          </cell>
          <cell r="B305">
            <v>49675</v>
          </cell>
          <cell r="C305">
            <v>0</v>
          </cell>
          <cell r="D305">
            <v>64685.392510256519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535235.35061527276</v>
          </cell>
        </row>
        <row r="306">
          <cell r="A306">
            <v>289</v>
          </cell>
          <cell r="B306">
            <v>49706</v>
          </cell>
          <cell r="C306">
            <v>0</v>
          </cell>
          <cell r="D306">
            <v>64685.392510256519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535235.35061527276</v>
          </cell>
        </row>
        <row r="307">
          <cell r="A307">
            <v>290</v>
          </cell>
          <cell r="B307">
            <v>49735</v>
          </cell>
          <cell r="C307">
            <v>0</v>
          </cell>
          <cell r="D307">
            <v>64685.392510256519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535235.35061527276</v>
          </cell>
        </row>
        <row r="308">
          <cell r="A308">
            <v>291</v>
          </cell>
          <cell r="B308">
            <v>49766</v>
          </cell>
          <cell r="C308">
            <v>0</v>
          </cell>
          <cell r="D308">
            <v>64685.392510256519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535235.35061527276</v>
          </cell>
        </row>
        <row r="309">
          <cell r="A309">
            <v>292</v>
          </cell>
          <cell r="B309">
            <v>49796</v>
          </cell>
          <cell r="C309">
            <v>0</v>
          </cell>
          <cell r="D309">
            <v>64685.392510256519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535235.35061527276</v>
          </cell>
        </row>
        <row r="310">
          <cell r="A310">
            <v>293</v>
          </cell>
          <cell r="B310">
            <v>49827</v>
          </cell>
          <cell r="C310">
            <v>0</v>
          </cell>
          <cell r="D310">
            <v>64685.392510256519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535235.35061527276</v>
          </cell>
        </row>
        <row r="311">
          <cell r="A311">
            <v>294</v>
          </cell>
          <cell r="B311">
            <v>49857</v>
          </cell>
          <cell r="C311">
            <v>0</v>
          </cell>
          <cell r="D311">
            <v>64685.392510256519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535235.35061527276</v>
          </cell>
        </row>
        <row r="312">
          <cell r="A312">
            <v>295</v>
          </cell>
          <cell r="B312">
            <v>49888</v>
          </cell>
          <cell r="C312">
            <v>0</v>
          </cell>
          <cell r="D312">
            <v>64685.392510256519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535235.35061527276</v>
          </cell>
        </row>
        <row r="313">
          <cell r="A313">
            <v>296</v>
          </cell>
          <cell r="B313">
            <v>49919</v>
          </cell>
          <cell r="C313">
            <v>0</v>
          </cell>
          <cell r="D313">
            <v>64685.392510256519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535235.35061527276</v>
          </cell>
        </row>
        <row r="314">
          <cell r="A314">
            <v>297</v>
          </cell>
          <cell r="B314">
            <v>49949</v>
          </cell>
          <cell r="C314">
            <v>0</v>
          </cell>
          <cell r="D314">
            <v>64685.392510256519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535235.35061527276</v>
          </cell>
        </row>
        <row r="315">
          <cell r="A315">
            <v>298</v>
          </cell>
          <cell r="B315">
            <v>49980</v>
          </cell>
          <cell r="C315">
            <v>0</v>
          </cell>
          <cell r="D315">
            <v>64685.392510256519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535235.35061527276</v>
          </cell>
        </row>
        <row r="316">
          <cell r="A316">
            <v>299</v>
          </cell>
          <cell r="B316">
            <v>50010</v>
          </cell>
          <cell r="C316">
            <v>0</v>
          </cell>
          <cell r="D316">
            <v>64685.392510256519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535235.35061527276</v>
          </cell>
        </row>
        <row r="317">
          <cell r="A317">
            <v>300</v>
          </cell>
          <cell r="B317">
            <v>50041</v>
          </cell>
          <cell r="C317">
            <v>0</v>
          </cell>
          <cell r="D317">
            <v>64685.392510256519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535235.35061527276</v>
          </cell>
        </row>
        <row r="318">
          <cell r="A318">
            <v>301</v>
          </cell>
          <cell r="B318">
            <v>50072</v>
          </cell>
          <cell r="C318">
            <v>0</v>
          </cell>
          <cell r="D318">
            <v>64685.392510256519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535235.35061527276</v>
          </cell>
        </row>
        <row r="319">
          <cell r="A319">
            <v>302</v>
          </cell>
          <cell r="B319">
            <v>50100</v>
          </cell>
          <cell r="C319">
            <v>0</v>
          </cell>
          <cell r="D319">
            <v>64685.392510256519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535235.35061527276</v>
          </cell>
        </row>
        <row r="320">
          <cell r="A320">
            <v>303</v>
          </cell>
          <cell r="B320">
            <v>50131</v>
          </cell>
          <cell r="C320">
            <v>0</v>
          </cell>
          <cell r="D320">
            <v>64685.392510256519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535235.35061527276</v>
          </cell>
        </row>
        <row r="321">
          <cell r="A321">
            <v>304</v>
          </cell>
          <cell r="B321">
            <v>50161</v>
          </cell>
          <cell r="C321">
            <v>0</v>
          </cell>
          <cell r="D321">
            <v>64685.392510256519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535235.35061527276</v>
          </cell>
        </row>
        <row r="322">
          <cell r="A322">
            <v>305</v>
          </cell>
          <cell r="B322">
            <v>50192</v>
          </cell>
          <cell r="C322">
            <v>0</v>
          </cell>
          <cell r="D322">
            <v>64685.392510256519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535235.35061527276</v>
          </cell>
        </row>
        <row r="323">
          <cell r="A323">
            <v>306</v>
          </cell>
          <cell r="B323">
            <v>50222</v>
          </cell>
          <cell r="C323">
            <v>0</v>
          </cell>
          <cell r="D323">
            <v>64685.392510256519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535235.35061527276</v>
          </cell>
        </row>
        <row r="324">
          <cell r="A324">
            <v>307</v>
          </cell>
          <cell r="B324">
            <v>50253</v>
          </cell>
          <cell r="C324">
            <v>0</v>
          </cell>
          <cell r="D324">
            <v>64685.392510256519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535235.35061527276</v>
          </cell>
        </row>
        <row r="325">
          <cell r="A325">
            <v>308</v>
          </cell>
          <cell r="B325">
            <v>50284</v>
          </cell>
          <cell r="C325">
            <v>0</v>
          </cell>
          <cell r="D325">
            <v>64685.392510256519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535235.35061527276</v>
          </cell>
        </row>
        <row r="326">
          <cell r="A326">
            <v>309</v>
          </cell>
          <cell r="B326">
            <v>50314</v>
          </cell>
          <cell r="C326">
            <v>0</v>
          </cell>
          <cell r="D326">
            <v>64685.392510256519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535235.35061527276</v>
          </cell>
        </row>
        <row r="327">
          <cell r="A327">
            <v>310</v>
          </cell>
          <cell r="B327">
            <v>50345</v>
          </cell>
          <cell r="C327">
            <v>0</v>
          </cell>
          <cell r="D327">
            <v>64685.392510256519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535235.35061527276</v>
          </cell>
        </row>
        <row r="328">
          <cell r="A328">
            <v>311</v>
          </cell>
          <cell r="B328">
            <v>50375</v>
          </cell>
          <cell r="C328">
            <v>0</v>
          </cell>
          <cell r="D328">
            <v>64685.392510256519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535235.35061527276</v>
          </cell>
        </row>
        <row r="329">
          <cell r="A329">
            <v>312</v>
          </cell>
          <cell r="B329">
            <v>50406</v>
          </cell>
          <cell r="C329">
            <v>0</v>
          </cell>
          <cell r="D329">
            <v>64685.392510256519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535235.35061527276</v>
          </cell>
        </row>
        <row r="330">
          <cell r="A330">
            <v>313</v>
          </cell>
          <cell r="B330">
            <v>50437</v>
          </cell>
          <cell r="C330">
            <v>0</v>
          </cell>
          <cell r="D330">
            <v>64685.392510256519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535235.35061527276</v>
          </cell>
        </row>
        <row r="331">
          <cell r="A331">
            <v>314</v>
          </cell>
          <cell r="B331">
            <v>50465</v>
          </cell>
          <cell r="C331">
            <v>0</v>
          </cell>
          <cell r="D331">
            <v>64685.392510256519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535235.35061527276</v>
          </cell>
        </row>
        <row r="332">
          <cell r="A332">
            <v>315</v>
          </cell>
          <cell r="B332">
            <v>50496</v>
          </cell>
          <cell r="C332">
            <v>0</v>
          </cell>
          <cell r="D332">
            <v>64685.392510256519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535235.35061527276</v>
          </cell>
        </row>
        <row r="333">
          <cell r="A333">
            <v>316</v>
          </cell>
          <cell r="B333">
            <v>50526</v>
          </cell>
          <cell r="C333">
            <v>0</v>
          </cell>
          <cell r="D333">
            <v>64685.392510256519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535235.35061527276</v>
          </cell>
        </row>
        <row r="334">
          <cell r="A334">
            <v>317</v>
          </cell>
          <cell r="B334">
            <v>50557</v>
          </cell>
          <cell r="C334">
            <v>0</v>
          </cell>
          <cell r="D334">
            <v>64685.392510256519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535235.35061527276</v>
          </cell>
        </row>
        <row r="335">
          <cell r="A335">
            <v>318</v>
          </cell>
          <cell r="B335">
            <v>50587</v>
          </cell>
          <cell r="C335">
            <v>0</v>
          </cell>
          <cell r="D335">
            <v>64685.392510256519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535235.35061527276</v>
          </cell>
        </row>
        <row r="336">
          <cell r="A336">
            <v>319</v>
          </cell>
          <cell r="B336">
            <v>50618</v>
          </cell>
          <cell r="C336">
            <v>0</v>
          </cell>
          <cell r="D336">
            <v>64685.392510256519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535235.35061527276</v>
          </cell>
        </row>
        <row r="337">
          <cell r="A337">
            <v>320</v>
          </cell>
          <cell r="B337">
            <v>50649</v>
          </cell>
          <cell r="C337">
            <v>0</v>
          </cell>
          <cell r="D337">
            <v>64685.392510256519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535235.35061527276</v>
          </cell>
        </row>
        <row r="338">
          <cell r="A338">
            <v>321</v>
          </cell>
          <cell r="B338">
            <v>50679</v>
          </cell>
          <cell r="C338">
            <v>0</v>
          </cell>
          <cell r="D338">
            <v>64685.392510256519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535235.35061527276</v>
          </cell>
        </row>
        <row r="339">
          <cell r="A339">
            <v>322</v>
          </cell>
          <cell r="B339">
            <v>50710</v>
          </cell>
          <cell r="C339">
            <v>0</v>
          </cell>
          <cell r="D339">
            <v>64685.392510256519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535235.35061527276</v>
          </cell>
        </row>
        <row r="340">
          <cell r="A340">
            <v>323</v>
          </cell>
          <cell r="B340">
            <v>50740</v>
          </cell>
          <cell r="C340">
            <v>0</v>
          </cell>
          <cell r="D340">
            <v>64685.392510256519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535235.35061527276</v>
          </cell>
        </row>
        <row r="341">
          <cell r="A341">
            <v>324</v>
          </cell>
          <cell r="B341">
            <v>50771</v>
          </cell>
          <cell r="C341">
            <v>0</v>
          </cell>
          <cell r="D341">
            <v>64685.392510256519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535235.35061527276</v>
          </cell>
        </row>
        <row r="342">
          <cell r="A342">
            <v>325</v>
          </cell>
          <cell r="B342">
            <v>50802</v>
          </cell>
          <cell r="C342">
            <v>0</v>
          </cell>
          <cell r="D342">
            <v>64685.392510256519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535235.35061527276</v>
          </cell>
        </row>
        <row r="343">
          <cell r="A343">
            <v>326</v>
          </cell>
          <cell r="B343">
            <v>50830</v>
          </cell>
          <cell r="C343">
            <v>0</v>
          </cell>
          <cell r="D343">
            <v>64685.392510256519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535235.35061527276</v>
          </cell>
        </row>
        <row r="344">
          <cell r="A344">
            <v>327</v>
          </cell>
          <cell r="B344">
            <v>50861</v>
          </cell>
          <cell r="C344">
            <v>0</v>
          </cell>
          <cell r="D344">
            <v>64685.392510256519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535235.35061527276</v>
          </cell>
        </row>
        <row r="345">
          <cell r="A345">
            <v>328</v>
          </cell>
          <cell r="B345">
            <v>50891</v>
          </cell>
          <cell r="C345">
            <v>0</v>
          </cell>
          <cell r="D345">
            <v>64685.392510256519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535235.35061527276</v>
          </cell>
        </row>
        <row r="346">
          <cell r="A346">
            <v>329</v>
          </cell>
          <cell r="B346">
            <v>50922</v>
          </cell>
          <cell r="C346">
            <v>0</v>
          </cell>
          <cell r="D346">
            <v>64685.392510256519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535235.35061527276</v>
          </cell>
        </row>
        <row r="347">
          <cell r="A347">
            <v>330</v>
          </cell>
          <cell r="B347">
            <v>50952</v>
          </cell>
          <cell r="C347">
            <v>0</v>
          </cell>
          <cell r="D347">
            <v>64685.392510256519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535235.35061527276</v>
          </cell>
        </row>
        <row r="348">
          <cell r="A348">
            <v>331</v>
          </cell>
          <cell r="B348">
            <v>50983</v>
          </cell>
          <cell r="C348">
            <v>0</v>
          </cell>
          <cell r="D348">
            <v>64685.392510256519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535235.35061527276</v>
          </cell>
        </row>
        <row r="349">
          <cell r="A349">
            <v>332</v>
          </cell>
          <cell r="B349">
            <v>51014</v>
          </cell>
          <cell r="C349">
            <v>0</v>
          </cell>
          <cell r="D349">
            <v>64685.392510256519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535235.35061527276</v>
          </cell>
        </row>
        <row r="350">
          <cell r="A350">
            <v>333</v>
          </cell>
          <cell r="B350">
            <v>51044</v>
          </cell>
          <cell r="C350">
            <v>0</v>
          </cell>
          <cell r="D350">
            <v>64685.392510256519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535235.35061527276</v>
          </cell>
        </row>
        <row r="351">
          <cell r="A351">
            <v>334</v>
          </cell>
          <cell r="B351">
            <v>51075</v>
          </cell>
          <cell r="C351">
            <v>0</v>
          </cell>
          <cell r="D351">
            <v>64685.392510256519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535235.35061527276</v>
          </cell>
        </row>
        <row r="352">
          <cell r="A352">
            <v>335</v>
          </cell>
          <cell r="B352">
            <v>51105</v>
          </cell>
          <cell r="C352">
            <v>0</v>
          </cell>
          <cell r="D352">
            <v>64685.392510256519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535235.35061527276</v>
          </cell>
        </row>
        <row r="353">
          <cell r="A353">
            <v>336</v>
          </cell>
          <cell r="B353">
            <v>51136</v>
          </cell>
          <cell r="C353">
            <v>0</v>
          </cell>
          <cell r="D353">
            <v>64685.392510256519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535235.35061527276</v>
          </cell>
        </row>
        <row r="354">
          <cell r="A354">
            <v>337</v>
          </cell>
          <cell r="B354">
            <v>51167</v>
          </cell>
          <cell r="C354">
            <v>0</v>
          </cell>
          <cell r="D354">
            <v>64685.392510256519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535235.35061527276</v>
          </cell>
        </row>
        <row r="355">
          <cell r="A355">
            <v>338</v>
          </cell>
          <cell r="B355">
            <v>51196</v>
          </cell>
          <cell r="C355">
            <v>0</v>
          </cell>
          <cell r="D355">
            <v>64685.392510256519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535235.35061527276</v>
          </cell>
        </row>
        <row r="356">
          <cell r="A356">
            <v>339</v>
          </cell>
          <cell r="B356">
            <v>51227</v>
          </cell>
          <cell r="C356">
            <v>0</v>
          </cell>
          <cell r="D356">
            <v>64685.392510256519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535235.35061527276</v>
          </cell>
        </row>
        <row r="357">
          <cell r="A357">
            <v>340</v>
          </cell>
          <cell r="B357">
            <v>51257</v>
          </cell>
          <cell r="C357">
            <v>0</v>
          </cell>
          <cell r="D357">
            <v>64685.392510256519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535235.35061527276</v>
          </cell>
        </row>
        <row r="358">
          <cell r="A358">
            <v>341</v>
          </cell>
          <cell r="B358">
            <v>51288</v>
          </cell>
          <cell r="C358">
            <v>0</v>
          </cell>
          <cell r="D358">
            <v>64685.392510256519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535235.35061527276</v>
          </cell>
        </row>
        <row r="359">
          <cell r="A359">
            <v>342</v>
          </cell>
          <cell r="B359">
            <v>51318</v>
          </cell>
          <cell r="C359">
            <v>0</v>
          </cell>
          <cell r="D359">
            <v>64685.392510256519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535235.35061527276</v>
          </cell>
        </row>
        <row r="360">
          <cell r="A360">
            <v>343</v>
          </cell>
          <cell r="B360">
            <v>51349</v>
          </cell>
          <cell r="C360">
            <v>0</v>
          </cell>
          <cell r="D360">
            <v>64685.392510256519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535235.35061527276</v>
          </cell>
        </row>
        <row r="361">
          <cell r="A361">
            <v>344</v>
          </cell>
          <cell r="B361">
            <v>51380</v>
          </cell>
          <cell r="C361">
            <v>0</v>
          </cell>
          <cell r="D361">
            <v>64685.392510256519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535235.35061527276</v>
          </cell>
        </row>
        <row r="362">
          <cell r="A362">
            <v>345</v>
          </cell>
          <cell r="B362">
            <v>51410</v>
          </cell>
          <cell r="C362">
            <v>0</v>
          </cell>
          <cell r="D362">
            <v>64685.392510256519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535235.35061527276</v>
          </cell>
        </row>
        <row r="363">
          <cell r="A363">
            <v>346</v>
          </cell>
          <cell r="B363">
            <v>51441</v>
          </cell>
          <cell r="C363">
            <v>0</v>
          </cell>
          <cell r="D363">
            <v>64685.392510256519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535235.35061527276</v>
          </cell>
        </row>
        <row r="364">
          <cell r="A364">
            <v>347</v>
          </cell>
          <cell r="B364">
            <v>51471</v>
          </cell>
          <cell r="C364">
            <v>0</v>
          </cell>
          <cell r="D364">
            <v>64685.392510256519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535235.35061527276</v>
          </cell>
        </row>
        <row r="365">
          <cell r="A365">
            <v>348</v>
          </cell>
          <cell r="B365">
            <v>51502</v>
          </cell>
          <cell r="C365">
            <v>0</v>
          </cell>
          <cell r="D365">
            <v>64685.392510256519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535235.35061527276</v>
          </cell>
        </row>
        <row r="366">
          <cell r="A366">
            <v>349</v>
          </cell>
          <cell r="B366">
            <v>51533</v>
          </cell>
          <cell r="C366">
            <v>0</v>
          </cell>
          <cell r="D366">
            <v>64685.392510256519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535235.35061527276</v>
          </cell>
        </row>
        <row r="367">
          <cell r="A367">
            <v>350</v>
          </cell>
          <cell r="B367">
            <v>51561</v>
          </cell>
          <cell r="C367">
            <v>0</v>
          </cell>
          <cell r="D367">
            <v>64685.392510256519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535235.35061527276</v>
          </cell>
        </row>
        <row r="368">
          <cell r="A368">
            <v>351</v>
          </cell>
          <cell r="B368">
            <v>51592</v>
          </cell>
          <cell r="C368">
            <v>0</v>
          </cell>
          <cell r="D368">
            <v>64685.392510256519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535235.35061527276</v>
          </cell>
        </row>
        <row r="369">
          <cell r="A369">
            <v>352</v>
          </cell>
          <cell r="B369">
            <v>51622</v>
          </cell>
          <cell r="C369">
            <v>0</v>
          </cell>
          <cell r="D369">
            <v>64685.392510256519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535235.35061527276</v>
          </cell>
        </row>
        <row r="370">
          <cell r="A370">
            <v>353</v>
          </cell>
          <cell r="B370">
            <v>51653</v>
          </cell>
          <cell r="C370">
            <v>0</v>
          </cell>
          <cell r="D370">
            <v>64685.392510256519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535235.35061527276</v>
          </cell>
        </row>
        <row r="371">
          <cell r="A371">
            <v>354</v>
          </cell>
          <cell r="B371">
            <v>51683</v>
          </cell>
          <cell r="C371">
            <v>0</v>
          </cell>
          <cell r="D371">
            <v>64685.392510256519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535235.35061527276</v>
          </cell>
        </row>
        <row r="372">
          <cell r="A372">
            <v>355</v>
          </cell>
          <cell r="B372">
            <v>51714</v>
          </cell>
          <cell r="C372">
            <v>0</v>
          </cell>
          <cell r="D372">
            <v>64685.392510256519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535235.35061527276</v>
          </cell>
        </row>
        <row r="373">
          <cell r="A373">
            <v>356</v>
          </cell>
          <cell r="B373">
            <v>51745</v>
          </cell>
          <cell r="C373">
            <v>0</v>
          </cell>
          <cell r="D373">
            <v>64685.392510256519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535235.35061527276</v>
          </cell>
        </row>
        <row r="374">
          <cell r="A374">
            <v>357</v>
          </cell>
          <cell r="B374">
            <v>51775</v>
          </cell>
          <cell r="C374">
            <v>0</v>
          </cell>
          <cell r="D374">
            <v>64685.392510256519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535235.35061527276</v>
          </cell>
        </row>
        <row r="375">
          <cell r="A375">
            <v>358</v>
          </cell>
          <cell r="B375">
            <v>51806</v>
          </cell>
          <cell r="C375">
            <v>0</v>
          </cell>
          <cell r="D375">
            <v>64685.392510256519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535235.35061527276</v>
          </cell>
        </row>
        <row r="376">
          <cell r="A376">
            <v>359</v>
          </cell>
          <cell r="B376">
            <v>51836</v>
          </cell>
          <cell r="C376">
            <v>0</v>
          </cell>
          <cell r="D376">
            <v>64685.392510256519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535235.35061527276</v>
          </cell>
        </row>
        <row r="377">
          <cell r="A377">
            <v>360</v>
          </cell>
          <cell r="B377">
            <v>51867</v>
          </cell>
          <cell r="C377">
            <v>0</v>
          </cell>
          <cell r="D377">
            <v>64685.392510256519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535235.35061527276</v>
          </cell>
        </row>
        <row r="378">
          <cell r="A378">
            <v>361</v>
          </cell>
          <cell r="B378">
            <v>51898</v>
          </cell>
          <cell r="C378">
            <v>0</v>
          </cell>
          <cell r="D378">
            <v>64685.392510256519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535235.35061527276</v>
          </cell>
        </row>
        <row r="379">
          <cell r="A379">
            <v>362</v>
          </cell>
          <cell r="B379">
            <v>51926</v>
          </cell>
          <cell r="C379">
            <v>0</v>
          </cell>
          <cell r="D379">
            <v>64685.392510256519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535235.35061527276</v>
          </cell>
        </row>
        <row r="380">
          <cell r="A380">
            <v>363</v>
          </cell>
          <cell r="B380">
            <v>51957</v>
          </cell>
          <cell r="C380">
            <v>0</v>
          </cell>
          <cell r="D380">
            <v>64685.392510256519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535235.35061527276</v>
          </cell>
        </row>
        <row r="381">
          <cell r="A381">
            <v>364</v>
          </cell>
          <cell r="B381">
            <v>51987</v>
          </cell>
          <cell r="C381">
            <v>0</v>
          </cell>
          <cell r="D381">
            <v>64685.392510256519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535235.35061527276</v>
          </cell>
        </row>
        <row r="382">
          <cell r="A382">
            <v>365</v>
          </cell>
          <cell r="B382">
            <v>52018</v>
          </cell>
          <cell r="C382">
            <v>0</v>
          </cell>
          <cell r="D382">
            <v>64685.392510256519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535235.35061527276</v>
          </cell>
        </row>
        <row r="383">
          <cell r="A383">
            <v>366</v>
          </cell>
          <cell r="B383">
            <v>52048</v>
          </cell>
          <cell r="C383">
            <v>0</v>
          </cell>
          <cell r="D383">
            <v>64685.392510256519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535235.35061527276</v>
          </cell>
        </row>
        <row r="384">
          <cell r="A384">
            <v>367</v>
          </cell>
          <cell r="B384">
            <v>52079</v>
          </cell>
          <cell r="C384">
            <v>0</v>
          </cell>
          <cell r="D384">
            <v>64685.392510256519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535235.35061527276</v>
          </cell>
        </row>
        <row r="385">
          <cell r="A385">
            <v>368</v>
          </cell>
          <cell r="B385">
            <v>52110</v>
          </cell>
          <cell r="C385">
            <v>0</v>
          </cell>
          <cell r="D385">
            <v>64685.392510256519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535235.35061527276</v>
          </cell>
        </row>
        <row r="386">
          <cell r="A386">
            <v>369</v>
          </cell>
          <cell r="B386">
            <v>52140</v>
          </cell>
          <cell r="C386">
            <v>0</v>
          </cell>
          <cell r="D386">
            <v>64685.392510256519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535235.35061527276</v>
          </cell>
        </row>
        <row r="387">
          <cell r="A387">
            <v>370</v>
          </cell>
          <cell r="B387">
            <v>52171</v>
          </cell>
          <cell r="C387">
            <v>0</v>
          </cell>
          <cell r="D387">
            <v>64685.392510256519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535235.35061527276</v>
          </cell>
        </row>
        <row r="388">
          <cell r="A388">
            <v>371</v>
          </cell>
          <cell r="B388">
            <v>52201</v>
          </cell>
          <cell r="C388">
            <v>0</v>
          </cell>
          <cell r="D388">
            <v>64685.392510256519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535235.35061527276</v>
          </cell>
        </row>
        <row r="389">
          <cell r="A389">
            <v>372</v>
          </cell>
          <cell r="B389">
            <v>52232</v>
          </cell>
          <cell r="C389">
            <v>0</v>
          </cell>
          <cell r="D389">
            <v>64685.392510256519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535235.35061527276</v>
          </cell>
        </row>
        <row r="390">
          <cell r="A390">
            <v>373</v>
          </cell>
          <cell r="B390">
            <v>52263</v>
          </cell>
          <cell r="C390">
            <v>0</v>
          </cell>
          <cell r="D390">
            <v>64685.392510256519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535235.35061527276</v>
          </cell>
        </row>
        <row r="391">
          <cell r="A391">
            <v>374</v>
          </cell>
          <cell r="B391">
            <v>52291</v>
          </cell>
          <cell r="C391">
            <v>0</v>
          </cell>
          <cell r="D391">
            <v>64685.392510256519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535235.35061527276</v>
          </cell>
        </row>
        <row r="392">
          <cell r="A392">
            <v>375</v>
          </cell>
          <cell r="B392">
            <v>52322</v>
          </cell>
          <cell r="C392">
            <v>0</v>
          </cell>
          <cell r="D392">
            <v>64685.392510256519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535235.35061527276</v>
          </cell>
        </row>
        <row r="393">
          <cell r="A393">
            <v>376</v>
          </cell>
          <cell r="B393">
            <v>52352</v>
          </cell>
          <cell r="C393">
            <v>0</v>
          </cell>
          <cell r="D393">
            <v>64685.392510256519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535235.35061527276</v>
          </cell>
        </row>
        <row r="394">
          <cell r="A394">
            <v>377</v>
          </cell>
          <cell r="B394">
            <v>52383</v>
          </cell>
          <cell r="C394">
            <v>0</v>
          </cell>
          <cell r="D394">
            <v>64685.392510256519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535235.35061527276</v>
          </cell>
        </row>
        <row r="395">
          <cell r="A395">
            <v>378</v>
          </cell>
          <cell r="B395">
            <v>52413</v>
          </cell>
          <cell r="C395">
            <v>0</v>
          </cell>
          <cell r="D395">
            <v>64685.392510256519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535235.35061527276</v>
          </cell>
        </row>
        <row r="396">
          <cell r="A396">
            <v>379</v>
          </cell>
          <cell r="B396">
            <v>52444</v>
          </cell>
          <cell r="C396">
            <v>0</v>
          </cell>
          <cell r="D396">
            <v>64685.392510256519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535235.35061527276</v>
          </cell>
        </row>
        <row r="397">
          <cell r="A397">
            <v>380</v>
          </cell>
          <cell r="B397">
            <v>52475</v>
          </cell>
          <cell r="C397">
            <v>0</v>
          </cell>
          <cell r="D397">
            <v>64685.392510256519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535235.35061527276</v>
          </cell>
        </row>
        <row r="398">
          <cell r="A398">
            <v>381</v>
          </cell>
          <cell r="B398">
            <v>52505</v>
          </cell>
          <cell r="C398">
            <v>0</v>
          </cell>
          <cell r="D398">
            <v>64685.392510256519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535235.35061527276</v>
          </cell>
        </row>
        <row r="399">
          <cell r="A399">
            <v>382</v>
          </cell>
          <cell r="B399">
            <v>52536</v>
          </cell>
          <cell r="C399">
            <v>0</v>
          </cell>
          <cell r="D399">
            <v>64685.392510256519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535235.35061527276</v>
          </cell>
        </row>
        <row r="400">
          <cell r="A400">
            <v>383</v>
          </cell>
          <cell r="B400">
            <v>52566</v>
          </cell>
          <cell r="C400">
            <v>0</v>
          </cell>
          <cell r="D400">
            <v>64685.392510256519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535235.35061527276</v>
          </cell>
        </row>
        <row r="401">
          <cell r="A401">
            <v>384</v>
          </cell>
          <cell r="B401">
            <v>52597</v>
          </cell>
          <cell r="C401">
            <v>0</v>
          </cell>
          <cell r="D401">
            <v>64685.392510256519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535235.35061527276</v>
          </cell>
        </row>
        <row r="402">
          <cell r="A402">
            <v>385</v>
          </cell>
          <cell r="B402">
            <v>52628</v>
          </cell>
          <cell r="C402">
            <v>0</v>
          </cell>
          <cell r="D402">
            <v>64685.392510256519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535235.35061527276</v>
          </cell>
        </row>
        <row r="403">
          <cell r="A403">
            <v>386</v>
          </cell>
          <cell r="B403">
            <v>52657</v>
          </cell>
          <cell r="C403">
            <v>0</v>
          </cell>
          <cell r="D403">
            <v>64685.392510256519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535235.35061527276</v>
          </cell>
        </row>
        <row r="404">
          <cell r="A404">
            <v>387</v>
          </cell>
          <cell r="B404">
            <v>52688</v>
          </cell>
          <cell r="C404">
            <v>0</v>
          </cell>
          <cell r="D404">
            <v>64685.392510256519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535235.35061527276</v>
          </cell>
        </row>
        <row r="405">
          <cell r="A405">
            <v>388</v>
          </cell>
          <cell r="B405">
            <v>52718</v>
          </cell>
          <cell r="C405">
            <v>0</v>
          </cell>
          <cell r="D405">
            <v>64685.392510256519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535235.35061527276</v>
          </cell>
        </row>
        <row r="406">
          <cell r="A406">
            <v>389</v>
          </cell>
          <cell r="B406">
            <v>52749</v>
          </cell>
          <cell r="C406">
            <v>0</v>
          </cell>
          <cell r="D406">
            <v>64685.392510256519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535235.35061527276</v>
          </cell>
        </row>
        <row r="407">
          <cell r="A407">
            <v>390</v>
          </cell>
          <cell r="B407">
            <v>52779</v>
          </cell>
          <cell r="C407">
            <v>0</v>
          </cell>
          <cell r="D407">
            <v>64685.392510256519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535235.35061527276</v>
          </cell>
        </row>
        <row r="408">
          <cell r="A408">
            <v>391</v>
          </cell>
          <cell r="B408">
            <v>52810</v>
          </cell>
          <cell r="C408">
            <v>0</v>
          </cell>
          <cell r="D408">
            <v>64685.392510256519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535235.35061527276</v>
          </cell>
        </row>
        <row r="409">
          <cell r="A409">
            <v>392</v>
          </cell>
          <cell r="B409">
            <v>52841</v>
          </cell>
          <cell r="C409">
            <v>0</v>
          </cell>
          <cell r="D409">
            <v>64685.392510256519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535235.35061527276</v>
          </cell>
        </row>
        <row r="410">
          <cell r="A410">
            <v>393</v>
          </cell>
          <cell r="B410">
            <v>52871</v>
          </cell>
          <cell r="C410">
            <v>0</v>
          </cell>
          <cell r="D410">
            <v>64685.392510256519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535235.35061527276</v>
          </cell>
        </row>
        <row r="411">
          <cell r="A411">
            <v>394</v>
          </cell>
          <cell r="B411">
            <v>52902</v>
          </cell>
          <cell r="C411">
            <v>0</v>
          </cell>
          <cell r="D411">
            <v>64685.392510256519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535235.35061527276</v>
          </cell>
        </row>
        <row r="412">
          <cell r="A412">
            <v>395</v>
          </cell>
          <cell r="B412">
            <v>52932</v>
          </cell>
          <cell r="C412">
            <v>0</v>
          </cell>
          <cell r="D412">
            <v>64685.392510256519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535235.35061527276</v>
          </cell>
        </row>
        <row r="413">
          <cell r="A413">
            <v>396</v>
          </cell>
          <cell r="B413">
            <v>52963</v>
          </cell>
          <cell r="C413">
            <v>0</v>
          </cell>
          <cell r="D413">
            <v>64685.392510256519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535235.35061527276</v>
          </cell>
        </row>
        <row r="414">
          <cell r="A414">
            <v>397</v>
          </cell>
          <cell r="B414">
            <v>52994</v>
          </cell>
          <cell r="C414">
            <v>0</v>
          </cell>
          <cell r="D414">
            <v>64685.392510256519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535235.35061527276</v>
          </cell>
        </row>
        <row r="415">
          <cell r="A415">
            <v>398</v>
          </cell>
          <cell r="B415">
            <v>53022</v>
          </cell>
          <cell r="C415">
            <v>0</v>
          </cell>
          <cell r="D415">
            <v>64685.392510256519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535235.35061527276</v>
          </cell>
        </row>
        <row r="416">
          <cell r="A416">
            <v>399</v>
          </cell>
          <cell r="B416">
            <v>53053</v>
          </cell>
          <cell r="C416">
            <v>0</v>
          </cell>
          <cell r="D416">
            <v>64685.392510256519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535235.35061527276</v>
          </cell>
        </row>
        <row r="417">
          <cell r="A417">
            <v>400</v>
          </cell>
          <cell r="B417">
            <v>53083</v>
          </cell>
          <cell r="C417">
            <v>0</v>
          </cell>
          <cell r="D417">
            <v>64685.392510256519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535235.35061527276</v>
          </cell>
        </row>
        <row r="418">
          <cell r="A418">
            <v>401</v>
          </cell>
          <cell r="B418">
            <v>53114</v>
          </cell>
          <cell r="C418">
            <v>0</v>
          </cell>
          <cell r="D418">
            <v>64685.392510256519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535235.35061527276</v>
          </cell>
        </row>
        <row r="419">
          <cell r="A419">
            <v>402</v>
          </cell>
          <cell r="B419">
            <v>53144</v>
          </cell>
          <cell r="C419">
            <v>0</v>
          </cell>
          <cell r="D419">
            <v>64685.392510256519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535235.35061527276</v>
          </cell>
        </row>
        <row r="420">
          <cell r="A420">
            <v>403</v>
          </cell>
          <cell r="B420">
            <v>53175</v>
          </cell>
          <cell r="C420">
            <v>0</v>
          </cell>
          <cell r="D420">
            <v>64685.392510256519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535235.35061527276</v>
          </cell>
        </row>
        <row r="421">
          <cell r="A421">
            <v>404</v>
          </cell>
          <cell r="B421">
            <v>53206</v>
          </cell>
          <cell r="C421">
            <v>0</v>
          </cell>
          <cell r="D421">
            <v>64685.392510256519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535235.35061527276</v>
          </cell>
        </row>
        <row r="422">
          <cell r="A422">
            <v>405</v>
          </cell>
          <cell r="B422">
            <v>53236</v>
          </cell>
          <cell r="C422">
            <v>0</v>
          </cell>
          <cell r="D422">
            <v>64685.392510256519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535235.35061527276</v>
          </cell>
        </row>
        <row r="423">
          <cell r="A423">
            <v>406</v>
          </cell>
          <cell r="B423">
            <v>53267</v>
          </cell>
          <cell r="C423">
            <v>0</v>
          </cell>
          <cell r="D423">
            <v>64685.392510256519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535235.35061527276</v>
          </cell>
        </row>
        <row r="424">
          <cell r="A424">
            <v>407</v>
          </cell>
          <cell r="B424">
            <v>53297</v>
          </cell>
          <cell r="C424">
            <v>0</v>
          </cell>
          <cell r="D424">
            <v>64685.392510256519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535235.35061527276</v>
          </cell>
        </row>
        <row r="425">
          <cell r="A425">
            <v>408</v>
          </cell>
          <cell r="B425">
            <v>53328</v>
          </cell>
          <cell r="C425">
            <v>0</v>
          </cell>
          <cell r="D425">
            <v>64685.392510256519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535235.35061527276</v>
          </cell>
        </row>
        <row r="426">
          <cell r="A426">
            <v>409</v>
          </cell>
          <cell r="B426">
            <v>53359</v>
          </cell>
          <cell r="C426">
            <v>0</v>
          </cell>
          <cell r="D426">
            <v>64685.392510256519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535235.35061527276</v>
          </cell>
        </row>
        <row r="427">
          <cell r="A427">
            <v>410</v>
          </cell>
          <cell r="B427">
            <v>53387</v>
          </cell>
          <cell r="C427">
            <v>0</v>
          </cell>
          <cell r="D427">
            <v>64685.392510256519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535235.35061527276</v>
          </cell>
        </row>
        <row r="428">
          <cell r="A428">
            <v>411</v>
          </cell>
          <cell r="B428">
            <v>53418</v>
          </cell>
          <cell r="C428">
            <v>0</v>
          </cell>
          <cell r="D428">
            <v>64685.392510256519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535235.35061527276</v>
          </cell>
        </row>
        <row r="429">
          <cell r="A429">
            <v>412</v>
          </cell>
          <cell r="B429">
            <v>53448</v>
          </cell>
          <cell r="C429">
            <v>0</v>
          </cell>
          <cell r="D429">
            <v>64685.392510256519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535235.35061527276</v>
          </cell>
        </row>
        <row r="430">
          <cell r="A430">
            <v>413</v>
          </cell>
          <cell r="B430">
            <v>53479</v>
          </cell>
          <cell r="C430">
            <v>0</v>
          </cell>
          <cell r="D430">
            <v>64685.392510256519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535235.35061527276</v>
          </cell>
        </row>
        <row r="431">
          <cell r="A431">
            <v>414</v>
          </cell>
          <cell r="B431">
            <v>53509</v>
          </cell>
          <cell r="C431">
            <v>0</v>
          </cell>
          <cell r="D431">
            <v>64685.392510256519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535235.35061527276</v>
          </cell>
        </row>
        <row r="432">
          <cell r="A432">
            <v>415</v>
          </cell>
          <cell r="B432">
            <v>53540</v>
          </cell>
          <cell r="C432">
            <v>0</v>
          </cell>
          <cell r="D432">
            <v>64685.392510256519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535235.35061527276</v>
          </cell>
        </row>
        <row r="433">
          <cell r="A433">
            <v>416</v>
          </cell>
          <cell r="B433">
            <v>53571</v>
          </cell>
          <cell r="C433">
            <v>0</v>
          </cell>
          <cell r="D433">
            <v>64685.392510256519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535235.35061527276</v>
          </cell>
        </row>
        <row r="434">
          <cell r="A434">
            <v>417</v>
          </cell>
          <cell r="B434">
            <v>53601</v>
          </cell>
          <cell r="C434">
            <v>0</v>
          </cell>
          <cell r="D434">
            <v>64685.392510256519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535235.35061527276</v>
          </cell>
        </row>
        <row r="435">
          <cell r="A435">
            <v>418</v>
          </cell>
          <cell r="B435">
            <v>53632</v>
          </cell>
          <cell r="C435">
            <v>0</v>
          </cell>
          <cell r="D435">
            <v>64685.392510256519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535235.35061527276</v>
          </cell>
        </row>
        <row r="436">
          <cell r="A436">
            <v>419</v>
          </cell>
          <cell r="B436">
            <v>53662</v>
          </cell>
          <cell r="C436">
            <v>0</v>
          </cell>
          <cell r="D436">
            <v>64685.392510256519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535235.35061527276</v>
          </cell>
        </row>
        <row r="437">
          <cell r="A437">
            <v>420</v>
          </cell>
          <cell r="B437">
            <v>53693</v>
          </cell>
          <cell r="C437">
            <v>0</v>
          </cell>
          <cell r="D437">
            <v>64685.392510256519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535235.35061527276</v>
          </cell>
        </row>
        <row r="438">
          <cell r="A438">
            <v>421</v>
          </cell>
          <cell r="B438">
            <v>53724</v>
          </cell>
          <cell r="C438">
            <v>0</v>
          </cell>
          <cell r="D438">
            <v>64685.392510256519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535235.35061527276</v>
          </cell>
        </row>
        <row r="439">
          <cell r="A439">
            <v>422</v>
          </cell>
          <cell r="B439">
            <v>53752</v>
          </cell>
          <cell r="C439">
            <v>0</v>
          </cell>
          <cell r="D439">
            <v>64685.392510256519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535235.35061527276</v>
          </cell>
        </row>
        <row r="440">
          <cell r="A440">
            <v>423</v>
          </cell>
          <cell r="B440">
            <v>53783</v>
          </cell>
          <cell r="C440">
            <v>0</v>
          </cell>
          <cell r="D440">
            <v>64685.392510256519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535235.35061527276</v>
          </cell>
        </row>
        <row r="441">
          <cell r="A441">
            <v>424</v>
          </cell>
          <cell r="B441">
            <v>53813</v>
          </cell>
          <cell r="C441">
            <v>0</v>
          </cell>
          <cell r="D441">
            <v>64685.392510256519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535235.35061527276</v>
          </cell>
        </row>
        <row r="442">
          <cell r="A442">
            <v>425</v>
          </cell>
          <cell r="B442">
            <v>53844</v>
          </cell>
          <cell r="C442">
            <v>0</v>
          </cell>
          <cell r="D442">
            <v>64685.392510256519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535235.35061527276</v>
          </cell>
        </row>
        <row r="443">
          <cell r="A443">
            <v>426</v>
          </cell>
          <cell r="B443">
            <v>53874</v>
          </cell>
          <cell r="C443">
            <v>0</v>
          </cell>
          <cell r="D443">
            <v>64685.392510256519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535235.35061527276</v>
          </cell>
        </row>
        <row r="444">
          <cell r="A444">
            <v>427</v>
          </cell>
          <cell r="B444">
            <v>53905</v>
          </cell>
          <cell r="C444">
            <v>0</v>
          </cell>
          <cell r="D444">
            <v>64685.392510256519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535235.35061527276</v>
          </cell>
        </row>
        <row r="445">
          <cell r="A445">
            <v>428</v>
          </cell>
          <cell r="B445">
            <v>53936</v>
          </cell>
          <cell r="C445">
            <v>0</v>
          </cell>
          <cell r="D445">
            <v>64685.392510256519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535235.35061527276</v>
          </cell>
        </row>
        <row r="446">
          <cell r="A446">
            <v>429</v>
          </cell>
          <cell r="B446">
            <v>53966</v>
          </cell>
          <cell r="C446">
            <v>0</v>
          </cell>
          <cell r="D446">
            <v>64685.392510256519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535235.35061527276</v>
          </cell>
        </row>
        <row r="447">
          <cell r="A447">
            <v>430</v>
          </cell>
          <cell r="B447">
            <v>53997</v>
          </cell>
          <cell r="C447">
            <v>0</v>
          </cell>
          <cell r="D447">
            <v>64685.392510256519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535235.35061527276</v>
          </cell>
        </row>
        <row r="448">
          <cell r="A448">
            <v>431</v>
          </cell>
          <cell r="B448">
            <v>54027</v>
          </cell>
          <cell r="C448">
            <v>0</v>
          </cell>
          <cell r="D448">
            <v>64685.392510256519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535235.35061527276</v>
          </cell>
        </row>
        <row r="449">
          <cell r="A449">
            <v>432</v>
          </cell>
          <cell r="B449">
            <v>54058</v>
          </cell>
          <cell r="C449">
            <v>0</v>
          </cell>
          <cell r="D449">
            <v>64685.392510256519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535235.35061527276</v>
          </cell>
        </row>
        <row r="450">
          <cell r="A450">
            <v>433</v>
          </cell>
          <cell r="B450">
            <v>54089</v>
          </cell>
          <cell r="C450">
            <v>0</v>
          </cell>
          <cell r="D450">
            <v>64685.392510256519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535235.35061527276</v>
          </cell>
        </row>
        <row r="451">
          <cell r="A451">
            <v>434</v>
          </cell>
          <cell r="B451">
            <v>54118</v>
          </cell>
          <cell r="C451">
            <v>0</v>
          </cell>
          <cell r="D451">
            <v>64685.392510256519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535235.35061527276</v>
          </cell>
        </row>
        <row r="452">
          <cell r="A452">
            <v>435</v>
          </cell>
          <cell r="B452">
            <v>54149</v>
          </cell>
          <cell r="C452">
            <v>0</v>
          </cell>
          <cell r="D452">
            <v>64685.392510256519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535235.35061527276</v>
          </cell>
        </row>
        <row r="453">
          <cell r="A453">
            <v>436</v>
          </cell>
          <cell r="B453">
            <v>54179</v>
          </cell>
          <cell r="C453">
            <v>0</v>
          </cell>
          <cell r="D453">
            <v>64685.392510256519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535235.35061527276</v>
          </cell>
        </row>
        <row r="454">
          <cell r="A454">
            <v>437</v>
          </cell>
          <cell r="B454">
            <v>54210</v>
          </cell>
          <cell r="C454">
            <v>0</v>
          </cell>
          <cell r="D454">
            <v>64685.392510256519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535235.35061527276</v>
          </cell>
        </row>
        <row r="455">
          <cell r="A455">
            <v>438</v>
          </cell>
          <cell r="B455">
            <v>54240</v>
          </cell>
          <cell r="C455">
            <v>0</v>
          </cell>
          <cell r="D455">
            <v>64685.392510256519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535235.35061527276</v>
          </cell>
        </row>
        <row r="456">
          <cell r="A456">
            <v>439</v>
          </cell>
          <cell r="B456">
            <v>54271</v>
          </cell>
          <cell r="C456">
            <v>0</v>
          </cell>
          <cell r="D456">
            <v>64685.392510256519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535235.35061527276</v>
          </cell>
        </row>
        <row r="457">
          <cell r="A457">
            <v>440</v>
          </cell>
          <cell r="B457">
            <v>54302</v>
          </cell>
          <cell r="C457">
            <v>0</v>
          </cell>
          <cell r="D457">
            <v>64685.392510256519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535235.35061527276</v>
          </cell>
        </row>
        <row r="458">
          <cell r="A458">
            <v>441</v>
          </cell>
          <cell r="B458">
            <v>54332</v>
          </cell>
          <cell r="C458">
            <v>0</v>
          </cell>
          <cell r="D458">
            <v>64685.392510256519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535235.35061527276</v>
          </cell>
        </row>
        <row r="459">
          <cell r="A459">
            <v>442</v>
          </cell>
          <cell r="B459">
            <v>54363</v>
          </cell>
          <cell r="C459">
            <v>0</v>
          </cell>
          <cell r="D459">
            <v>64685.392510256519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535235.35061527276</v>
          </cell>
        </row>
        <row r="460">
          <cell r="A460">
            <v>443</v>
          </cell>
          <cell r="B460">
            <v>54393</v>
          </cell>
          <cell r="C460">
            <v>0</v>
          </cell>
          <cell r="D460">
            <v>64685.392510256519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535235.35061527276</v>
          </cell>
        </row>
        <row r="461">
          <cell r="A461">
            <v>444</v>
          </cell>
          <cell r="B461">
            <v>54424</v>
          </cell>
          <cell r="C461">
            <v>0</v>
          </cell>
          <cell r="D461">
            <v>64685.392510256519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535235.35061527276</v>
          </cell>
        </row>
        <row r="462">
          <cell r="A462">
            <v>445</v>
          </cell>
          <cell r="B462">
            <v>54455</v>
          </cell>
          <cell r="C462">
            <v>0</v>
          </cell>
          <cell r="D462">
            <v>64685.392510256519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535235.35061527276</v>
          </cell>
        </row>
        <row r="463">
          <cell r="A463">
            <v>446</v>
          </cell>
          <cell r="B463">
            <v>54483</v>
          </cell>
          <cell r="C463">
            <v>0</v>
          </cell>
          <cell r="D463">
            <v>64685.392510256519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535235.35061527276</v>
          </cell>
        </row>
        <row r="464">
          <cell r="A464">
            <v>447</v>
          </cell>
          <cell r="B464">
            <v>54514</v>
          </cell>
          <cell r="C464">
            <v>0</v>
          </cell>
          <cell r="D464">
            <v>64685.392510256519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535235.35061527276</v>
          </cell>
        </row>
        <row r="465">
          <cell r="A465">
            <v>448</v>
          </cell>
          <cell r="B465">
            <v>54544</v>
          </cell>
          <cell r="C465">
            <v>0</v>
          </cell>
          <cell r="D465">
            <v>64685.392510256519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535235.35061527276</v>
          </cell>
        </row>
        <row r="466">
          <cell r="A466">
            <v>449</v>
          </cell>
          <cell r="B466">
            <v>54575</v>
          </cell>
          <cell r="C466">
            <v>0</v>
          </cell>
          <cell r="D466">
            <v>64685.392510256519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535235.35061527276</v>
          </cell>
        </row>
        <row r="467">
          <cell r="A467">
            <v>450</v>
          </cell>
          <cell r="B467">
            <v>54605</v>
          </cell>
          <cell r="C467">
            <v>0</v>
          </cell>
          <cell r="D467">
            <v>64685.392510256519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535235.35061527276</v>
          </cell>
        </row>
        <row r="468">
          <cell r="A468">
            <v>451</v>
          </cell>
          <cell r="B468">
            <v>54636</v>
          </cell>
          <cell r="C468">
            <v>0</v>
          </cell>
          <cell r="D468">
            <v>64685.392510256519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535235.35061527276</v>
          </cell>
        </row>
        <row r="469">
          <cell r="A469">
            <v>452</v>
          </cell>
          <cell r="B469">
            <v>54667</v>
          </cell>
          <cell r="C469">
            <v>0</v>
          </cell>
          <cell r="D469">
            <v>64685.392510256519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535235.35061527276</v>
          </cell>
        </row>
        <row r="470">
          <cell r="A470">
            <v>453</v>
          </cell>
          <cell r="B470">
            <v>54697</v>
          </cell>
          <cell r="C470">
            <v>0</v>
          </cell>
          <cell r="D470">
            <v>64685.392510256519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535235.35061527276</v>
          </cell>
        </row>
        <row r="471">
          <cell r="A471">
            <v>454</v>
          </cell>
          <cell r="B471">
            <v>54728</v>
          </cell>
          <cell r="C471">
            <v>0</v>
          </cell>
          <cell r="D471">
            <v>64685.392510256519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535235.35061527276</v>
          </cell>
        </row>
        <row r="472">
          <cell r="A472">
            <v>455</v>
          </cell>
          <cell r="B472">
            <v>54758</v>
          </cell>
          <cell r="C472">
            <v>0</v>
          </cell>
          <cell r="D472">
            <v>64685.392510256519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535235.35061527276</v>
          </cell>
        </row>
        <row r="473">
          <cell r="A473">
            <v>456</v>
          </cell>
          <cell r="B473">
            <v>54789</v>
          </cell>
          <cell r="C473">
            <v>0</v>
          </cell>
          <cell r="D473">
            <v>64685.392510256519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535235.35061527276</v>
          </cell>
        </row>
        <row r="474">
          <cell r="A474">
            <v>457</v>
          </cell>
          <cell r="B474">
            <v>54820</v>
          </cell>
          <cell r="C474">
            <v>0</v>
          </cell>
          <cell r="D474">
            <v>64685.392510256519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535235.35061527276</v>
          </cell>
        </row>
        <row r="475">
          <cell r="A475">
            <v>458</v>
          </cell>
          <cell r="B475">
            <v>54848</v>
          </cell>
          <cell r="C475">
            <v>0</v>
          </cell>
          <cell r="D475">
            <v>64685.392510256519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535235.35061527276</v>
          </cell>
        </row>
        <row r="476">
          <cell r="A476">
            <v>459</v>
          </cell>
          <cell r="B476">
            <v>54879</v>
          </cell>
          <cell r="C476">
            <v>0</v>
          </cell>
          <cell r="D476">
            <v>64685.392510256519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535235.35061527276</v>
          </cell>
        </row>
        <row r="477">
          <cell r="A477">
            <v>460</v>
          </cell>
          <cell r="B477">
            <v>54909</v>
          </cell>
          <cell r="C477">
            <v>0</v>
          </cell>
          <cell r="D477">
            <v>64685.392510256519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535235.35061527276</v>
          </cell>
        </row>
        <row r="478">
          <cell r="A478">
            <v>461</v>
          </cell>
          <cell r="B478">
            <v>54940</v>
          </cell>
          <cell r="C478">
            <v>0</v>
          </cell>
          <cell r="D478">
            <v>64685.392510256519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535235.35061527276</v>
          </cell>
        </row>
        <row r="479">
          <cell r="A479">
            <v>462</v>
          </cell>
          <cell r="B479">
            <v>54970</v>
          </cell>
          <cell r="C479">
            <v>0</v>
          </cell>
          <cell r="D479">
            <v>64685.392510256519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535235.35061527276</v>
          </cell>
        </row>
        <row r="480">
          <cell r="A480">
            <v>463</v>
          </cell>
          <cell r="B480">
            <v>55001</v>
          </cell>
          <cell r="C480">
            <v>0</v>
          </cell>
          <cell r="D480">
            <v>64685.392510256519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535235.35061527276</v>
          </cell>
        </row>
        <row r="481">
          <cell r="A481">
            <v>464</v>
          </cell>
          <cell r="B481">
            <v>55032</v>
          </cell>
          <cell r="C481">
            <v>0</v>
          </cell>
          <cell r="D481">
            <v>64685.392510256519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535235.35061527276</v>
          </cell>
        </row>
        <row r="482">
          <cell r="A482">
            <v>465</v>
          </cell>
          <cell r="B482">
            <v>55062</v>
          </cell>
          <cell r="C482">
            <v>0</v>
          </cell>
          <cell r="D482">
            <v>64685.392510256519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535235.35061527276</v>
          </cell>
        </row>
        <row r="483">
          <cell r="A483">
            <v>466</v>
          </cell>
          <cell r="B483">
            <v>55093</v>
          </cell>
          <cell r="C483">
            <v>0</v>
          </cell>
          <cell r="D483">
            <v>64685.392510256519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535235.35061527276</v>
          </cell>
        </row>
        <row r="484">
          <cell r="A484">
            <v>467</v>
          </cell>
          <cell r="B484">
            <v>55123</v>
          </cell>
          <cell r="C484">
            <v>0</v>
          </cell>
          <cell r="D484">
            <v>64685.392510256519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535235.35061527276</v>
          </cell>
        </row>
        <row r="485">
          <cell r="A485">
            <v>468</v>
          </cell>
          <cell r="B485">
            <v>55154</v>
          </cell>
          <cell r="C485">
            <v>0</v>
          </cell>
          <cell r="D485">
            <v>64685.392510256519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535235.35061527276</v>
          </cell>
        </row>
        <row r="486">
          <cell r="A486">
            <v>469</v>
          </cell>
          <cell r="B486">
            <v>55185</v>
          </cell>
          <cell r="C486">
            <v>0</v>
          </cell>
          <cell r="D486">
            <v>64685.392510256519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535235.35061527276</v>
          </cell>
        </row>
        <row r="487">
          <cell r="A487">
            <v>470</v>
          </cell>
          <cell r="B487">
            <v>55213</v>
          </cell>
          <cell r="C487">
            <v>0</v>
          </cell>
          <cell r="D487">
            <v>64685.392510256519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535235.35061527276</v>
          </cell>
        </row>
        <row r="488">
          <cell r="A488">
            <v>471</v>
          </cell>
          <cell r="B488">
            <v>55244</v>
          </cell>
          <cell r="C488">
            <v>0</v>
          </cell>
          <cell r="D488">
            <v>64685.392510256519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535235.35061527276</v>
          </cell>
        </row>
        <row r="489">
          <cell r="A489">
            <v>472</v>
          </cell>
          <cell r="B489">
            <v>55274</v>
          </cell>
          <cell r="C489">
            <v>0</v>
          </cell>
          <cell r="D489">
            <v>64685.392510256519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535235.35061527276</v>
          </cell>
        </row>
        <row r="490">
          <cell r="A490">
            <v>473</v>
          </cell>
          <cell r="B490">
            <v>55305</v>
          </cell>
          <cell r="C490">
            <v>0</v>
          </cell>
          <cell r="D490">
            <v>64685.392510256519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535235.35061527276</v>
          </cell>
        </row>
        <row r="491">
          <cell r="A491">
            <v>474</v>
          </cell>
          <cell r="B491">
            <v>55335</v>
          </cell>
          <cell r="C491">
            <v>0</v>
          </cell>
          <cell r="D491">
            <v>64685.392510256519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535235.35061527276</v>
          </cell>
        </row>
        <row r="492">
          <cell r="A492">
            <v>475</v>
          </cell>
          <cell r="B492">
            <v>55366</v>
          </cell>
          <cell r="C492">
            <v>0</v>
          </cell>
          <cell r="D492">
            <v>64685.392510256519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535235.35061527276</v>
          </cell>
        </row>
        <row r="493">
          <cell r="A493">
            <v>476</v>
          </cell>
          <cell r="B493">
            <v>55397</v>
          </cell>
          <cell r="C493">
            <v>0</v>
          </cell>
          <cell r="D493">
            <v>64685.392510256519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535235.35061527276</v>
          </cell>
        </row>
        <row r="494">
          <cell r="A494">
            <v>477</v>
          </cell>
          <cell r="B494">
            <v>55427</v>
          </cell>
          <cell r="C494">
            <v>0</v>
          </cell>
          <cell r="D494">
            <v>64685.392510256519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535235.35061527276</v>
          </cell>
        </row>
        <row r="495">
          <cell r="A495">
            <v>478</v>
          </cell>
          <cell r="B495">
            <v>55458</v>
          </cell>
          <cell r="C495">
            <v>0</v>
          </cell>
          <cell r="D495">
            <v>64685.392510256519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535235.35061527276</v>
          </cell>
        </row>
        <row r="496">
          <cell r="A496">
            <v>479</v>
          </cell>
          <cell r="B496">
            <v>55488</v>
          </cell>
          <cell r="C496">
            <v>0</v>
          </cell>
          <cell r="D496">
            <v>64685.392510256519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535235.35061527276</v>
          </cell>
        </row>
        <row r="497">
          <cell r="A497">
            <v>480</v>
          </cell>
          <cell r="B497">
            <v>55519</v>
          </cell>
          <cell r="C497">
            <v>0</v>
          </cell>
          <cell r="D497">
            <v>64685.392510256519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535235.35061527276</v>
          </cell>
        </row>
      </sheetData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CA99"/>
  <sheetViews>
    <sheetView tabSelected="1" zoomScale="110" zoomScaleNormal="110" workbookViewId="0">
      <pane ySplit="4" topLeftCell="A5" activePane="bottomLeft" state="frozen"/>
      <selection activeCell="AP4" sqref="AP4"/>
      <selection pane="bottomLeft" activeCell="A4" sqref="A4"/>
    </sheetView>
  </sheetViews>
  <sheetFormatPr defaultColWidth="9.109375" defaultRowHeight="12"/>
  <cols>
    <col min="1" max="1" width="10.33203125" style="37" bestFit="1" customWidth="1"/>
    <col min="2" max="2" width="6.109375" style="37" customWidth="1"/>
    <col min="3" max="3" width="9.33203125" style="37" customWidth="1"/>
    <col min="4" max="4" width="18.109375" style="47" customWidth="1"/>
    <col min="5" max="5" width="7" style="37" customWidth="1"/>
    <col min="6" max="6" width="7.5546875" style="37" customWidth="1"/>
    <col min="7" max="7" width="20.21875" style="47" customWidth="1"/>
    <col min="8" max="8" width="9.77734375" style="47" customWidth="1"/>
    <col min="9" max="9" width="7.33203125" style="37" bestFit="1" customWidth="1"/>
    <col min="10" max="10" width="11.88671875" style="37" customWidth="1"/>
    <col min="11" max="11" width="13.44140625" style="37" customWidth="1"/>
    <col min="12" max="12" width="24" style="37" customWidth="1"/>
    <col min="13" max="13" width="8.6640625" style="37" customWidth="1"/>
    <col min="14" max="14" width="9.44140625" style="37" customWidth="1"/>
    <col min="15" max="15" width="12.21875" style="84" customWidth="1"/>
    <col min="16" max="17" width="11.44140625" style="37" customWidth="1"/>
    <col min="18" max="18" width="10.6640625" style="37" customWidth="1"/>
    <col min="19" max="19" width="13.21875" style="37" customWidth="1"/>
    <col min="20" max="20" width="12.77734375" style="37" customWidth="1"/>
    <col min="21" max="21" width="10.109375" style="37" customWidth="1"/>
    <col min="22" max="23" width="13.33203125" style="37" customWidth="1"/>
    <col min="24" max="24" width="13" style="37" customWidth="1"/>
    <col min="25" max="25" width="8.88671875" style="91" customWidth="1"/>
    <col min="26" max="26" width="10.77734375" style="37" customWidth="1"/>
    <col min="27" max="27" width="10.6640625" style="37" customWidth="1"/>
    <col min="28" max="28" width="14.109375" style="37" customWidth="1"/>
    <col min="29" max="29" width="15" style="37" customWidth="1"/>
    <col min="30" max="30" width="11.33203125" style="49" customWidth="1"/>
    <col min="31" max="31" width="10.33203125" style="37" customWidth="1"/>
    <col min="32" max="34" width="16.77734375" style="37" customWidth="1"/>
    <col min="35" max="35" width="8.109375" style="37" customWidth="1"/>
    <col min="36" max="36" width="7.33203125" style="37" customWidth="1"/>
    <col min="37" max="37" width="7.109375" style="37" customWidth="1"/>
    <col min="38" max="38" width="10.109375" style="37" customWidth="1"/>
    <col min="39" max="39" width="8.44140625" style="37" customWidth="1"/>
    <col min="40" max="40" width="7.33203125" style="37" customWidth="1"/>
    <col min="41" max="41" width="8.77734375" style="37" customWidth="1"/>
    <col min="42" max="42" width="11" style="37" customWidth="1"/>
    <col min="43" max="43" width="12.6640625" style="37" customWidth="1"/>
    <col min="44" max="44" width="12" style="37" customWidth="1"/>
    <col min="45" max="45" width="9.6640625" style="37" customWidth="1"/>
    <col min="46" max="46" width="12.21875" style="37" customWidth="1"/>
    <col min="47" max="48" width="11.109375" style="84" customWidth="1"/>
    <col min="49" max="49" width="12.21875" style="84" customWidth="1"/>
    <col min="50" max="50" width="16.109375" style="97" customWidth="1"/>
    <col min="51" max="51" width="11.88671875" style="84" customWidth="1"/>
    <col min="52" max="52" width="10.21875" style="37" customWidth="1"/>
    <col min="53" max="53" width="14.6640625" style="84" customWidth="1"/>
    <col min="54" max="54" width="13.33203125" style="37" customWidth="1"/>
    <col min="55" max="55" width="13" style="37" customWidth="1"/>
    <col min="56" max="56" width="7.5546875" style="37" customWidth="1"/>
    <col min="57" max="57" width="13.88671875" style="37" customWidth="1"/>
    <col min="58" max="58" width="11.6640625" style="37" customWidth="1"/>
    <col min="59" max="59" width="17.88671875" style="37" customWidth="1"/>
    <col min="60" max="60" width="21.33203125" style="37" customWidth="1"/>
    <col min="61" max="61" width="13.6640625" style="37" customWidth="1"/>
    <col min="62" max="62" width="13.88671875" style="37" customWidth="1"/>
    <col min="63" max="63" width="16.109375" style="37" customWidth="1"/>
    <col min="64" max="64" width="12.5546875" style="37" customWidth="1"/>
    <col min="65" max="65" width="13.88671875" style="37" customWidth="1"/>
    <col min="66" max="66" width="15.44140625" style="37" customWidth="1"/>
    <col min="67" max="68" width="12.5546875" style="37" customWidth="1"/>
    <col min="69" max="69" width="24.6640625" style="37" customWidth="1"/>
    <col min="70" max="70" width="23.5546875" style="37" customWidth="1"/>
    <col min="71" max="71" width="21.6640625" style="37" customWidth="1"/>
    <col min="72" max="74" width="9.109375" style="37" customWidth="1"/>
    <col min="75" max="75" width="11.5546875" style="37" bestFit="1" customWidth="1"/>
    <col min="76" max="76" width="9.109375" style="37" customWidth="1"/>
    <col min="77" max="16384" width="9.109375" style="37"/>
  </cols>
  <sheetData>
    <row r="1" spans="1:79">
      <c r="J1" s="11"/>
      <c r="K1" s="11"/>
      <c r="L1" s="11"/>
      <c r="M1" s="11"/>
      <c r="N1" s="11"/>
      <c r="O1" s="35">
        <f>O2/73</f>
        <v>1761843.3698630137</v>
      </c>
      <c r="P1" s="11"/>
      <c r="Q1" s="11"/>
      <c r="R1" s="11"/>
      <c r="S1" s="11">
        <v>270899.99999999988</v>
      </c>
      <c r="T1" s="11"/>
      <c r="U1" s="11"/>
      <c r="V1" s="11"/>
      <c r="W1" s="11"/>
      <c r="X1" s="11"/>
      <c r="Y1" s="36"/>
      <c r="Z1" s="37" t="e">
        <f>ROUND((IF(($O1&lt;=700000),0,IF(((VLOOKUP($M1,'Loyalty - Effec - 15July'!$B$5:$C$17,2,0)*$O1)&lt;=120000),(VLOOKUP($M1,'Loyalty - Effec - 15July'!$B$5:$C$17,2,0)*$O1),120000))),0)</f>
        <v>#N/A</v>
      </c>
      <c r="AA1" s="37">
        <v>899999.99999999988</v>
      </c>
      <c r="AB1" s="66">
        <f>AB2-O2</f>
        <v>0</v>
      </c>
      <c r="AC1" s="35"/>
      <c r="AD1" s="67"/>
      <c r="AE1" s="48"/>
      <c r="AF1" s="48"/>
      <c r="AR1" s="68"/>
      <c r="AS1" s="68"/>
      <c r="AT1" s="69">
        <f>AT2-T2</f>
        <v>13175137.956000015</v>
      </c>
      <c r="AU1" s="70"/>
      <c r="AV1" s="70"/>
      <c r="AW1" s="70"/>
      <c r="AX1" s="92"/>
      <c r="AY1" s="70"/>
      <c r="AZ1" s="69"/>
      <c r="BA1" s="70"/>
      <c r="BB1" s="69"/>
      <c r="BC1" s="69"/>
      <c r="BF1" s="69"/>
      <c r="BG1" s="69" t="s">
        <v>14</v>
      </c>
      <c r="BH1" s="69" t="s">
        <v>15</v>
      </c>
      <c r="BI1" s="71" t="s">
        <v>16</v>
      </c>
    </row>
    <row r="2" spans="1:79">
      <c r="G2" s="72"/>
      <c r="H2" s="100"/>
      <c r="J2" s="73"/>
      <c r="K2" s="73"/>
      <c r="L2" s="73"/>
      <c r="M2" s="73"/>
      <c r="N2" s="73" t="s">
        <v>17</v>
      </c>
      <c r="O2" s="70">
        <f t="shared" ref="O2:W2" si="0">SUBTOTAL(9,O5:O93)</f>
        <v>128614566</v>
      </c>
      <c r="P2" s="70">
        <f t="shared" si="0"/>
        <v>64307510</v>
      </c>
      <c r="Q2" s="70">
        <f t="shared" si="0"/>
        <v>16076890</v>
      </c>
      <c r="R2" s="70">
        <f t="shared" si="0"/>
        <v>6430751</v>
      </c>
      <c r="S2" s="70">
        <f t="shared" si="0"/>
        <v>28799428</v>
      </c>
      <c r="T2" s="70">
        <f t="shared" si="0"/>
        <v>115614579</v>
      </c>
      <c r="U2" s="70">
        <f t="shared" si="0"/>
        <v>1922400</v>
      </c>
      <c r="V2" s="70">
        <f t="shared" si="0"/>
        <v>86305</v>
      </c>
      <c r="W2" s="70">
        <f t="shared" si="0"/>
        <v>6408</v>
      </c>
      <c r="X2" s="70">
        <f t="shared" ref="X2:Z2" si="1">SUBTOTAL(9,X5:X8)</f>
        <v>0</v>
      </c>
      <c r="Y2" s="89">
        <f t="shared" si="1"/>
        <v>0</v>
      </c>
      <c r="Z2" s="70">
        <f t="shared" si="1"/>
        <v>0</v>
      </c>
      <c r="AA2" s="70">
        <f>SUBTOTAL(9,AA5:AA93)</f>
        <v>6292691</v>
      </c>
      <c r="AB2" s="70">
        <f>SUBTOTAL(9,AB5:AB93)</f>
        <v>128614566</v>
      </c>
      <c r="AC2" s="69"/>
      <c r="AD2" s="70">
        <f>SUBTOTAL(9,AD5:AD8)</f>
        <v>0</v>
      </c>
      <c r="AE2" s="66"/>
      <c r="AR2" s="74"/>
      <c r="AS2" s="11"/>
      <c r="AT2" s="70">
        <f t="shared" ref="AT2:AZ2" si="2">SUBTOTAL(9,AT5:AT93)</f>
        <v>128789716.95600002</v>
      </c>
      <c r="AU2" s="35">
        <f t="shared" si="2"/>
        <v>64394867</v>
      </c>
      <c r="AV2" s="35">
        <f t="shared" si="2"/>
        <v>16098723</v>
      </c>
      <c r="AW2" s="35">
        <f t="shared" si="2"/>
        <v>6439492</v>
      </c>
      <c r="AX2" s="93">
        <f>SUBTOTAL(9,AX5:AX93)</f>
        <v>29006077.799999997</v>
      </c>
      <c r="AY2" s="35">
        <f t="shared" si="2"/>
        <v>115939159.8</v>
      </c>
      <c r="AZ2" s="35">
        <f t="shared" si="2"/>
        <v>1922400</v>
      </c>
      <c r="BA2" s="35">
        <f t="shared" ref="BA2:BB2" si="3">SUBTOTAL(9,BA5:BA8)</f>
        <v>6872</v>
      </c>
      <c r="BB2" s="35">
        <f t="shared" si="3"/>
        <v>288</v>
      </c>
      <c r="BC2" s="11"/>
      <c r="BE2" s="75">
        <f>BG2-AT2</f>
        <v>47468.84399998188</v>
      </c>
      <c r="BF2" s="73"/>
      <c r="BG2" s="76">
        <f>SUBTOTAL(9,BG5:BG93)</f>
        <v>128837185.8</v>
      </c>
      <c r="BH2" s="76">
        <f>BG2-AB2</f>
        <v>222619.79999999702</v>
      </c>
      <c r="BI2" s="77">
        <f>(BG2/AB2)-1</f>
        <v>1.7309065910933175E-3</v>
      </c>
      <c r="BJ2" s="78">
        <f>BH2/12</f>
        <v>18551.64999999975</v>
      </c>
    </row>
    <row r="3" spans="1:79">
      <c r="J3" s="11"/>
      <c r="K3" s="11"/>
      <c r="L3" s="11"/>
      <c r="M3" s="11"/>
      <c r="N3" s="11"/>
      <c r="O3" s="35"/>
      <c r="P3" s="79">
        <v>0.5</v>
      </c>
      <c r="Q3" s="79">
        <v>0.25</v>
      </c>
      <c r="R3" s="79">
        <v>0.1</v>
      </c>
      <c r="S3" s="79">
        <v>0.2</v>
      </c>
      <c r="T3" s="11"/>
      <c r="U3" s="11"/>
      <c r="V3" s="11"/>
      <c r="W3" s="11"/>
      <c r="X3" s="11"/>
      <c r="Y3" s="36"/>
      <c r="AC3" s="80"/>
      <c r="AD3" s="81"/>
      <c r="AL3" s="82"/>
      <c r="AR3" s="74"/>
      <c r="AU3" s="83">
        <v>0.5</v>
      </c>
      <c r="AV3" s="83">
        <v>0.25</v>
      </c>
      <c r="AW3" s="83">
        <v>0.1</v>
      </c>
      <c r="AX3" s="94">
        <v>-67108.664000000004</v>
      </c>
      <c r="BF3" s="37" t="s">
        <v>18</v>
      </c>
      <c r="BG3" s="78">
        <f>BG2/73</f>
        <v>1764892.9561643836</v>
      </c>
      <c r="BH3" s="78">
        <f>BH2/73</f>
        <v>3049.5863013698222</v>
      </c>
      <c r="BI3" s="78"/>
      <c r="BR3" s="82"/>
    </row>
    <row r="4" spans="1:79" s="32" customFormat="1" ht="38.25" customHeight="1">
      <c r="A4" s="18" t="s">
        <v>19</v>
      </c>
      <c r="B4" s="18" t="s">
        <v>20</v>
      </c>
      <c r="C4" s="18" t="s">
        <v>21</v>
      </c>
      <c r="D4" s="19" t="s">
        <v>22</v>
      </c>
      <c r="E4" s="18" t="s">
        <v>23</v>
      </c>
      <c r="F4" s="18" t="s">
        <v>24</v>
      </c>
      <c r="G4" s="19" t="s">
        <v>25</v>
      </c>
      <c r="H4" s="19" t="s">
        <v>26</v>
      </c>
      <c r="I4" s="18" t="s">
        <v>27</v>
      </c>
      <c r="J4" s="18" t="s">
        <v>28</v>
      </c>
      <c r="K4" s="18" t="s">
        <v>29</v>
      </c>
      <c r="L4" s="18" t="s">
        <v>30</v>
      </c>
      <c r="M4" s="18" t="s">
        <v>31</v>
      </c>
      <c r="N4" s="18" t="s">
        <v>32</v>
      </c>
      <c r="O4" s="20" t="s">
        <v>33</v>
      </c>
      <c r="P4" s="21" t="s">
        <v>34</v>
      </c>
      <c r="Q4" s="21" t="s">
        <v>35</v>
      </c>
      <c r="R4" s="21" t="s">
        <v>36</v>
      </c>
      <c r="S4" s="26" t="s">
        <v>37</v>
      </c>
      <c r="T4" s="21" t="s">
        <v>38</v>
      </c>
      <c r="U4" s="21" t="s">
        <v>39</v>
      </c>
      <c r="V4" s="21" t="s">
        <v>40</v>
      </c>
      <c r="W4" s="21" t="s">
        <v>41</v>
      </c>
      <c r="X4" s="21" t="s">
        <v>42</v>
      </c>
      <c r="Y4" s="22" t="s">
        <v>43</v>
      </c>
      <c r="Z4" s="21" t="s">
        <v>44</v>
      </c>
      <c r="AA4" s="22" t="s">
        <v>45</v>
      </c>
      <c r="AB4" s="22" t="s">
        <v>46</v>
      </c>
      <c r="AC4" s="21" t="s">
        <v>47</v>
      </c>
      <c r="AD4" s="23" t="s">
        <v>48</v>
      </c>
      <c r="AE4" s="22" t="s">
        <v>49</v>
      </c>
      <c r="AF4" s="22" t="s">
        <v>50</v>
      </c>
      <c r="AG4" s="18" t="s">
        <v>51</v>
      </c>
      <c r="AH4" s="18" t="s">
        <v>52</v>
      </c>
      <c r="AI4" s="18" t="s">
        <v>53</v>
      </c>
      <c r="AJ4" s="18" t="s">
        <v>51</v>
      </c>
      <c r="AK4" s="18" t="s">
        <v>54</v>
      </c>
      <c r="AL4" s="18" t="s">
        <v>55</v>
      </c>
      <c r="AM4" s="24" t="s">
        <v>56</v>
      </c>
      <c r="AN4" s="24" t="s">
        <v>57</v>
      </c>
      <c r="AO4" s="24" t="s">
        <v>58</v>
      </c>
      <c r="AP4" s="24" t="s">
        <v>59</v>
      </c>
      <c r="AQ4" s="24" t="s">
        <v>60</v>
      </c>
      <c r="AR4" s="25" t="s">
        <v>61</v>
      </c>
      <c r="AS4" s="24" t="s">
        <v>62</v>
      </c>
      <c r="AT4" s="26" t="s">
        <v>63</v>
      </c>
      <c r="AU4" s="27" t="s">
        <v>34</v>
      </c>
      <c r="AV4" s="27" t="s">
        <v>35</v>
      </c>
      <c r="AW4" s="27" t="s">
        <v>36</v>
      </c>
      <c r="AX4" s="95" t="s">
        <v>37</v>
      </c>
      <c r="AY4" s="27" t="s">
        <v>64</v>
      </c>
      <c r="AZ4" s="28" t="s">
        <v>65</v>
      </c>
      <c r="BA4" s="27" t="s">
        <v>40</v>
      </c>
      <c r="BB4" s="28" t="s">
        <v>41</v>
      </c>
      <c r="BC4" s="28" t="s">
        <v>42</v>
      </c>
      <c r="BD4" s="28" t="s">
        <v>43</v>
      </c>
      <c r="BE4" s="28" t="s">
        <v>44</v>
      </c>
      <c r="BF4" s="28" t="s">
        <v>66</v>
      </c>
      <c r="BG4" s="28" t="s">
        <v>67</v>
      </c>
      <c r="BH4" s="27" t="s">
        <v>47</v>
      </c>
      <c r="BI4" s="26" t="s">
        <v>68</v>
      </c>
      <c r="BJ4" s="28" t="s">
        <v>69</v>
      </c>
      <c r="BK4" s="29" t="s">
        <v>70</v>
      </c>
      <c r="BL4" s="30" t="s">
        <v>71</v>
      </c>
      <c r="BM4" s="30" t="s">
        <v>72</v>
      </c>
      <c r="BN4" s="27" t="s">
        <v>73</v>
      </c>
      <c r="BO4" s="31" t="s">
        <v>74</v>
      </c>
      <c r="BP4" s="31" t="s">
        <v>75</v>
      </c>
      <c r="BQ4" s="31" t="s">
        <v>76</v>
      </c>
      <c r="BR4" s="31" t="s">
        <v>77</v>
      </c>
      <c r="BS4" s="31" t="s">
        <v>78</v>
      </c>
      <c r="BW4" s="33" t="s">
        <v>79</v>
      </c>
    </row>
    <row r="5" spans="1:79" s="11" customFormat="1">
      <c r="A5" s="98" t="s">
        <v>121</v>
      </c>
      <c r="B5" s="11" t="s">
        <v>119</v>
      </c>
      <c r="C5" s="11" t="s">
        <v>80</v>
      </c>
      <c r="D5" s="45" t="s">
        <v>81</v>
      </c>
      <c r="E5" s="11" t="s">
        <v>82</v>
      </c>
      <c r="F5" s="11" t="s">
        <v>94</v>
      </c>
      <c r="G5" s="98" t="s">
        <v>122</v>
      </c>
      <c r="H5" s="11" t="s">
        <v>301</v>
      </c>
      <c r="I5" s="11" t="s">
        <v>391</v>
      </c>
      <c r="M5" s="34" t="s">
        <v>98</v>
      </c>
      <c r="N5" s="11" t="str">
        <f t="shared" ref="N5:N36" si="4">M5</f>
        <v>AC2</v>
      </c>
      <c r="O5" s="85">
        <v>276240</v>
      </c>
      <c r="P5" s="36">
        <f>CEILING(ROUND(($O5*50%),2),10)</f>
        <v>138120</v>
      </c>
      <c r="Q5" s="36">
        <f>ROUND((P5*25%),2)</f>
        <v>34530</v>
      </c>
      <c r="R5" s="36">
        <f>ROUND((P5*10%),2)</f>
        <v>13812</v>
      </c>
      <c r="S5" s="36">
        <v>54742</v>
      </c>
      <c r="T5" s="36">
        <f>SUM(P5:S5)</f>
        <v>241204</v>
      </c>
      <c r="U5" s="36">
        <f>ROUND(IF(($T5-$Q5)&lt;=180000,($T5-$Q5)*12%,(180000*12%)),2)</f>
        <v>21600</v>
      </c>
      <c r="V5" s="36">
        <v>7839</v>
      </c>
      <c r="W5" s="11">
        <v>72</v>
      </c>
      <c r="X5" s="11">
        <v>0</v>
      </c>
      <c r="Y5" s="11">
        <v>0</v>
      </c>
      <c r="Z5" s="11">
        <v>0</v>
      </c>
      <c r="AA5" s="38">
        <v>5525</v>
      </c>
      <c r="AB5" s="39">
        <f t="shared" ref="AB5:AB36" si="5">SUM(T5:AA5)</f>
        <v>276240</v>
      </c>
      <c r="AC5" s="40">
        <f t="shared" ref="AC5:AC36" si="6">ROUND(IF(($T5&lt;=252000),($T5*0.75%),0),2)</f>
        <v>1809.03</v>
      </c>
      <c r="AD5" s="41">
        <f t="shared" ref="AD5:AD36" si="7">O5-AB5</f>
        <v>0</v>
      </c>
      <c r="AE5" s="12">
        <f t="shared" ref="AE5:AE36" si="8">(T5+Z5)-(U5+AC5)</f>
        <v>217794.97</v>
      </c>
      <c r="AF5" s="12">
        <f t="shared" ref="AF5:AF36" si="9">AE5/12</f>
        <v>18149.580833333333</v>
      </c>
      <c r="AG5" s="102" t="s">
        <v>129</v>
      </c>
      <c r="AH5" s="102" t="s">
        <v>127</v>
      </c>
      <c r="AI5" s="42">
        <v>2.9</v>
      </c>
      <c r="AJ5" s="11">
        <v>1.9</v>
      </c>
      <c r="AK5" s="11">
        <v>2.11</v>
      </c>
      <c r="AL5" s="11">
        <v>2</v>
      </c>
      <c r="AM5" s="65">
        <f>IF($AL5=4,VLOOKUP($AR5,'Loyalty Incentive v1'!$L$3:$Q$15,2,FALSE),
IF($AL5=3,VLOOKUP($AR5,'Loyalty Incentive v1'!$L$3:$Q$15,3,FALSE),
IF($AL5=2,VLOOKUP($AR5,'Loyalty Incentive v1'!$L$3:$Q$15,4,FALSE),
IF($AL5=1,VLOOKUP($AR5,'Loyalty Incentive v1'!$L$3:$Q$15,5,FALSE),
IF($AL5=0,VLOOKUP($AR5,'Loyalty Incentive v1'!$L$3:$Q$15,6,FALSE),0)))))</f>
        <v>0.14099999999999999</v>
      </c>
      <c r="AN5" s="65">
        <f>IFERROR(IF(I5&gt;="1",AM5,VLOOKUP(VALUE(I5),'Loyalty - Effec - 15July'!$I$5:$J$16,2,0)*AM5),0)</f>
        <v>0.14099999999999999</v>
      </c>
      <c r="AO5" s="65">
        <v>0.127</v>
      </c>
      <c r="AP5" s="65">
        <f>AN5+AO5</f>
        <v>0.26800000000000002</v>
      </c>
      <c r="AQ5" s="11" t="str">
        <f>IF((N5=AR5),"No","Yes")</f>
        <v>No</v>
      </c>
      <c r="AR5" s="11" t="str">
        <f>N5</f>
        <v>AC2</v>
      </c>
      <c r="AS5" s="11" t="b">
        <f>AR5=M5</f>
        <v>1</v>
      </c>
      <c r="AT5" s="36">
        <f>O5+(O5*AP5)</f>
        <v>350272.32</v>
      </c>
      <c r="AU5" s="36">
        <f t="shared" ref="AU5:AU36" si="10">ROUND(AT5*$AU$3,0)</f>
        <v>175136</v>
      </c>
      <c r="AV5" s="36">
        <f t="shared" ref="AV5:AV36" si="11">ROUND(AU5*$AV$3,0)</f>
        <v>43784</v>
      </c>
      <c r="AW5" s="36">
        <f t="shared" ref="AW5:AW36" si="12">ROUND(AU5*$AW$3,0)</f>
        <v>17514</v>
      </c>
      <c r="AX5" s="96">
        <v>85161.32</v>
      </c>
      <c r="AY5" s="36">
        <f t="shared" ref="AY5:AY36" si="13">SUM(AU5:AX5)</f>
        <v>321595.32</v>
      </c>
      <c r="AZ5" s="36">
        <f t="shared" ref="AZ5:AZ36" si="14">ROUND(IF((AY5-AV5)&gt;180000,21600,(AY5-AV5)*12%),0)</f>
        <v>21600</v>
      </c>
      <c r="BA5" s="36">
        <f t="shared" ref="BA5:BA36" si="15">ROUND(IF(AY5&lt;252001,AY5*0.0325,0),0)</f>
        <v>0</v>
      </c>
      <c r="BB5" s="11">
        <v>72</v>
      </c>
      <c r="BC5" s="11">
        <v>0</v>
      </c>
      <c r="BD5" s="11">
        <v>0</v>
      </c>
      <c r="BE5" s="38">
        <f>ROUND((IF(($AT5&lt;=700000),0,IF(((VLOOKUP($AR5,'Loyalty - Effec - 15July'!$B$5:$C$17,2,0)*$AT5)&lt;=120000),(VLOOKUP($AR5,'Loyalty - Effec - 15July'!$B$5:$C$17,2,0)*$AT5),120000))),0)</f>
        <v>0</v>
      </c>
      <c r="BF5" s="38">
        <f>ROUND(VLOOKUP($AR5,'Loyalty - Effec - 15July'!$B$5:$D$17,3,0)*$AT5,0)</f>
        <v>7005</v>
      </c>
      <c r="BG5" s="39">
        <f t="shared" ref="BG5:BG36" si="16">SUM(AY5:BF5)</f>
        <v>350272.32</v>
      </c>
      <c r="BH5" s="36">
        <f t="shared" ref="BH5:BH36" si="17">ROUND(IF(AY5&lt;252001,AY5*0.0075,0),0)</f>
        <v>0</v>
      </c>
      <c r="BI5" s="39">
        <f t="shared" ref="BI5:BI36" si="18">AT5-BG5</f>
        <v>0</v>
      </c>
      <c r="BJ5" s="39">
        <f t="shared" ref="BJ5:BJ36" si="19">(AY5+BE5)-(AZ5+BH5)</f>
        <v>299995.32</v>
      </c>
      <c r="BK5" s="39">
        <f t="shared" ref="BK5:BK36" si="20">BJ5/12</f>
        <v>24999.61</v>
      </c>
      <c r="BL5" s="39">
        <f t="shared" ref="BL5:BL36" si="21">BG5-AB5</f>
        <v>74032.320000000007</v>
      </c>
      <c r="BM5" s="39">
        <f t="shared" ref="BM5:BM36" si="22">BK5-AF5</f>
        <v>6850.0291666666672</v>
      </c>
      <c r="BN5" s="39">
        <f t="shared" ref="BN5:BN36" si="23">BK5-AF5</f>
        <v>6850.0291666666672</v>
      </c>
      <c r="BT5" s="44"/>
      <c r="BW5" s="39"/>
      <c r="CA5" s="39"/>
    </row>
    <row r="6" spans="1:79" s="11" customFormat="1">
      <c r="A6" s="45" t="s">
        <v>204</v>
      </c>
      <c r="B6" s="11" t="s">
        <v>119</v>
      </c>
      <c r="C6" s="11" t="s">
        <v>80</v>
      </c>
      <c r="D6" s="45" t="s">
        <v>298</v>
      </c>
      <c r="E6" s="11" t="s">
        <v>82</v>
      </c>
      <c r="F6" s="11" t="s">
        <v>95</v>
      </c>
      <c r="G6" s="45" t="s">
        <v>287</v>
      </c>
      <c r="H6" s="11" t="s">
        <v>302</v>
      </c>
      <c r="I6" s="11" t="s">
        <v>403</v>
      </c>
      <c r="M6" s="34" t="s">
        <v>98</v>
      </c>
      <c r="N6" s="11" t="str">
        <f t="shared" si="4"/>
        <v>AC2</v>
      </c>
      <c r="O6" s="35">
        <v>295000</v>
      </c>
      <c r="P6" s="36">
        <f>CEILING(ROUND(($O6*50%),2),10)</f>
        <v>147500</v>
      </c>
      <c r="Q6" s="35">
        <v>36875</v>
      </c>
      <c r="R6" s="103">
        <v>14750</v>
      </c>
      <c r="S6" s="35">
        <v>68302.999999999971</v>
      </c>
      <c r="T6" s="36">
        <f>SUM(P6:S6)</f>
        <v>267428</v>
      </c>
      <c r="U6" s="36">
        <f t="shared" ref="U6:U69" si="24">ROUND(IF(($T6-$Q6)&lt;=180000,($T6-$Q6)*12%,(180000*12%)),2)</f>
        <v>21600</v>
      </c>
      <c r="V6" s="36">
        <v>0</v>
      </c>
      <c r="W6" s="11">
        <v>72</v>
      </c>
      <c r="X6" s="11">
        <v>0</v>
      </c>
      <c r="Y6" s="11">
        <v>0</v>
      </c>
      <c r="Z6" s="11">
        <v>0</v>
      </c>
      <c r="AA6" s="38">
        <v>5900</v>
      </c>
      <c r="AB6" s="39">
        <f t="shared" si="5"/>
        <v>295000</v>
      </c>
      <c r="AC6" s="40">
        <f t="shared" si="6"/>
        <v>0</v>
      </c>
      <c r="AD6" s="41">
        <f t="shared" si="7"/>
        <v>0</v>
      </c>
      <c r="AE6" s="12">
        <f t="shared" si="8"/>
        <v>245828</v>
      </c>
      <c r="AF6" s="12">
        <f t="shared" si="9"/>
        <v>20485.666666666668</v>
      </c>
      <c r="AG6" s="11" t="s">
        <v>83</v>
      </c>
      <c r="AH6" s="11" t="s">
        <v>83</v>
      </c>
      <c r="AI6" s="11" t="s">
        <v>83</v>
      </c>
      <c r="AJ6" s="11" t="s">
        <v>83</v>
      </c>
      <c r="AK6" s="11" t="s">
        <v>83</v>
      </c>
      <c r="AL6" s="11" t="s">
        <v>83</v>
      </c>
      <c r="AQ6" s="11" t="s">
        <v>85</v>
      </c>
      <c r="AS6" s="11" t="b">
        <v>0</v>
      </c>
      <c r="AT6" s="36">
        <f t="shared" ref="AT6:AT36" si="25">O6+(O6*AP6)</f>
        <v>295000</v>
      </c>
      <c r="AU6" s="36">
        <f t="shared" si="10"/>
        <v>147500</v>
      </c>
      <c r="AV6" s="36">
        <f t="shared" si="11"/>
        <v>36875</v>
      </c>
      <c r="AW6" s="36">
        <f t="shared" si="12"/>
        <v>14750</v>
      </c>
      <c r="AX6" s="93">
        <v>68303</v>
      </c>
      <c r="AY6" s="36">
        <f t="shared" si="13"/>
        <v>267428</v>
      </c>
      <c r="AZ6" s="36">
        <f t="shared" si="14"/>
        <v>21600</v>
      </c>
      <c r="BA6" s="36">
        <f t="shared" si="15"/>
        <v>0</v>
      </c>
      <c r="BB6" s="11">
        <v>72</v>
      </c>
      <c r="BC6" s="11">
        <v>0</v>
      </c>
      <c r="BD6" s="11">
        <v>0</v>
      </c>
      <c r="BE6" s="38">
        <f>ROUND((IF(($AT6&lt;=700000),0,IF(((VLOOKUP($AR6,'Loyalty - Effec - 15July'!$B$5:$C$17,2,0)*$AT6)&lt;=120000),(VLOOKUP($AR6,'Loyalty - Effec - 15July'!$B$5:$C$17,2,0)*$AT6),120000))),0)</f>
        <v>0</v>
      </c>
      <c r="BF6" s="38">
        <v>5900</v>
      </c>
      <c r="BG6" s="39">
        <f t="shared" si="16"/>
        <v>295000</v>
      </c>
      <c r="BH6" s="36">
        <f t="shared" si="17"/>
        <v>0</v>
      </c>
      <c r="BI6" s="39">
        <f t="shared" si="18"/>
        <v>0</v>
      </c>
      <c r="BJ6" s="39">
        <f t="shared" si="19"/>
        <v>245828</v>
      </c>
      <c r="BK6" s="39">
        <f t="shared" si="20"/>
        <v>20485.666666666668</v>
      </c>
      <c r="BL6" s="39">
        <f t="shared" si="21"/>
        <v>0</v>
      </c>
      <c r="BM6" s="39">
        <f t="shared" si="22"/>
        <v>0</v>
      </c>
      <c r="BN6" s="39">
        <f t="shared" si="23"/>
        <v>0</v>
      </c>
      <c r="BT6" s="44"/>
    </row>
    <row r="7" spans="1:79" s="11" customFormat="1">
      <c r="A7" s="45" t="s">
        <v>186</v>
      </c>
      <c r="B7" s="11" t="s">
        <v>119</v>
      </c>
      <c r="C7" s="11" t="s">
        <v>80</v>
      </c>
      <c r="D7" s="45" t="s">
        <v>298</v>
      </c>
      <c r="E7" s="11" t="s">
        <v>82</v>
      </c>
      <c r="F7" s="11" t="s">
        <v>95</v>
      </c>
      <c r="G7" s="45" t="s">
        <v>269</v>
      </c>
      <c r="H7" s="11" t="s">
        <v>303</v>
      </c>
      <c r="I7" s="11" t="s">
        <v>397</v>
      </c>
      <c r="M7" s="34" t="s">
        <v>97</v>
      </c>
      <c r="N7" s="11" t="str">
        <f t="shared" si="4"/>
        <v>AC1</v>
      </c>
      <c r="O7" s="35">
        <v>240000</v>
      </c>
      <c r="P7" s="36">
        <f>CEILING(ROUND(($O7*50%),2),10)</f>
        <v>120000</v>
      </c>
      <c r="Q7" s="35">
        <v>30000</v>
      </c>
      <c r="R7" s="103">
        <v>12000</v>
      </c>
      <c r="S7" s="35">
        <v>49456.000000000007</v>
      </c>
      <c r="T7" s="36">
        <f>SUM(P7:S7)</f>
        <v>211456</v>
      </c>
      <c r="U7" s="36">
        <f t="shared" si="24"/>
        <v>21600</v>
      </c>
      <c r="V7" s="36">
        <v>6872</v>
      </c>
      <c r="W7" s="11">
        <v>72</v>
      </c>
      <c r="X7" s="11">
        <v>0</v>
      </c>
      <c r="Y7" s="11">
        <v>0</v>
      </c>
      <c r="Z7" s="11">
        <v>0</v>
      </c>
      <c r="AA7" s="38">
        <v>0</v>
      </c>
      <c r="AB7" s="39">
        <f t="shared" si="5"/>
        <v>240000</v>
      </c>
      <c r="AC7" s="40">
        <f t="shared" si="6"/>
        <v>1585.92</v>
      </c>
      <c r="AD7" s="41">
        <f t="shared" si="7"/>
        <v>0</v>
      </c>
      <c r="AE7" s="12">
        <f t="shared" si="8"/>
        <v>188270.08000000002</v>
      </c>
      <c r="AF7" s="12">
        <f t="shared" si="9"/>
        <v>15689.173333333334</v>
      </c>
      <c r="AG7" s="11" t="s">
        <v>83</v>
      </c>
      <c r="AH7" s="11" t="s">
        <v>83</v>
      </c>
      <c r="AI7" s="11" t="s">
        <v>83</v>
      </c>
      <c r="AJ7" s="11" t="s">
        <v>83</v>
      </c>
      <c r="AK7" s="11" t="s">
        <v>83</v>
      </c>
      <c r="AL7" s="11" t="s">
        <v>83</v>
      </c>
      <c r="AQ7" s="11" t="s">
        <v>85</v>
      </c>
      <c r="AS7" s="11" t="b">
        <v>0</v>
      </c>
      <c r="AT7" s="36">
        <f t="shared" si="25"/>
        <v>240000</v>
      </c>
      <c r="AU7" s="36">
        <f t="shared" si="10"/>
        <v>120000</v>
      </c>
      <c r="AV7" s="36">
        <f t="shared" si="11"/>
        <v>30000</v>
      </c>
      <c r="AW7" s="36">
        <f t="shared" si="12"/>
        <v>12000</v>
      </c>
      <c r="AX7" s="93">
        <v>49456</v>
      </c>
      <c r="AY7" s="36">
        <f t="shared" si="13"/>
        <v>211456</v>
      </c>
      <c r="AZ7" s="36">
        <f t="shared" si="14"/>
        <v>21600</v>
      </c>
      <c r="BA7" s="36">
        <f t="shared" si="15"/>
        <v>6872</v>
      </c>
      <c r="BB7" s="11">
        <v>72</v>
      </c>
      <c r="BC7" s="11">
        <v>0</v>
      </c>
      <c r="BD7" s="11">
        <v>0</v>
      </c>
      <c r="BE7" s="38">
        <f>ROUND((IF(($AT7&lt;=700000),0,IF(((VLOOKUP($AR7,'Loyalty - Effec - 15July'!$B$5:$C$17,2,0)*$AT7)&lt;=120000),(VLOOKUP($AR7,'Loyalty - Effec - 15July'!$B$5:$C$17,2,0)*$AT7),120000))),0)</f>
        <v>0</v>
      </c>
      <c r="BF7" s="38">
        <v>0</v>
      </c>
      <c r="BG7" s="39">
        <f t="shared" si="16"/>
        <v>240000</v>
      </c>
      <c r="BH7" s="36">
        <f t="shared" si="17"/>
        <v>1586</v>
      </c>
      <c r="BI7" s="39">
        <f t="shared" si="18"/>
        <v>0</v>
      </c>
      <c r="BJ7" s="39">
        <f t="shared" si="19"/>
        <v>188270</v>
      </c>
      <c r="BK7" s="39">
        <f t="shared" si="20"/>
        <v>15689.166666666666</v>
      </c>
      <c r="BL7" s="39">
        <f t="shared" si="21"/>
        <v>0</v>
      </c>
      <c r="BM7" s="39">
        <f t="shared" si="22"/>
        <v>-6.6666666680248454E-3</v>
      </c>
      <c r="BN7" s="39">
        <f t="shared" si="23"/>
        <v>-6.6666666680248454E-3</v>
      </c>
      <c r="BT7" s="44"/>
    </row>
    <row r="8" spans="1:79" s="11" customFormat="1">
      <c r="A8" s="86" t="s">
        <v>125</v>
      </c>
      <c r="B8" s="11" t="s">
        <v>119</v>
      </c>
      <c r="C8" s="11" t="s">
        <v>80</v>
      </c>
      <c r="D8" s="45" t="s">
        <v>81</v>
      </c>
      <c r="E8" s="11" t="s">
        <v>82</v>
      </c>
      <c r="F8" s="11" t="s">
        <v>95</v>
      </c>
      <c r="G8" s="88" t="s">
        <v>300</v>
      </c>
      <c r="H8" s="11" t="s">
        <v>304</v>
      </c>
      <c r="I8" s="11" t="s">
        <v>406</v>
      </c>
      <c r="M8" s="34" t="s">
        <v>100</v>
      </c>
      <c r="N8" s="11" t="str">
        <f t="shared" si="4"/>
        <v>AC4</v>
      </c>
      <c r="O8" s="85">
        <v>529785</v>
      </c>
      <c r="P8" s="36">
        <f t="shared" ref="P8:P17" si="26">CEILING(ROUND(($O8*50%),2),10)</f>
        <v>264900</v>
      </c>
      <c r="Q8" s="36">
        <v>66225</v>
      </c>
      <c r="R8" s="103">
        <v>26490</v>
      </c>
      <c r="S8" s="85">
        <v>129307</v>
      </c>
      <c r="T8" s="36">
        <f>SUM(P8:S8)</f>
        <v>486922</v>
      </c>
      <c r="U8" s="36">
        <f t="shared" si="24"/>
        <v>21600</v>
      </c>
      <c r="V8" s="36">
        <v>0</v>
      </c>
      <c r="W8" s="11">
        <v>72</v>
      </c>
      <c r="X8" s="11">
        <v>0</v>
      </c>
      <c r="Y8" s="11">
        <v>0</v>
      </c>
      <c r="Z8" s="11">
        <v>0</v>
      </c>
      <c r="AA8" s="38">
        <v>21191</v>
      </c>
      <c r="AB8" s="39">
        <f t="shared" si="5"/>
        <v>529785</v>
      </c>
      <c r="AC8" s="40">
        <f t="shared" si="6"/>
        <v>0</v>
      </c>
      <c r="AD8" s="41">
        <f t="shared" si="7"/>
        <v>0</v>
      </c>
      <c r="AE8" s="12">
        <f t="shared" si="8"/>
        <v>465322</v>
      </c>
      <c r="AF8" s="12">
        <f t="shared" si="9"/>
        <v>38776.833333333336</v>
      </c>
      <c r="AG8" s="102" t="s">
        <v>127</v>
      </c>
      <c r="AH8" s="102" t="s">
        <v>128</v>
      </c>
      <c r="AI8" s="42">
        <v>3.05</v>
      </c>
      <c r="AJ8" s="11">
        <v>2.8</v>
      </c>
      <c r="AK8" s="11">
        <v>2.88</v>
      </c>
      <c r="AL8" s="11">
        <v>3</v>
      </c>
      <c r="AM8" s="65">
        <f>IF($AL8=4,VLOOKUP($AR8,'Loyalty Incentive v1'!$L$3:$Q$15,2,FALSE),
IF($AL8=3,VLOOKUP($AR8,'Loyalty Incentive v1'!$L$3:$Q$15,3,FALSE),
IF($AL8=2,VLOOKUP($AR8,'Loyalty Incentive v1'!$L$3:$Q$15,4,FALSE),
IF($AL8=1,VLOOKUP($AR8,'Loyalty Incentive v1'!$L$3:$Q$15,5,FALSE),
IF($AL8=0,VLOOKUP($AR8,'Loyalty Incentive v1'!$L$3:$Q$15,6,FALSE),0)))))</f>
        <v>0.13100000000000001</v>
      </c>
      <c r="AN8" s="65">
        <f>IFERROR(IF(I8&gt;="1",AM8,VLOOKUP(VALUE(I8),'Loyalty - Effec - 15July'!$I$5:$J$16,2,0)*AM8),0)</f>
        <v>0.13100000000000001</v>
      </c>
      <c r="AO8" s="65">
        <v>-5.5E-2</v>
      </c>
      <c r="AP8" s="65">
        <f>AN8+AO8</f>
        <v>7.6000000000000012E-2</v>
      </c>
      <c r="AQ8" s="11" t="str">
        <f>IF((N8=AR8),"No","Yes")</f>
        <v>No</v>
      </c>
      <c r="AR8" s="11" t="str">
        <f>N8</f>
        <v>AC4</v>
      </c>
      <c r="AS8" s="11" t="b">
        <f>AR8=M8</f>
        <v>1</v>
      </c>
      <c r="AT8" s="36">
        <f t="shared" si="25"/>
        <v>570048.66</v>
      </c>
      <c r="AU8" s="36">
        <f t="shared" si="10"/>
        <v>285024</v>
      </c>
      <c r="AV8" s="36">
        <f t="shared" si="11"/>
        <v>71256</v>
      </c>
      <c r="AW8" s="36">
        <f t="shared" si="12"/>
        <v>28502</v>
      </c>
      <c r="AX8" s="96">
        <v>140792.66000000003</v>
      </c>
      <c r="AY8" s="36">
        <f t="shared" si="13"/>
        <v>525574.66</v>
      </c>
      <c r="AZ8" s="36">
        <f t="shared" si="14"/>
        <v>21600</v>
      </c>
      <c r="BA8" s="36">
        <f t="shared" si="15"/>
        <v>0</v>
      </c>
      <c r="BB8" s="11">
        <v>72</v>
      </c>
      <c r="BC8" s="11">
        <v>0</v>
      </c>
      <c r="BD8" s="11">
        <v>0</v>
      </c>
      <c r="BE8" s="38">
        <f>ROUND((IF(($AT8&lt;=700000),0,IF(((VLOOKUP($AR8,'Loyalty - Effec - 15July'!$B$5:$C$17,2,0)*$AT8)&lt;=120000),(VLOOKUP($AR8,'Loyalty - Effec - 15July'!$B$5:$C$17,2,0)*$AT8),120000))),0)</f>
        <v>0</v>
      </c>
      <c r="BF8" s="38">
        <f>ROUND(VLOOKUP($AR8,'Loyalty - Effec - 15July'!$B$5:$D$17,3,0)*$AT8,0)</f>
        <v>22802</v>
      </c>
      <c r="BG8" s="39">
        <f t="shared" si="16"/>
        <v>570048.66</v>
      </c>
      <c r="BH8" s="36">
        <f t="shared" si="17"/>
        <v>0</v>
      </c>
      <c r="BI8" s="39">
        <f t="shared" si="18"/>
        <v>0</v>
      </c>
      <c r="BJ8" s="39">
        <f t="shared" si="19"/>
        <v>503974.66000000003</v>
      </c>
      <c r="BK8" s="39">
        <f t="shared" si="20"/>
        <v>41997.888333333336</v>
      </c>
      <c r="BL8" s="39">
        <f t="shared" si="21"/>
        <v>40263.660000000033</v>
      </c>
      <c r="BM8" s="39">
        <f t="shared" si="22"/>
        <v>3221.0550000000003</v>
      </c>
      <c r="BN8" s="39">
        <f t="shared" si="23"/>
        <v>3221.0550000000003</v>
      </c>
      <c r="BT8" s="44"/>
      <c r="BW8" s="39"/>
      <c r="CA8" s="39"/>
    </row>
    <row r="9" spans="1:79">
      <c r="A9" s="45" t="s">
        <v>197</v>
      </c>
      <c r="B9" s="11" t="s">
        <v>119</v>
      </c>
      <c r="C9" s="11" t="s">
        <v>80</v>
      </c>
      <c r="D9" s="45" t="s">
        <v>298</v>
      </c>
      <c r="E9" s="11" t="s">
        <v>82</v>
      </c>
      <c r="F9" s="11" t="s">
        <v>94</v>
      </c>
      <c r="G9" s="45" t="s">
        <v>280</v>
      </c>
      <c r="H9" s="11" t="s">
        <v>305</v>
      </c>
      <c r="I9" s="11" t="s">
        <v>401</v>
      </c>
      <c r="J9" s="11"/>
      <c r="K9" s="11"/>
      <c r="L9" s="11"/>
      <c r="M9" s="34" t="s">
        <v>103</v>
      </c>
      <c r="N9" s="11" t="str">
        <f t="shared" si="4"/>
        <v>C2</v>
      </c>
      <c r="O9" s="35">
        <v>2000000</v>
      </c>
      <c r="P9" s="36">
        <f t="shared" si="26"/>
        <v>1000000</v>
      </c>
      <c r="Q9" s="35">
        <v>250000</v>
      </c>
      <c r="R9" s="103">
        <v>100000</v>
      </c>
      <c r="S9" s="35">
        <v>368327.99999999977</v>
      </c>
      <c r="T9" s="36">
        <f t="shared" ref="T9:T72" si="27">SUM(P9:S9)</f>
        <v>1718327.9999999998</v>
      </c>
      <c r="U9" s="36">
        <f t="shared" si="24"/>
        <v>21600</v>
      </c>
      <c r="V9" s="36">
        <v>0</v>
      </c>
      <c r="W9" s="11">
        <v>72</v>
      </c>
      <c r="X9" s="11">
        <v>0</v>
      </c>
      <c r="Y9" s="11">
        <v>0</v>
      </c>
      <c r="Z9" s="11">
        <v>120000</v>
      </c>
      <c r="AA9" s="38">
        <v>140000</v>
      </c>
      <c r="AB9" s="39">
        <f t="shared" si="5"/>
        <v>1999999.9999999998</v>
      </c>
      <c r="AC9" s="40">
        <f t="shared" si="6"/>
        <v>0</v>
      </c>
      <c r="AD9" s="41">
        <f t="shared" si="7"/>
        <v>0</v>
      </c>
      <c r="AE9" s="12">
        <f t="shared" si="8"/>
        <v>1816727.9999999998</v>
      </c>
      <c r="AF9" s="12">
        <f t="shared" si="9"/>
        <v>151393.99999999997</v>
      </c>
      <c r="AG9" s="11" t="s">
        <v>83</v>
      </c>
      <c r="AH9" s="11" t="s">
        <v>83</v>
      </c>
      <c r="AI9" s="11" t="s">
        <v>83</v>
      </c>
      <c r="AJ9" s="11" t="s">
        <v>83</v>
      </c>
      <c r="AK9" s="11" t="s">
        <v>83</v>
      </c>
      <c r="AL9" s="11" t="s">
        <v>83</v>
      </c>
      <c r="AM9" s="11"/>
      <c r="AN9" s="11"/>
      <c r="AO9" s="11"/>
      <c r="AP9" s="11"/>
      <c r="AQ9" s="11" t="s">
        <v>85</v>
      </c>
      <c r="AR9" s="11"/>
      <c r="AS9" s="11" t="b">
        <v>0</v>
      </c>
      <c r="AT9" s="36">
        <f t="shared" si="25"/>
        <v>2000000</v>
      </c>
      <c r="AU9" s="36">
        <f t="shared" si="10"/>
        <v>1000000</v>
      </c>
      <c r="AV9" s="36">
        <f t="shared" si="11"/>
        <v>250000</v>
      </c>
      <c r="AW9" s="36">
        <f t="shared" si="12"/>
        <v>100000</v>
      </c>
      <c r="AX9" s="93">
        <v>368327.99999999977</v>
      </c>
      <c r="AY9" s="36">
        <f t="shared" si="13"/>
        <v>1718327.9999999998</v>
      </c>
      <c r="AZ9" s="36">
        <f t="shared" si="14"/>
        <v>21600</v>
      </c>
      <c r="BA9" s="36">
        <f t="shared" si="15"/>
        <v>0</v>
      </c>
      <c r="BB9" s="11">
        <v>72</v>
      </c>
      <c r="BC9" s="11">
        <v>0</v>
      </c>
      <c r="BD9" s="11">
        <v>0</v>
      </c>
      <c r="BE9" s="38">
        <v>120000</v>
      </c>
      <c r="BF9" s="38">
        <v>140000</v>
      </c>
      <c r="BG9" s="39">
        <f t="shared" si="16"/>
        <v>1999999.9999999998</v>
      </c>
      <c r="BH9" s="36">
        <f t="shared" si="17"/>
        <v>0</v>
      </c>
      <c r="BI9" s="39">
        <f t="shared" si="18"/>
        <v>0</v>
      </c>
      <c r="BJ9" s="39">
        <f t="shared" si="19"/>
        <v>1816727.9999999998</v>
      </c>
      <c r="BK9" s="39">
        <f t="shared" si="20"/>
        <v>151393.99999999997</v>
      </c>
      <c r="BL9" s="39">
        <f t="shared" si="21"/>
        <v>0</v>
      </c>
      <c r="BM9" s="39">
        <f t="shared" si="22"/>
        <v>0</v>
      </c>
      <c r="BN9" s="39">
        <f t="shared" si="23"/>
        <v>0</v>
      </c>
      <c r="BO9" s="11"/>
      <c r="BP9" s="11"/>
      <c r="BQ9" s="11"/>
      <c r="BR9" s="11"/>
      <c r="BS9" s="11"/>
    </row>
    <row r="10" spans="1:79">
      <c r="A10" s="46" t="s">
        <v>131</v>
      </c>
      <c r="B10" s="11" t="s">
        <v>119</v>
      </c>
      <c r="C10" s="11" t="s">
        <v>80</v>
      </c>
      <c r="D10" s="45" t="s">
        <v>298</v>
      </c>
      <c r="E10" s="11" t="s">
        <v>82</v>
      </c>
      <c r="F10" s="11" t="s">
        <v>94</v>
      </c>
      <c r="G10" s="34" t="s">
        <v>216</v>
      </c>
      <c r="H10" s="11" t="s">
        <v>306</v>
      </c>
      <c r="I10" s="11" t="s">
        <v>407</v>
      </c>
      <c r="J10" s="11"/>
      <c r="K10" s="11"/>
      <c r="L10" s="11"/>
      <c r="M10" s="34" t="s">
        <v>107</v>
      </c>
      <c r="N10" s="11" t="str">
        <f t="shared" si="4"/>
        <v>SC2</v>
      </c>
      <c r="O10" s="35">
        <v>4980600</v>
      </c>
      <c r="P10" s="36">
        <f t="shared" si="26"/>
        <v>2490300</v>
      </c>
      <c r="Q10" s="35">
        <v>622575</v>
      </c>
      <c r="R10" s="103">
        <v>249030</v>
      </c>
      <c r="S10" s="35">
        <v>1078574.9999999995</v>
      </c>
      <c r="T10" s="36">
        <f t="shared" si="27"/>
        <v>4440480</v>
      </c>
      <c r="U10" s="36">
        <f t="shared" si="24"/>
        <v>21600</v>
      </c>
      <c r="V10" s="36">
        <v>0</v>
      </c>
      <c r="W10" s="11">
        <v>72</v>
      </c>
      <c r="X10" s="11">
        <v>0</v>
      </c>
      <c r="Y10" s="11">
        <v>0</v>
      </c>
      <c r="Z10" s="11">
        <v>120000</v>
      </c>
      <c r="AA10" s="38">
        <v>398448</v>
      </c>
      <c r="AB10" s="39">
        <f t="shared" si="5"/>
        <v>4980600</v>
      </c>
      <c r="AC10" s="40">
        <f t="shared" si="6"/>
        <v>0</v>
      </c>
      <c r="AD10" s="41">
        <f t="shared" si="7"/>
        <v>0</v>
      </c>
      <c r="AE10" s="12">
        <f t="shared" si="8"/>
        <v>4538880</v>
      </c>
      <c r="AF10" s="12">
        <f t="shared" si="9"/>
        <v>378240</v>
      </c>
      <c r="AG10" s="11" t="s">
        <v>83</v>
      </c>
      <c r="AH10" s="11" t="s">
        <v>83</v>
      </c>
      <c r="AI10" s="11" t="s">
        <v>83</v>
      </c>
      <c r="AJ10" s="11" t="s">
        <v>83</v>
      </c>
      <c r="AK10" s="11" t="s">
        <v>83</v>
      </c>
      <c r="AL10" s="11" t="s">
        <v>83</v>
      </c>
      <c r="AM10" s="43"/>
      <c r="AN10" s="43"/>
      <c r="AO10" s="43"/>
      <c r="AP10" s="43"/>
      <c r="AQ10" s="11" t="s">
        <v>85</v>
      </c>
      <c r="AR10" s="11"/>
      <c r="AS10" s="11" t="b">
        <v>0</v>
      </c>
      <c r="AT10" s="36">
        <f t="shared" si="25"/>
        <v>4980600</v>
      </c>
      <c r="AU10" s="36">
        <f t="shared" si="10"/>
        <v>2490300</v>
      </c>
      <c r="AV10" s="36">
        <f t="shared" si="11"/>
        <v>622575</v>
      </c>
      <c r="AW10" s="36">
        <f t="shared" si="12"/>
        <v>249030</v>
      </c>
      <c r="AX10" s="96">
        <v>1078574.9999999995</v>
      </c>
      <c r="AY10" s="36">
        <f t="shared" si="13"/>
        <v>4440480</v>
      </c>
      <c r="AZ10" s="36">
        <f t="shared" si="14"/>
        <v>21600</v>
      </c>
      <c r="BA10" s="36">
        <f t="shared" si="15"/>
        <v>0</v>
      </c>
      <c r="BB10" s="11">
        <v>72</v>
      </c>
      <c r="BC10" s="11">
        <v>0</v>
      </c>
      <c r="BD10" s="11">
        <v>0</v>
      </c>
      <c r="BE10" s="38">
        <v>120000</v>
      </c>
      <c r="BF10" s="38">
        <v>398448</v>
      </c>
      <c r="BG10" s="39">
        <f t="shared" si="16"/>
        <v>4980600</v>
      </c>
      <c r="BH10" s="36">
        <f t="shared" si="17"/>
        <v>0</v>
      </c>
      <c r="BI10" s="39">
        <f t="shared" si="18"/>
        <v>0</v>
      </c>
      <c r="BJ10" s="39">
        <f t="shared" si="19"/>
        <v>4538880</v>
      </c>
      <c r="BK10" s="39">
        <f t="shared" si="20"/>
        <v>378240</v>
      </c>
      <c r="BL10" s="39">
        <f t="shared" si="21"/>
        <v>0</v>
      </c>
      <c r="BM10" s="39">
        <f t="shared" si="22"/>
        <v>0</v>
      </c>
      <c r="BN10" s="39">
        <f t="shared" si="23"/>
        <v>0</v>
      </c>
      <c r="BO10" s="11"/>
      <c r="BP10" s="11"/>
      <c r="BQ10" s="11"/>
      <c r="BR10" s="11"/>
      <c r="BS10" s="11"/>
    </row>
    <row r="11" spans="1:79">
      <c r="A11" s="46" t="s">
        <v>132</v>
      </c>
      <c r="B11" s="11" t="s">
        <v>119</v>
      </c>
      <c r="C11" s="11" t="s">
        <v>80</v>
      </c>
      <c r="D11" s="45" t="s">
        <v>298</v>
      </c>
      <c r="E11" s="11" t="s">
        <v>82</v>
      </c>
      <c r="F11" s="11" t="s">
        <v>94</v>
      </c>
      <c r="G11" s="34" t="s">
        <v>217</v>
      </c>
      <c r="H11" s="11" t="s">
        <v>307</v>
      </c>
      <c r="I11" s="11" t="s">
        <v>408</v>
      </c>
      <c r="J11" s="11"/>
      <c r="K11" s="11"/>
      <c r="L11" s="11"/>
      <c r="M11" s="34" t="s">
        <v>103</v>
      </c>
      <c r="N11" s="11" t="str">
        <f t="shared" si="4"/>
        <v>C2</v>
      </c>
      <c r="O11" s="35">
        <v>2196748</v>
      </c>
      <c r="P11" s="36">
        <f t="shared" si="26"/>
        <v>1098380</v>
      </c>
      <c r="Q11" s="35">
        <v>274595</v>
      </c>
      <c r="R11" s="103">
        <v>109838</v>
      </c>
      <c r="S11" s="35">
        <v>418491</v>
      </c>
      <c r="T11" s="36">
        <f t="shared" si="27"/>
        <v>1901304</v>
      </c>
      <c r="U11" s="36">
        <f t="shared" si="24"/>
        <v>21600</v>
      </c>
      <c r="V11" s="36">
        <v>0</v>
      </c>
      <c r="W11" s="11">
        <v>72</v>
      </c>
      <c r="X11" s="11">
        <v>0</v>
      </c>
      <c r="Y11" s="11">
        <v>0</v>
      </c>
      <c r="Z11" s="11">
        <v>120000</v>
      </c>
      <c r="AA11" s="38">
        <v>153772</v>
      </c>
      <c r="AB11" s="39">
        <f t="shared" si="5"/>
        <v>2196748</v>
      </c>
      <c r="AC11" s="40">
        <f t="shared" si="6"/>
        <v>0</v>
      </c>
      <c r="AD11" s="41">
        <f t="shared" si="7"/>
        <v>0</v>
      </c>
      <c r="AE11" s="12">
        <f t="shared" si="8"/>
        <v>1999704</v>
      </c>
      <c r="AF11" s="12">
        <f t="shared" si="9"/>
        <v>166642</v>
      </c>
      <c r="AG11" s="11" t="s">
        <v>83</v>
      </c>
      <c r="AH11" s="11" t="s">
        <v>83</v>
      </c>
      <c r="AI11" s="11" t="s">
        <v>83</v>
      </c>
      <c r="AJ11" s="11" t="s">
        <v>83</v>
      </c>
      <c r="AK11" s="11" t="s">
        <v>83</v>
      </c>
      <c r="AL11" s="11" t="s">
        <v>83</v>
      </c>
      <c r="AM11" s="11"/>
      <c r="AN11" s="11"/>
      <c r="AO11" s="11"/>
      <c r="AP11" s="11"/>
      <c r="AQ11" s="11" t="s">
        <v>85</v>
      </c>
      <c r="AR11" s="11"/>
      <c r="AS11" s="11" t="b">
        <v>0</v>
      </c>
      <c r="AT11" s="36">
        <f t="shared" si="25"/>
        <v>2196748</v>
      </c>
      <c r="AU11" s="36">
        <f t="shared" si="10"/>
        <v>1098374</v>
      </c>
      <c r="AV11" s="36">
        <f t="shared" si="11"/>
        <v>274594</v>
      </c>
      <c r="AW11" s="36">
        <f t="shared" si="12"/>
        <v>109837</v>
      </c>
      <c r="AX11" s="96">
        <v>418499</v>
      </c>
      <c r="AY11" s="36">
        <f t="shared" si="13"/>
        <v>1901304</v>
      </c>
      <c r="AZ11" s="36">
        <f t="shared" si="14"/>
        <v>21600</v>
      </c>
      <c r="BA11" s="36">
        <f t="shared" si="15"/>
        <v>0</v>
      </c>
      <c r="BB11" s="11">
        <v>72</v>
      </c>
      <c r="BC11" s="11">
        <v>0</v>
      </c>
      <c r="BD11" s="11">
        <v>0</v>
      </c>
      <c r="BE11" s="38">
        <v>120000</v>
      </c>
      <c r="BF11" s="38">
        <v>153772</v>
      </c>
      <c r="BG11" s="39">
        <f t="shared" si="16"/>
        <v>2196748</v>
      </c>
      <c r="BH11" s="36">
        <f t="shared" si="17"/>
        <v>0</v>
      </c>
      <c r="BI11" s="39">
        <f t="shared" si="18"/>
        <v>0</v>
      </c>
      <c r="BJ11" s="39">
        <f t="shared" si="19"/>
        <v>1999704</v>
      </c>
      <c r="BK11" s="39">
        <f t="shared" si="20"/>
        <v>166642</v>
      </c>
      <c r="BL11" s="39">
        <f t="shared" si="21"/>
        <v>0</v>
      </c>
      <c r="BM11" s="39">
        <f t="shared" si="22"/>
        <v>0</v>
      </c>
      <c r="BN11" s="39">
        <f t="shared" si="23"/>
        <v>0</v>
      </c>
      <c r="BO11" s="11"/>
      <c r="BP11" s="11"/>
      <c r="BQ11" s="11"/>
      <c r="BR11" s="11"/>
      <c r="BS11" s="11"/>
    </row>
    <row r="12" spans="1:79">
      <c r="A12" s="46" t="s">
        <v>133</v>
      </c>
      <c r="B12" s="11" t="s">
        <v>119</v>
      </c>
      <c r="C12" s="11" t="s">
        <v>80</v>
      </c>
      <c r="D12" s="45" t="s">
        <v>298</v>
      </c>
      <c r="E12" s="11" t="s">
        <v>82</v>
      </c>
      <c r="F12" s="11" t="s">
        <v>94</v>
      </c>
      <c r="G12" s="34" t="s">
        <v>218</v>
      </c>
      <c r="H12" s="11" t="s">
        <v>308</v>
      </c>
      <c r="I12" s="11" t="s">
        <v>409</v>
      </c>
      <c r="J12" s="11"/>
      <c r="K12" s="11"/>
      <c r="L12" s="11"/>
      <c r="M12" s="34" t="s">
        <v>105</v>
      </c>
      <c r="N12" s="11" t="str">
        <f t="shared" si="4"/>
        <v>C4</v>
      </c>
      <c r="O12" s="35">
        <v>3137260</v>
      </c>
      <c r="P12" s="36">
        <f t="shared" si="26"/>
        <v>1568630</v>
      </c>
      <c r="Q12" s="35">
        <v>392158</v>
      </c>
      <c r="R12" s="103">
        <v>156863</v>
      </c>
      <c r="S12" s="35">
        <v>626956</v>
      </c>
      <c r="T12" s="36">
        <f t="shared" si="27"/>
        <v>2744607</v>
      </c>
      <c r="U12" s="36">
        <f t="shared" si="24"/>
        <v>21600</v>
      </c>
      <c r="V12" s="36">
        <v>0</v>
      </c>
      <c r="W12" s="11">
        <v>72</v>
      </c>
      <c r="X12" s="11">
        <v>0</v>
      </c>
      <c r="Y12" s="11">
        <v>0</v>
      </c>
      <c r="Z12" s="11">
        <v>120000</v>
      </c>
      <c r="AA12" s="38">
        <v>250981</v>
      </c>
      <c r="AB12" s="39">
        <f t="shared" si="5"/>
        <v>3137260</v>
      </c>
      <c r="AC12" s="40">
        <f t="shared" si="6"/>
        <v>0</v>
      </c>
      <c r="AD12" s="41">
        <f t="shared" si="7"/>
        <v>0</v>
      </c>
      <c r="AE12" s="12">
        <f t="shared" si="8"/>
        <v>2843007</v>
      </c>
      <c r="AF12" s="12">
        <f t="shared" si="9"/>
        <v>236917.25</v>
      </c>
      <c r="AG12" s="11" t="s">
        <v>83</v>
      </c>
      <c r="AH12" s="11" t="s">
        <v>83</v>
      </c>
      <c r="AI12" s="11" t="s">
        <v>83</v>
      </c>
      <c r="AJ12" s="11" t="s">
        <v>83</v>
      </c>
      <c r="AK12" s="11" t="s">
        <v>83</v>
      </c>
      <c r="AL12" s="11" t="s">
        <v>83</v>
      </c>
      <c r="AM12" s="11"/>
      <c r="AN12" s="11"/>
      <c r="AO12" s="11"/>
      <c r="AP12" s="11"/>
      <c r="AQ12" s="11" t="s">
        <v>85</v>
      </c>
      <c r="AR12" s="11"/>
      <c r="AS12" s="11" t="b">
        <v>0</v>
      </c>
      <c r="AT12" s="36">
        <f t="shared" si="25"/>
        <v>3137260</v>
      </c>
      <c r="AU12" s="36">
        <f t="shared" si="10"/>
        <v>1568630</v>
      </c>
      <c r="AV12" s="36">
        <f t="shared" si="11"/>
        <v>392158</v>
      </c>
      <c r="AW12" s="36">
        <f t="shared" si="12"/>
        <v>156863</v>
      </c>
      <c r="AX12" s="96">
        <v>626956</v>
      </c>
      <c r="AY12" s="36">
        <f t="shared" si="13"/>
        <v>2744607</v>
      </c>
      <c r="AZ12" s="36">
        <f t="shared" si="14"/>
        <v>21600</v>
      </c>
      <c r="BA12" s="36">
        <f t="shared" si="15"/>
        <v>0</v>
      </c>
      <c r="BB12" s="11">
        <v>72</v>
      </c>
      <c r="BC12" s="11">
        <v>0</v>
      </c>
      <c r="BD12" s="11">
        <v>0</v>
      </c>
      <c r="BE12" s="38">
        <v>120000</v>
      </c>
      <c r="BF12" s="38">
        <v>250981</v>
      </c>
      <c r="BG12" s="39">
        <f t="shared" si="16"/>
        <v>3137260</v>
      </c>
      <c r="BH12" s="36">
        <f t="shared" si="17"/>
        <v>0</v>
      </c>
      <c r="BI12" s="39">
        <f t="shared" si="18"/>
        <v>0</v>
      </c>
      <c r="BJ12" s="39">
        <f t="shared" si="19"/>
        <v>2843007</v>
      </c>
      <c r="BK12" s="39">
        <f t="shared" si="20"/>
        <v>236917.25</v>
      </c>
      <c r="BL12" s="39">
        <f t="shared" si="21"/>
        <v>0</v>
      </c>
      <c r="BM12" s="39">
        <f t="shared" si="22"/>
        <v>0</v>
      </c>
      <c r="BN12" s="39">
        <f t="shared" si="23"/>
        <v>0</v>
      </c>
      <c r="BO12" s="11"/>
      <c r="BP12" s="11"/>
      <c r="BQ12" s="11"/>
      <c r="BR12" s="11"/>
      <c r="BS12" s="11"/>
    </row>
    <row r="13" spans="1:79">
      <c r="A13" s="46" t="s">
        <v>134</v>
      </c>
      <c r="B13" s="11" t="s">
        <v>119</v>
      </c>
      <c r="C13" s="11" t="s">
        <v>80</v>
      </c>
      <c r="D13" s="45" t="s">
        <v>298</v>
      </c>
      <c r="E13" s="11" t="s">
        <v>82</v>
      </c>
      <c r="F13" s="11" t="s">
        <v>94</v>
      </c>
      <c r="G13" s="34" t="s">
        <v>219</v>
      </c>
      <c r="H13" s="11" t="s">
        <v>309</v>
      </c>
      <c r="I13" s="11" t="s">
        <v>410</v>
      </c>
      <c r="J13" s="11"/>
      <c r="K13" s="11"/>
      <c r="L13" s="11"/>
      <c r="M13" s="34" t="s">
        <v>104</v>
      </c>
      <c r="N13" s="11" t="str">
        <f t="shared" si="4"/>
        <v>C3</v>
      </c>
      <c r="O13" s="35">
        <v>2500053</v>
      </c>
      <c r="P13" s="36">
        <f t="shared" si="26"/>
        <v>1250030</v>
      </c>
      <c r="Q13" s="35">
        <v>312508</v>
      </c>
      <c r="R13" s="103">
        <v>125003</v>
      </c>
      <c r="S13" s="35">
        <v>495836</v>
      </c>
      <c r="T13" s="36">
        <f t="shared" si="27"/>
        <v>2183377</v>
      </c>
      <c r="U13" s="36">
        <f t="shared" si="24"/>
        <v>21600</v>
      </c>
      <c r="V13" s="36">
        <v>0</v>
      </c>
      <c r="W13" s="11">
        <v>72</v>
      </c>
      <c r="X13" s="11">
        <v>0</v>
      </c>
      <c r="Y13" s="11">
        <v>0</v>
      </c>
      <c r="Z13" s="11">
        <v>120000</v>
      </c>
      <c r="AA13" s="38">
        <v>175004</v>
      </c>
      <c r="AB13" s="39">
        <f t="shared" si="5"/>
        <v>2500053</v>
      </c>
      <c r="AC13" s="40">
        <f t="shared" si="6"/>
        <v>0</v>
      </c>
      <c r="AD13" s="41">
        <f t="shared" si="7"/>
        <v>0</v>
      </c>
      <c r="AE13" s="12">
        <f t="shared" si="8"/>
        <v>2281777</v>
      </c>
      <c r="AF13" s="12">
        <f t="shared" si="9"/>
        <v>190148.08333333334</v>
      </c>
      <c r="AG13" s="11" t="s">
        <v>83</v>
      </c>
      <c r="AH13" s="11" t="s">
        <v>83</v>
      </c>
      <c r="AI13" s="11" t="s">
        <v>83</v>
      </c>
      <c r="AJ13" s="11" t="s">
        <v>83</v>
      </c>
      <c r="AK13" s="11" t="s">
        <v>83</v>
      </c>
      <c r="AL13" s="11" t="s">
        <v>83</v>
      </c>
      <c r="AM13" s="11"/>
      <c r="AN13" s="11"/>
      <c r="AO13" s="11"/>
      <c r="AP13" s="11"/>
      <c r="AQ13" s="11" t="s">
        <v>85</v>
      </c>
      <c r="AR13" s="11"/>
      <c r="AS13" s="11" t="b">
        <v>0</v>
      </c>
      <c r="AT13" s="36">
        <f t="shared" si="25"/>
        <v>2500053</v>
      </c>
      <c r="AU13" s="36">
        <f t="shared" si="10"/>
        <v>1250027</v>
      </c>
      <c r="AV13" s="36">
        <f t="shared" si="11"/>
        <v>312507</v>
      </c>
      <c r="AW13" s="36">
        <f t="shared" si="12"/>
        <v>125003</v>
      </c>
      <c r="AX13" s="96">
        <v>495840</v>
      </c>
      <c r="AY13" s="36">
        <f t="shared" si="13"/>
        <v>2183377</v>
      </c>
      <c r="AZ13" s="36">
        <f t="shared" si="14"/>
        <v>21600</v>
      </c>
      <c r="BA13" s="36">
        <f t="shared" si="15"/>
        <v>0</v>
      </c>
      <c r="BB13" s="11">
        <v>72</v>
      </c>
      <c r="BC13" s="11">
        <v>0</v>
      </c>
      <c r="BD13" s="11">
        <v>0</v>
      </c>
      <c r="BE13" s="38">
        <v>120000</v>
      </c>
      <c r="BF13" s="38">
        <v>175004</v>
      </c>
      <c r="BG13" s="39">
        <f t="shared" si="16"/>
        <v>2500053</v>
      </c>
      <c r="BH13" s="36">
        <f t="shared" si="17"/>
        <v>0</v>
      </c>
      <c r="BI13" s="39">
        <f t="shared" si="18"/>
        <v>0</v>
      </c>
      <c r="BJ13" s="39">
        <f t="shared" si="19"/>
        <v>2281777</v>
      </c>
      <c r="BK13" s="39">
        <f t="shared" si="20"/>
        <v>190148.08333333334</v>
      </c>
      <c r="BL13" s="39">
        <f t="shared" si="21"/>
        <v>0</v>
      </c>
      <c r="BM13" s="39">
        <f t="shared" si="22"/>
        <v>0</v>
      </c>
      <c r="BN13" s="39">
        <f t="shared" si="23"/>
        <v>0</v>
      </c>
      <c r="BO13" s="11"/>
      <c r="BP13" s="11"/>
      <c r="BQ13" s="11"/>
      <c r="BR13" s="11"/>
      <c r="BS13" s="11"/>
    </row>
    <row r="14" spans="1:79">
      <c r="A14" s="46" t="s">
        <v>136</v>
      </c>
      <c r="B14" s="11" t="s">
        <v>119</v>
      </c>
      <c r="C14" s="11" t="s">
        <v>80</v>
      </c>
      <c r="D14" s="45" t="s">
        <v>298</v>
      </c>
      <c r="E14" s="11" t="s">
        <v>82</v>
      </c>
      <c r="F14" s="11" t="s">
        <v>94</v>
      </c>
      <c r="G14" s="34" t="s">
        <v>221</v>
      </c>
      <c r="H14" s="11" t="s">
        <v>310</v>
      </c>
      <c r="I14" s="11" t="s">
        <v>411</v>
      </c>
      <c r="J14" s="11"/>
      <c r="K14" s="11"/>
      <c r="L14" s="11"/>
      <c r="M14" s="34" t="s">
        <v>105</v>
      </c>
      <c r="N14" s="11" t="str">
        <f t="shared" si="4"/>
        <v>C4</v>
      </c>
      <c r="O14" s="35">
        <v>3205610</v>
      </c>
      <c r="P14" s="36">
        <f>CEILING(ROUND(($O14*50%),2),10)</f>
        <v>1602810</v>
      </c>
      <c r="Q14" s="35">
        <v>400703</v>
      </c>
      <c r="R14" s="103">
        <v>160281</v>
      </c>
      <c r="S14" s="35">
        <v>643695</v>
      </c>
      <c r="T14" s="36">
        <f t="shared" si="27"/>
        <v>2807489</v>
      </c>
      <c r="U14" s="36">
        <f t="shared" si="24"/>
        <v>21600</v>
      </c>
      <c r="V14" s="36">
        <v>0</v>
      </c>
      <c r="W14" s="11">
        <v>72</v>
      </c>
      <c r="X14" s="11">
        <v>0</v>
      </c>
      <c r="Y14" s="11">
        <v>0</v>
      </c>
      <c r="Z14" s="11">
        <v>120000</v>
      </c>
      <c r="AA14" s="38">
        <v>256449</v>
      </c>
      <c r="AB14" s="39">
        <f t="shared" si="5"/>
        <v>3205610</v>
      </c>
      <c r="AC14" s="40">
        <f t="shared" si="6"/>
        <v>0</v>
      </c>
      <c r="AD14" s="41">
        <f t="shared" si="7"/>
        <v>0</v>
      </c>
      <c r="AE14" s="12">
        <f t="shared" si="8"/>
        <v>2905889</v>
      </c>
      <c r="AF14" s="12">
        <f t="shared" si="9"/>
        <v>242157.41666666666</v>
      </c>
      <c r="AG14" s="11" t="s">
        <v>83</v>
      </c>
      <c r="AH14" s="11" t="s">
        <v>83</v>
      </c>
      <c r="AI14" s="11" t="s">
        <v>83</v>
      </c>
      <c r="AJ14" s="11" t="s">
        <v>83</v>
      </c>
      <c r="AK14" s="11" t="s">
        <v>83</v>
      </c>
      <c r="AL14" s="11" t="s">
        <v>83</v>
      </c>
      <c r="AM14" s="11"/>
      <c r="AN14" s="11"/>
      <c r="AO14" s="11"/>
      <c r="AP14" s="11"/>
      <c r="AQ14" s="11" t="s">
        <v>85</v>
      </c>
      <c r="AR14" s="11"/>
      <c r="AS14" s="11" t="b">
        <v>0</v>
      </c>
      <c r="AT14" s="36">
        <f t="shared" si="25"/>
        <v>3205610</v>
      </c>
      <c r="AU14" s="36">
        <f t="shared" si="10"/>
        <v>1602805</v>
      </c>
      <c r="AV14" s="36">
        <f t="shared" si="11"/>
        <v>400701</v>
      </c>
      <c r="AW14" s="36">
        <f t="shared" si="12"/>
        <v>160281</v>
      </c>
      <c r="AX14" s="96">
        <v>643702</v>
      </c>
      <c r="AY14" s="36">
        <f t="shared" si="13"/>
        <v>2807489</v>
      </c>
      <c r="AZ14" s="36">
        <f t="shared" si="14"/>
        <v>21600</v>
      </c>
      <c r="BA14" s="36">
        <f t="shared" si="15"/>
        <v>0</v>
      </c>
      <c r="BB14" s="11">
        <v>72</v>
      </c>
      <c r="BC14" s="11">
        <v>0</v>
      </c>
      <c r="BD14" s="11">
        <v>0</v>
      </c>
      <c r="BE14" s="38">
        <v>120000</v>
      </c>
      <c r="BF14" s="38">
        <v>256449</v>
      </c>
      <c r="BG14" s="39">
        <f t="shared" si="16"/>
        <v>3205610</v>
      </c>
      <c r="BH14" s="36">
        <f t="shared" si="17"/>
        <v>0</v>
      </c>
      <c r="BI14" s="39">
        <f t="shared" si="18"/>
        <v>0</v>
      </c>
      <c r="BJ14" s="39">
        <f t="shared" si="19"/>
        <v>2905889</v>
      </c>
      <c r="BK14" s="39">
        <f t="shared" si="20"/>
        <v>242157.41666666666</v>
      </c>
      <c r="BL14" s="39">
        <f t="shared" si="21"/>
        <v>0</v>
      </c>
      <c r="BM14" s="39">
        <f t="shared" si="22"/>
        <v>0</v>
      </c>
      <c r="BN14" s="39">
        <f t="shared" si="23"/>
        <v>0</v>
      </c>
      <c r="BO14" s="11"/>
      <c r="BP14" s="11"/>
      <c r="BQ14" s="11"/>
      <c r="BR14" s="11"/>
      <c r="BS14" s="11"/>
    </row>
    <row r="15" spans="1:79">
      <c r="A15" s="46" t="s">
        <v>135</v>
      </c>
      <c r="B15" s="11" t="s">
        <v>119</v>
      </c>
      <c r="C15" s="11" t="s">
        <v>80</v>
      </c>
      <c r="D15" s="45" t="s">
        <v>298</v>
      </c>
      <c r="E15" s="11" t="s">
        <v>82</v>
      </c>
      <c r="F15" s="11" t="s">
        <v>94</v>
      </c>
      <c r="G15" s="34" t="s">
        <v>220</v>
      </c>
      <c r="H15" s="11" t="s">
        <v>311</v>
      </c>
      <c r="I15" s="11" t="s">
        <v>412</v>
      </c>
      <c r="J15" s="11"/>
      <c r="K15" s="11"/>
      <c r="L15" s="11"/>
      <c r="M15" s="34" t="s">
        <v>105</v>
      </c>
      <c r="N15" s="11" t="str">
        <f t="shared" si="4"/>
        <v>C4</v>
      </c>
      <c r="O15" s="35">
        <v>3251150</v>
      </c>
      <c r="P15" s="36">
        <f t="shared" si="26"/>
        <v>1625580</v>
      </c>
      <c r="Q15" s="35">
        <v>406395</v>
      </c>
      <c r="R15" s="103">
        <v>162558</v>
      </c>
      <c r="S15" s="35">
        <v>654853</v>
      </c>
      <c r="T15" s="36">
        <f t="shared" si="27"/>
        <v>2849386</v>
      </c>
      <c r="U15" s="36">
        <f t="shared" si="24"/>
        <v>21600</v>
      </c>
      <c r="V15" s="36">
        <v>0</v>
      </c>
      <c r="W15" s="11">
        <v>72</v>
      </c>
      <c r="X15" s="11">
        <v>0</v>
      </c>
      <c r="Y15" s="11">
        <v>0</v>
      </c>
      <c r="Z15" s="11">
        <v>120000</v>
      </c>
      <c r="AA15" s="38">
        <v>260092</v>
      </c>
      <c r="AB15" s="39">
        <f t="shared" si="5"/>
        <v>3251150</v>
      </c>
      <c r="AC15" s="40">
        <f t="shared" si="6"/>
        <v>0</v>
      </c>
      <c r="AD15" s="41">
        <f t="shared" si="7"/>
        <v>0</v>
      </c>
      <c r="AE15" s="12">
        <f t="shared" si="8"/>
        <v>2947786</v>
      </c>
      <c r="AF15" s="12">
        <f t="shared" si="9"/>
        <v>245648.83333333334</v>
      </c>
      <c r="AG15" s="11" t="s">
        <v>83</v>
      </c>
      <c r="AH15" s="11" t="s">
        <v>83</v>
      </c>
      <c r="AI15" s="11" t="s">
        <v>83</v>
      </c>
      <c r="AJ15" s="11" t="s">
        <v>83</v>
      </c>
      <c r="AK15" s="11" t="s">
        <v>83</v>
      </c>
      <c r="AL15" s="11" t="s">
        <v>83</v>
      </c>
      <c r="AM15" s="11"/>
      <c r="AN15" s="11"/>
      <c r="AO15" s="11"/>
      <c r="AP15" s="11"/>
      <c r="AQ15" s="11" t="s">
        <v>85</v>
      </c>
      <c r="AR15" s="11"/>
      <c r="AS15" s="11" t="b">
        <v>0</v>
      </c>
      <c r="AT15" s="36">
        <f t="shared" si="25"/>
        <v>3251150</v>
      </c>
      <c r="AU15" s="36">
        <f t="shared" si="10"/>
        <v>1625575</v>
      </c>
      <c r="AV15" s="36">
        <f t="shared" si="11"/>
        <v>406394</v>
      </c>
      <c r="AW15" s="36">
        <f t="shared" si="12"/>
        <v>162558</v>
      </c>
      <c r="AX15" s="96">
        <v>654859</v>
      </c>
      <c r="AY15" s="36">
        <f t="shared" si="13"/>
        <v>2849386</v>
      </c>
      <c r="AZ15" s="36">
        <f t="shared" si="14"/>
        <v>21600</v>
      </c>
      <c r="BA15" s="36">
        <f t="shared" si="15"/>
        <v>0</v>
      </c>
      <c r="BB15" s="11">
        <v>72</v>
      </c>
      <c r="BC15" s="11">
        <v>0</v>
      </c>
      <c r="BD15" s="11">
        <v>0</v>
      </c>
      <c r="BE15" s="38">
        <v>120000</v>
      </c>
      <c r="BF15" s="38">
        <v>260092</v>
      </c>
      <c r="BG15" s="39">
        <f t="shared" si="16"/>
        <v>3251150</v>
      </c>
      <c r="BH15" s="36">
        <f t="shared" si="17"/>
        <v>0</v>
      </c>
      <c r="BI15" s="39">
        <f t="shared" si="18"/>
        <v>0</v>
      </c>
      <c r="BJ15" s="39">
        <f t="shared" si="19"/>
        <v>2947786</v>
      </c>
      <c r="BK15" s="39">
        <f t="shared" si="20"/>
        <v>245648.83333333334</v>
      </c>
      <c r="BL15" s="39">
        <f t="shared" si="21"/>
        <v>0</v>
      </c>
      <c r="BM15" s="39">
        <f t="shared" si="22"/>
        <v>0</v>
      </c>
      <c r="BN15" s="39">
        <f t="shared" si="23"/>
        <v>0</v>
      </c>
      <c r="BO15" s="11"/>
      <c r="BP15" s="11"/>
      <c r="BQ15" s="11"/>
      <c r="BR15" s="11"/>
      <c r="BS15" s="11"/>
    </row>
    <row r="16" spans="1:79">
      <c r="A16" s="45" t="s">
        <v>144</v>
      </c>
      <c r="B16" s="11" t="s">
        <v>119</v>
      </c>
      <c r="C16" s="11" t="s">
        <v>80</v>
      </c>
      <c r="D16" s="45" t="s">
        <v>298</v>
      </c>
      <c r="E16" s="11" t="s">
        <v>82</v>
      </c>
      <c r="F16" s="11" t="s">
        <v>94</v>
      </c>
      <c r="G16" s="34" t="s">
        <v>129</v>
      </c>
      <c r="H16" s="11" t="s">
        <v>312</v>
      </c>
      <c r="I16" s="11" t="s">
        <v>381</v>
      </c>
      <c r="J16" s="11"/>
      <c r="K16" s="11"/>
      <c r="L16" s="11"/>
      <c r="M16" s="34" t="s">
        <v>100</v>
      </c>
      <c r="N16" s="11" t="str">
        <f t="shared" si="4"/>
        <v>AC4</v>
      </c>
      <c r="O16" s="35">
        <v>852306</v>
      </c>
      <c r="P16" s="36">
        <f t="shared" si="26"/>
        <v>426160</v>
      </c>
      <c r="Q16" s="35">
        <v>106540</v>
      </c>
      <c r="R16" s="103">
        <v>42616</v>
      </c>
      <c r="S16" s="35">
        <v>187134</v>
      </c>
      <c r="T16" s="36">
        <f t="shared" si="27"/>
        <v>762450</v>
      </c>
      <c r="U16" s="36">
        <f t="shared" si="24"/>
        <v>21600</v>
      </c>
      <c r="V16" s="36">
        <v>0</v>
      </c>
      <c r="W16" s="11">
        <v>72</v>
      </c>
      <c r="X16" s="11">
        <v>0</v>
      </c>
      <c r="Y16" s="11">
        <v>0</v>
      </c>
      <c r="Z16" s="11">
        <v>34092</v>
      </c>
      <c r="AA16" s="38">
        <v>34092</v>
      </c>
      <c r="AB16" s="39">
        <f t="shared" si="5"/>
        <v>852306</v>
      </c>
      <c r="AC16" s="40">
        <f t="shared" si="6"/>
        <v>0</v>
      </c>
      <c r="AD16" s="41">
        <f t="shared" si="7"/>
        <v>0</v>
      </c>
      <c r="AE16" s="12">
        <f t="shared" si="8"/>
        <v>774942</v>
      </c>
      <c r="AF16" s="12">
        <f t="shared" si="9"/>
        <v>64578.5</v>
      </c>
      <c r="AG16" s="11" t="s">
        <v>83</v>
      </c>
      <c r="AH16" s="11" t="s">
        <v>83</v>
      </c>
      <c r="AI16" s="11" t="s">
        <v>83</v>
      </c>
      <c r="AJ16" s="11" t="s">
        <v>83</v>
      </c>
      <c r="AK16" s="11" t="s">
        <v>83</v>
      </c>
      <c r="AL16" s="11" t="s">
        <v>83</v>
      </c>
      <c r="AM16" s="11"/>
      <c r="AN16" s="11"/>
      <c r="AO16" s="11"/>
      <c r="AP16" s="11"/>
      <c r="AQ16" s="11" t="s">
        <v>85</v>
      </c>
      <c r="AR16" s="11"/>
      <c r="AS16" s="11" t="b">
        <v>0</v>
      </c>
      <c r="AT16" s="36">
        <f t="shared" si="25"/>
        <v>852306</v>
      </c>
      <c r="AU16" s="36">
        <f t="shared" si="10"/>
        <v>426153</v>
      </c>
      <c r="AV16" s="36">
        <f t="shared" si="11"/>
        <v>106538</v>
      </c>
      <c r="AW16" s="36">
        <f t="shared" si="12"/>
        <v>42615</v>
      </c>
      <c r="AX16" s="96">
        <v>187144</v>
      </c>
      <c r="AY16" s="36">
        <f t="shared" si="13"/>
        <v>762450</v>
      </c>
      <c r="AZ16" s="36">
        <f t="shared" si="14"/>
        <v>21600</v>
      </c>
      <c r="BA16" s="36">
        <f t="shared" si="15"/>
        <v>0</v>
      </c>
      <c r="BB16" s="11">
        <v>72</v>
      </c>
      <c r="BC16" s="11">
        <v>0</v>
      </c>
      <c r="BD16" s="11">
        <v>0</v>
      </c>
      <c r="BE16" s="38">
        <v>34092</v>
      </c>
      <c r="BF16" s="38">
        <v>34092</v>
      </c>
      <c r="BG16" s="39">
        <f t="shared" si="16"/>
        <v>852306</v>
      </c>
      <c r="BH16" s="36">
        <f t="shared" si="17"/>
        <v>0</v>
      </c>
      <c r="BI16" s="39">
        <f t="shared" si="18"/>
        <v>0</v>
      </c>
      <c r="BJ16" s="39">
        <f t="shared" si="19"/>
        <v>774942</v>
      </c>
      <c r="BK16" s="39">
        <f t="shared" si="20"/>
        <v>64578.5</v>
      </c>
      <c r="BL16" s="39">
        <f t="shared" si="21"/>
        <v>0</v>
      </c>
      <c r="BM16" s="39">
        <f t="shared" si="22"/>
        <v>0</v>
      </c>
      <c r="BN16" s="39">
        <f t="shared" si="23"/>
        <v>0</v>
      </c>
      <c r="BO16" s="11"/>
      <c r="BP16" s="11"/>
      <c r="BQ16" s="11"/>
      <c r="BR16" s="11"/>
      <c r="BS16" s="11"/>
    </row>
    <row r="17" spans="1:71">
      <c r="A17" s="45" t="s">
        <v>142</v>
      </c>
      <c r="B17" s="11" t="s">
        <v>119</v>
      </c>
      <c r="C17" s="11" t="s">
        <v>80</v>
      </c>
      <c r="D17" s="45" t="s">
        <v>298</v>
      </c>
      <c r="E17" s="11" t="s">
        <v>82</v>
      </c>
      <c r="F17" s="11" t="s">
        <v>94</v>
      </c>
      <c r="G17" s="34" t="s">
        <v>227</v>
      </c>
      <c r="H17" s="11" t="s">
        <v>313</v>
      </c>
      <c r="I17" s="11" t="s">
        <v>380</v>
      </c>
      <c r="J17" s="11"/>
      <c r="K17" s="11"/>
      <c r="L17" s="11"/>
      <c r="M17" s="34" t="s">
        <v>104</v>
      </c>
      <c r="N17" s="11" t="str">
        <f t="shared" si="4"/>
        <v>C3</v>
      </c>
      <c r="O17" s="35">
        <v>2848749</v>
      </c>
      <c r="P17" s="36">
        <f t="shared" si="26"/>
        <v>1424380</v>
      </c>
      <c r="Q17" s="35">
        <v>356095</v>
      </c>
      <c r="R17" s="103">
        <v>142438</v>
      </c>
      <c r="S17" s="35">
        <v>584752</v>
      </c>
      <c r="T17" s="36">
        <f t="shared" si="27"/>
        <v>2507665</v>
      </c>
      <c r="U17" s="36">
        <f t="shared" si="24"/>
        <v>21600</v>
      </c>
      <c r="V17" s="36">
        <v>0</v>
      </c>
      <c r="W17" s="11">
        <v>72</v>
      </c>
      <c r="X17" s="11">
        <v>0</v>
      </c>
      <c r="Y17" s="11">
        <v>0</v>
      </c>
      <c r="Z17" s="11">
        <v>120000</v>
      </c>
      <c r="AA17" s="38">
        <v>199412</v>
      </c>
      <c r="AB17" s="39">
        <f t="shared" si="5"/>
        <v>2848749</v>
      </c>
      <c r="AC17" s="40">
        <f t="shared" si="6"/>
        <v>0</v>
      </c>
      <c r="AD17" s="41">
        <f t="shared" si="7"/>
        <v>0</v>
      </c>
      <c r="AE17" s="12">
        <f t="shared" si="8"/>
        <v>2606065</v>
      </c>
      <c r="AF17" s="12">
        <f t="shared" si="9"/>
        <v>217172.08333333334</v>
      </c>
      <c r="AG17" s="11" t="s">
        <v>83</v>
      </c>
      <c r="AH17" s="11" t="s">
        <v>83</v>
      </c>
      <c r="AI17" s="11" t="s">
        <v>83</v>
      </c>
      <c r="AJ17" s="11" t="s">
        <v>83</v>
      </c>
      <c r="AK17" s="11" t="s">
        <v>83</v>
      </c>
      <c r="AL17" s="11" t="s">
        <v>83</v>
      </c>
      <c r="AM17" s="11"/>
      <c r="AN17" s="11"/>
      <c r="AO17" s="11"/>
      <c r="AP17" s="11"/>
      <c r="AQ17" s="11" t="s">
        <v>85</v>
      </c>
      <c r="AR17" s="11"/>
      <c r="AS17" s="11" t="b">
        <v>0</v>
      </c>
      <c r="AT17" s="36">
        <f t="shared" si="25"/>
        <v>2848749</v>
      </c>
      <c r="AU17" s="36">
        <f t="shared" si="10"/>
        <v>1424375</v>
      </c>
      <c r="AV17" s="36">
        <f t="shared" si="11"/>
        <v>356094</v>
      </c>
      <c r="AW17" s="36">
        <f t="shared" si="12"/>
        <v>142438</v>
      </c>
      <c r="AX17" s="96">
        <v>584758</v>
      </c>
      <c r="AY17" s="36">
        <f t="shared" si="13"/>
        <v>2507665</v>
      </c>
      <c r="AZ17" s="36">
        <f t="shared" si="14"/>
        <v>21600</v>
      </c>
      <c r="BA17" s="36">
        <f t="shared" si="15"/>
        <v>0</v>
      </c>
      <c r="BB17" s="11">
        <v>72</v>
      </c>
      <c r="BC17" s="11">
        <v>0</v>
      </c>
      <c r="BD17" s="11">
        <v>0</v>
      </c>
      <c r="BE17" s="38">
        <v>120000</v>
      </c>
      <c r="BF17" s="38">
        <v>199412</v>
      </c>
      <c r="BG17" s="39">
        <f t="shared" si="16"/>
        <v>2848749</v>
      </c>
      <c r="BH17" s="36">
        <f t="shared" si="17"/>
        <v>0</v>
      </c>
      <c r="BI17" s="39">
        <f t="shared" si="18"/>
        <v>0</v>
      </c>
      <c r="BJ17" s="39">
        <f t="shared" si="19"/>
        <v>2606065</v>
      </c>
      <c r="BK17" s="39">
        <f t="shared" si="20"/>
        <v>217172.08333333334</v>
      </c>
      <c r="BL17" s="39">
        <f t="shared" si="21"/>
        <v>0</v>
      </c>
      <c r="BM17" s="39">
        <f t="shared" si="22"/>
        <v>0</v>
      </c>
      <c r="BN17" s="39">
        <f t="shared" si="23"/>
        <v>0</v>
      </c>
      <c r="BO17" s="11"/>
      <c r="BP17" s="11"/>
      <c r="BQ17" s="11"/>
      <c r="BR17" s="11"/>
      <c r="BS17" s="11"/>
    </row>
    <row r="18" spans="1:71">
      <c r="A18" s="45" t="s">
        <v>140</v>
      </c>
      <c r="B18" s="11" t="s">
        <v>119</v>
      </c>
      <c r="C18" s="11" t="s">
        <v>80</v>
      </c>
      <c r="D18" s="45" t="s">
        <v>298</v>
      </c>
      <c r="E18" s="11" t="s">
        <v>82</v>
      </c>
      <c r="F18" s="11" t="s">
        <v>94</v>
      </c>
      <c r="G18" s="87" t="s">
        <v>225</v>
      </c>
      <c r="H18" s="11" t="s">
        <v>314</v>
      </c>
      <c r="I18" s="11" t="s">
        <v>413</v>
      </c>
      <c r="J18" s="11"/>
      <c r="K18" s="11"/>
      <c r="L18" s="11"/>
      <c r="M18" s="34" t="s">
        <v>100</v>
      </c>
      <c r="N18" s="11" t="str">
        <f t="shared" si="4"/>
        <v>AC4</v>
      </c>
      <c r="O18" s="35">
        <v>867160</v>
      </c>
      <c r="P18" s="36">
        <f>CEILING(ROUND(($O18*50%),2),10)</f>
        <v>433580</v>
      </c>
      <c r="Q18" s="35">
        <v>108395</v>
      </c>
      <c r="R18" s="103">
        <v>43358</v>
      </c>
      <c r="S18" s="35">
        <v>190783.00000000003</v>
      </c>
      <c r="T18" s="36">
        <f t="shared" si="27"/>
        <v>776116</v>
      </c>
      <c r="U18" s="36">
        <f t="shared" si="24"/>
        <v>21600</v>
      </c>
      <c r="V18" s="36">
        <v>0</v>
      </c>
      <c r="W18" s="11">
        <v>72</v>
      </c>
      <c r="X18" s="11">
        <v>0</v>
      </c>
      <c r="Y18" s="11">
        <v>0</v>
      </c>
      <c r="Z18" s="11">
        <v>34686</v>
      </c>
      <c r="AA18" s="38">
        <v>34686</v>
      </c>
      <c r="AB18" s="39">
        <f t="shared" si="5"/>
        <v>867160</v>
      </c>
      <c r="AC18" s="40">
        <f t="shared" si="6"/>
        <v>0</v>
      </c>
      <c r="AD18" s="41">
        <f t="shared" si="7"/>
        <v>0</v>
      </c>
      <c r="AE18" s="12">
        <f t="shared" si="8"/>
        <v>789202</v>
      </c>
      <c r="AF18" s="12">
        <f t="shared" si="9"/>
        <v>65766.833333333328</v>
      </c>
      <c r="AG18" s="11" t="s">
        <v>83</v>
      </c>
      <c r="AH18" s="11" t="s">
        <v>83</v>
      </c>
      <c r="AI18" s="11" t="s">
        <v>83</v>
      </c>
      <c r="AJ18" s="11" t="s">
        <v>83</v>
      </c>
      <c r="AK18" s="11" t="s">
        <v>83</v>
      </c>
      <c r="AL18" s="11" t="s">
        <v>83</v>
      </c>
      <c r="AM18" s="11"/>
      <c r="AN18" s="11"/>
      <c r="AO18" s="11"/>
      <c r="AP18" s="11"/>
      <c r="AQ18" s="11" t="s">
        <v>85</v>
      </c>
      <c r="AR18" s="11"/>
      <c r="AS18" s="11" t="b">
        <v>0</v>
      </c>
      <c r="AT18" s="36">
        <f t="shared" si="25"/>
        <v>867160</v>
      </c>
      <c r="AU18" s="36">
        <f t="shared" si="10"/>
        <v>433580</v>
      </c>
      <c r="AV18" s="36">
        <f t="shared" si="11"/>
        <v>108395</v>
      </c>
      <c r="AW18" s="36">
        <f t="shared" si="12"/>
        <v>43358</v>
      </c>
      <c r="AX18" s="96">
        <v>190783.00000000003</v>
      </c>
      <c r="AY18" s="36">
        <f t="shared" si="13"/>
        <v>776116</v>
      </c>
      <c r="AZ18" s="36">
        <f t="shared" si="14"/>
        <v>21600</v>
      </c>
      <c r="BA18" s="36">
        <f t="shared" si="15"/>
        <v>0</v>
      </c>
      <c r="BB18" s="11">
        <v>72</v>
      </c>
      <c r="BC18" s="11">
        <v>0</v>
      </c>
      <c r="BD18" s="11">
        <v>0</v>
      </c>
      <c r="BE18" s="38">
        <v>34686</v>
      </c>
      <c r="BF18" s="38">
        <v>34686</v>
      </c>
      <c r="BG18" s="39">
        <f t="shared" si="16"/>
        <v>867160</v>
      </c>
      <c r="BH18" s="36">
        <f t="shared" si="17"/>
        <v>0</v>
      </c>
      <c r="BI18" s="39">
        <f t="shared" si="18"/>
        <v>0</v>
      </c>
      <c r="BJ18" s="39">
        <f t="shared" si="19"/>
        <v>789202</v>
      </c>
      <c r="BK18" s="39">
        <f t="shared" si="20"/>
        <v>65766.833333333328</v>
      </c>
      <c r="BL18" s="39">
        <f t="shared" si="21"/>
        <v>0</v>
      </c>
      <c r="BM18" s="39">
        <f t="shared" si="22"/>
        <v>0</v>
      </c>
      <c r="BN18" s="39">
        <f t="shared" si="23"/>
        <v>0</v>
      </c>
      <c r="BO18" s="11"/>
      <c r="BP18" s="11"/>
      <c r="BQ18" s="11"/>
      <c r="BR18" s="11"/>
      <c r="BS18" s="11"/>
    </row>
    <row r="19" spans="1:71">
      <c r="A19" s="45" t="s">
        <v>137</v>
      </c>
      <c r="B19" s="11" t="s">
        <v>119</v>
      </c>
      <c r="C19" s="11" t="s">
        <v>80</v>
      </c>
      <c r="D19" s="45" t="s">
        <v>298</v>
      </c>
      <c r="E19" s="11" t="s">
        <v>82</v>
      </c>
      <c r="F19" s="11" t="s">
        <v>95</v>
      </c>
      <c r="G19" s="87" t="s">
        <v>222</v>
      </c>
      <c r="H19" s="11" t="s">
        <v>315</v>
      </c>
      <c r="I19" s="11" t="s">
        <v>414</v>
      </c>
      <c r="J19" s="11"/>
      <c r="K19" s="11"/>
      <c r="L19" s="11"/>
      <c r="M19" s="34" t="s">
        <v>100</v>
      </c>
      <c r="N19" s="11" t="str">
        <f t="shared" si="4"/>
        <v>AC4</v>
      </c>
      <c r="O19" s="35">
        <v>1250071</v>
      </c>
      <c r="P19" s="36">
        <f>CEILING(ROUND(($O19*50%),2),10)</f>
        <v>625040</v>
      </c>
      <c r="Q19" s="35">
        <v>156260</v>
      </c>
      <c r="R19" s="103">
        <v>62504</v>
      </c>
      <c r="S19" s="35">
        <v>284589</v>
      </c>
      <c r="T19" s="36">
        <f t="shared" si="27"/>
        <v>1128393</v>
      </c>
      <c r="U19" s="36">
        <f t="shared" si="24"/>
        <v>21600</v>
      </c>
      <c r="V19" s="36">
        <v>0</v>
      </c>
      <c r="W19" s="11">
        <v>72</v>
      </c>
      <c r="X19" s="11">
        <v>0</v>
      </c>
      <c r="Y19" s="11">
        <v>0</v>
      </c>
      <c r="Z19" s="11">
        <v>50003</v>
      </c>
      <c r="AA19" s="38">
        <v>50003</v>
      </c>
      <c r="AB19" s="39">
        <f t="shared" si="5"/>
        <v>1250071</v>
      </c>
      <c r="AC19" s="40">
        <f t="shared" si="6"/>
        <v>0</v>
      </c>
      <c r="AD19" s="41">
        <f t="shared" si="7"/>
        <v>0</v>
      </c>
      <c r="AE19" s="12">
        <f t="shared" si="8"/>
        <v>1156796</v>
      </c>
      <c r="AF19" s="12">
        <f t="shared" si="9"/>
        <v>96399.666666666672</v>
      </c>
      <c r="AG19" s="11" t="s">
        <v>83</v>
      </c>
      <c r="AH19" s="11" t="s">
        <v>83</v>
      </c>
      <c r="AI19" s="11" t="s">
        <v>83</v>
      </c>
      <c r="AJ19" s="11" t="s">
        <v>83</v>
      </c>
      <c r="AK19" s="11" t="s">
        <v>83</v>
      </c>
      <c r="AL19" s="11" t="s">
        <v>83</v>
      </c>
      <c r="AM19" s="11"/>
      <c r="AN19" s="11"/>
      <c r="AO19" s="11"/>
      <c r="AP19" s="11"/>
      <c r="AQ19" s="11" t="s">
        <v>85</v>
      </c>
      <c r="AR19" s="11"/>
      <c r="AS19" s="11" t="b">
        <v>0</v>
      </c>
      <c r="AT19" s="36">
        <f t="shared" si="25"/>
        <v>1250071</v>
      </c>
      <c r="AU19" s="36">
        <f t="shared" si="10"/>
        <v>625036</v>
      </c>
      <c r="AV19" s="36">
        <f t="shared" si="11"/>
        <v>156259</v>
      </c>
      <c r="AW19" s="36">
        <f t="shared" si="12"/>
        <v>62504</v>
      </c>
      <c r="AX19" s="96">
        <v>284594</v>
      </c>
      <c r="AY19" s="36">
        <f t="shared" si="13"/>
        <v>1128393</v>
      </c>
      <c r="AZ19" s="36">
        <f t="shared" si="14"/>
        <v>21600</v>
      </c>
      <c r="BA19" s="36">
        <f t="shared" si="15"/>
        <v>0</v>
      </c>
      <c r="BB19" s="11">
        <v>72</v>
      </c>
      <c r="BC19" s="11">
        <v>0</v>
      </c>
      <c r="BD19" s="11">
        <v>0</v>
      </c>
      <c r="BE19" s="38">
        <v>50003</v>
      </c>
      <c r="BF19" s="38">
        <v>50003</v>
      </c>
      <c r="BG19" s="39">
        <f t="shared" si="16"/>
        <v>1250071</v>
      </c>
      <c r="BH19" s="36">
        <f t="shared" si="17"/>
        <v>0</v>
      </c>
      <c r="BI19" s="39">
        <f t="shared" si="18"/>
        <v>0</v>
      </c>
      <c r="BJ19" s="39">
        <f t="shared" si="19"/>
        <v>1156796</v>
      </c>
      <c r="BK19" s="39">
        <f t="shared" si="20"/>
        <v>96399.666666666672</v>
      </c>
      <c r="BL19" s="39">
        <f t="shared" si="21"/>
        <v>0</v>
      </c>
      <c r="BM19" s="39">
        <f t="shared" si="22"/>
        <v>0</v>
      </c>
      <c r="BN19" s="39">
        <f t="shared" si="23"/>
        <v>0</v>
      </c>
      <c r="BO19" s="11"/>
      <c r="BP19" s="11"/>
      <c r="BQ19" s="11"/>
      <c r="BR19" s="11"/>
      <c r="BS19" s="11"/>
    </row>
    <row r="20" spans="1:71">
      <c r="A20" s="45" t="s">
        <v>164</v>
      </c>
      <c r="B20" s="11" t="s">
        <v>119</v>
      </c>
      <c r="C20" s="11" t="s">
        <v>80</v>
      </c>
      <c r="D20" s="45" t="s">
        <v>298</v>
      </c>
      <c r="E20" s="11" t="s">
        <v>82</v>
      </c>
      <c r="F20" s="11" t="s">
        <v>94</v>
      </c>
      <c r="G20" s="45" t="s">
        <v>247</v>
      </c>
      <c r="H20" s="11" t="s">
        <v>316</v>
      </c>
      <c r="I20" s="11" t="s">
        <v>388</v>
      </c>
      <c r="J20" s="11"/>
      <c r="K20" s="11"/>
      <c r="L20" s="11"/>
      <c r="M20" s="34" t="s">
        <v>102</v>
      </c>
      <c r="N20" s="11" t="str">
        <f t="shared" si="4"/>
        <v>C1</v>
      </c>
      <c r="O20" s="35">
        <v>1675398</v>
      </c>
      <c r="P20" s="36">
        <f t="shared" ref="P20:P83" si="28">CEILING(ROUND(($O20*50%),2),10)</f>
        <v>837700</v>
      </c>
      <c r="Q20" s="35">
        <v>209425</v>
      </c>
      <c r="R20" s="103">
        <v>83770</v>
      </c>
      <c r="S20" s="35">
        <v>321783</v>
      </c>
      <c r="T20" s="36">
        <f t="shared" si="27"/>
        <v>1452678</v>
      </c>
      <c r="U20" s="36">
        <f t="shared" si="24"/>
        <v>21600</v>
      </c>
      <c r="V20" s="36">
        <v>0</v>
      </c>
      <c r="W20" s="11">
        <v>72</v>
      </c>
      <c r="X20" s="11">
        <v>0</v>
      </c>
      <c r="Y20" s="11">
        <v>0</v>
      </c>
      <c r="Z20" s="11">
        <v>100524</v>
      </c>
      <c r="AA20" s="38">
        <v>100524</v>
      </c>
      <c r="AB20" s="39">
        <f t="shared" si="5"/>
        <v>1675398</v>
      </c>
      <c r="AC20" s="40">
        <f t="shared" si="6"/>
        <v>0</v>
      </c>
      <c r="AD20" s="41">
        <f t="shared" si="7"/>
        <v>0</v>
      </c>
      <c r="AE20" s="12">
        <f t="shared" si="8"/>
        <v>1531602</v>
      </c>
      <c r="AF20" s="12">
        <f t="shared" si="9"/>
        <v>127633.5</v>
      </c>
      <c r="AG20" s="11" t="s">
        <v>83</v>
      </c>
      <c r="AH20" s="11" t="s">
        <v>83</v>
      </c>
      <c r="AI20" s="11" t="s">
        <v>83</v>
      </c>
      <c r="AJ20" s="11" t="s">
        <v>83</v>
      </c>
      <c r="AK20" s="11" t="s">
        <v>83</v>
      </c>
      <c r="AL20" s="11" t="s">
        <v>83</v>
      </c>
      <c r="AM20" s="11"/>
      <c r="AN20" s="11"/>
      <c r="AO20" s="11"/>
      <c r="AP20" s="11"/>
      <c r="AQ20" s="11" t="s">
        <v>85</v>
      </c>
      <c r="AR20" s="11"/>
      <c r="AS20" s="11" t="b">
        <v>0</v>
      </c>
      <c r="AT20" s="36">
        <f t="shared" si="25"/>
        <v>1675398</v>
      </c>
      <c r="AU20" s="36">
        <f t="shared" si="10"/>
        <v>837699</v>
      </c>
      <c r="AV20" s="36">
        <f t="shared" si="11"/>
        <v>209425</v>
      </c>
      <c r="AW20" s="36">
        <f t="shared" si="12"/>
        <v>83770</v>
      </c>
      <c r="AX20" s="96">
        <v>321784</v>
      </c>
      <c r="AY20" s="36">
        <f t="shared" si="13"/>
        <v>1452678</v>
      </c>
      <c r="AZ20" s="36">
        <f t="shared" si="14"/>
        <v>21600</v>
      </c>
      <c r="BA20" s="36">
        <f t="shared" si="15"/>
        <v>0</v>
      </c>
      <c r="BB20" s="11">
        <v>72</v>
      </c>
      <c r="BC20" s="11">
        <v>0</v>
      </c>
      <c r="BD20" s="11">
        <v>0</v>
      </c>
      <c r="BE20" s="38">
        <v>100524</v>
      </c>
      <c r="BF20" s="38">
        <v>100524</v>
      </c>
      <c r="BG20" s="39">
        <f t="shared" si="16"/>
        <v>1675398</v>
      </c>
      <c r="BH20" s="36">
        <f t="shared" si="17"/>
        <v>0</v>
      </c>
      <c r="BI20" s="39">
        <f t="shared" si="18"/>
        <v>0</v>
      </c>
      <c r="BJ20" s="39">
        <f t="shared" si="19"/>
        <v>1531602</v>
      </c>
      <c r="BK20" s="39">
        <f t="shared" si="20"/>
        <v>127633.5</v>
      </c>
      <c r="BL20" s="39">
        <f t="shared" si="21"/>
        <v>0</v>
      </c>
      <c r="BM20" s="39">
        <f t="shared" si="22"/>
        <v>0</v>
      </c>
      <c r="BN20" s="39">
        <f t="shared" si="23"/>
        <v>0</v>
      </c>
      <c r="BO20" s="11"/>
      <c r="BP20" s="11"/>
      <c r="BQ20" s="11"/>
      <c r="BR20" s="11"/>
      <c r="BS20" s="11"/>
    </row>
    <row r="21" spans="1:71">
      <c r="A21" s="45" t="s">
        <v>138</v>
      </c>
      <c r="B21" s="11" t="s">
        <v>119</v>
      </c>
      <c r="C21" s="11" t="s">
        <v>80</v>
      </c>
      <c r="D21" s="45" t="s">
        <v>298</v>
      </c>
      <c r="E21" s="11" t="s">
        <v>82</v>
      </c>
      <c r="F21" s="11" t="s">
        <v>94</v>
      </c>
      <c r="G21" s="87" t="s">
        <v>223</v>
      </c>
      <c r="H21" s="11" t="s">
        <v>317</v>
      </c>
      <c r="I21" s="11" t="s">
        <v>378</v>
      </c>
      <c r="J21" s="11"/>
      <c r="K21" s="11"/>
      <c r="L21" s="11"/>
      <c r="M21" s="34" t="s">
        <v>104</v>
      </c>
      <c r="N21" s="11" t="str">
        <f t="shared" si="4"/>
        <v>C3</v>
      </c>
      <c r="O21" s="35">
        <v>3907604</v>
      </c>
      <c r="P21" s="36">
        <f t="shared" si="28"/>
        <v>1953810</v>
      </c>
      <c r="Q21" s="35">
        <v>488453</v>
      </c>
      <c r="R21" s="103">
        <v>195381</v>
      </c>
      <c r="S21" s="35">
        <v>854756</v>
      </c>
      <c r="T21" s="36">
        <f t="shared" si="27"/>
        <v>3492400</v>
      </c>
      <c r="U21" s="36">
        <f t="shared" si="24"/>
        <v>21600</v>
      </c>
      <c r="V21" s="36">
        <v>0</v>
      </c>
      <c r="W21" s="11">
        <v>72</v>
      </c>
      <c r="X21" s="11">
        <v>0</v>
      </c>
      <c r="Y21" s="11">
        <v>0</v>
      </c>
      <c r="Z21" s="11">
        <v>120000</v>
      </c>
      <c r="AA21" s="38">
        <v>273532</v>
      </c>
      <c r="AB21" s="39">
        <f t="shared" si="5"/>
        <v>3907604</v>
      </c>
      <c r="AC21" s="40">
        <f t="shared" si="6"/>
        <v>0</v>
      </c>
      <c r="AD21" s="41">
        <f t="shared" si="7"/>
        <v>0</v>
      </c>
      <c r="AE21" s="12">
        <f t="shared" si="8"/>
        <v>3590800</v>
      </c>
      <c r="AF21" s="12">
        <f t="shared" si="9"/>
        <v>299233.33333333331</v>
      </c>
      <c r="AG21" s="11"/>
      <c r="AH21" s="11"/>
      <c r="AI21" s="11"/>
      <c r="AJ21" s="11"/>
      <c r="AK21" s="11"/>
      <c r="AL21" s="11"/>
      <c r="AM21" s="65" t="e">
        <f>IF($AL21=4,VLOOKUP($AR21,'Loyalty Incentive v1'!$L$3:$Q$15,2,FALSE),
IF($AL21=3,VLOOKUP($AR21,'Loyalty Incentive v1'!$L$3:$Q$15,3,FALSE),
IF($AL21=2,VLOOKUP($AR21,'Loyalty Incentive v1'!$L$3:$Q$15,4,FALSE),
IF($AL21=1,VLOOKUP($AR21,'Loyalty Incentive v1'!$L$3:$Q$15,5,FALSE),
IF($AL21=0,VLOOKUP($AR21,'Loyalty Incentive v1'!$L$3:$Q$15,6,FALSE),0)))))</f>
        <v>#N/A</v>
      </c>
      <c r="AN21" s="65">
        <f>IFERROR(IF(I21&gt;="1",AM21,VLOOKUP(VALUE(I21),'Loyalty - Effec - 15July'!$I$5:$J$16,2,0)*AM21),0)</f>
        <v>0</v>
      </c>
      <c r="AO21" s="65"/>
      <c r="AP21" s="65">
        <f>AN21+AO21</f>
        <v>0</v>
      </c>
      <c r="AQ21" s="11" t="s">
        <v>84</v>
      </c>
      <c r="AR21" s="11"/>
      <c r="AS21" s="11"/>
      <c r="AT21" s="36">
        <f t="shared" si="25"/>
        <v>3907604</v>
      </c>
      <c r="AU21" s="36">
        <f t="shared" si="10"/>
        <v>1953802</v>
      </c>
      <c r="AV21" s="36">
        <f t="shared" si="11"/>
        <v>488451</v>
      </c>
      <c r="AW21" s="36">
        <f t="shared" si="12"/>
        <v>195380</v>
      </c>
      <c r="AX21" s="96">
        <v>932235.84399999969</v>
      </c>
      <c r="AY21" s="36">
        <f t="shared" si="13"/>
        <v>3569868.8439999996</v>
      </c>
      <c r="AZ21" s="36">
        <f t="shared" si="14"/>
        <v>21600</v>
      </c>
      <c r="BA21" s="36">
        <f t="shared" si="15"/>
        <v>0</v>
      </c>
      <c r="BB21" s="11">
        <v>72</v>
      </c>
      <c r="BC21" s="11">
        <v>0</v>
      </c>
      <c r="BD21" s="11">
        <v>0</v>
      </c>
      <c r="BE21" s="38">
        <v>120000</v>
      </c>
      <c r="BF21" s="38">
        <v>273532</v>
      </c>
      <c r="BG21" s="39">
        <f t="shared" si="16"/>
        <v>3985072.8439999996</v>
      </c>
      <c r="BH21" s="36">
        <f t="shared" si="17"/>
        <v>0</v>
      </c>
      <c r="BI21" s="39">
        <f t="shared" si="18"/>
        <v>-77468.843999999575</v>
      </c>
      <c r="BJ21" s="39">
        <f t="shared" si="19"/>
        <v>3668268.8439999996</v>
      </c>
      <c r="BK21" s="39">
        <f t="shared" si="20"/>
        <v>305689.07033333328</v>
      </c>
      <c r="BL21" s="39">
        <f t="shared" si="21"/>
        <v>77468.843999999575</v>
      </c>
      <c r="BM21" s="39">
        <f t="shared" si="22"/>
        <v>6455.7369999999646</v>
      </c>
      <c r="BN21" s="39">
        <f t="shared" si="23"/>
        <v>6455.7369999999646</v>
      </c>
      <c r="BO21" s="11"/>
      <c r="BP21" s="11"/>
      <c r="BQ21" s="11"/>
      <c r="BR21" s="11"/>
      <c r="BS21" s="11"/>
    </row>
    <row r="22" spans="1:71">
      <c r="A22" s="45" t="s">
        <v>161</v>
      </c>
      <c r="B22" s="11" t="s">
        <v>119</v>
      </c>
      <c r="C22" s="11" t="s">
        <v>80</v>
      </c>
      <c r="D22" s="45" t="s">
        <v>298</v>
      </c>
      <c r="E22" s="11" t="s">
        <v>82</v>
      </c>
      <c r="F22" s="11" t="s">
        <v>94</v>
      </c>
      <c r="G22" s="34" t="s">
        <v>244</v>
      </c>
      <c r="H22" s="11" t="s">
        <v>318</v>
      </c>
      <c r="I22" s="11" t="s">
        <v>387</v>
      </c>
      <c r="J22" s="11"/>
      <c r="K22" s="11"/>
      <c r="L22" s="11"/>
      <c r="M22" s="34" t="s">
        <v>102</v>
      </c>
      <c r="N22" s="11" t="str">
        <f t="shared" si="4"/>
        <v>C1</v>
      </c>
      <c r="O22" s="35">
        <v>2000537</v>
      </c>
      <c r="P22" s="36">
        <f t="shared" si="28"/>
        <v>1000270</v>
      </c>
      <c r="Q22" s="35">
        <v>250068</v>
      </c>
      <c r="R22" s="103">
        <v>100027</v>
      </c>
      <c r="S22" s="35">
        <v>388468.00000000006</v>
      </c>
      <c r="T22" s="36">
        <f t="shared" si="27"/>
        <v>1738833</v>
      </c>
      <c r="U22" s="36">
        <f t="shared" si="24"/>
        <v>21600</v>
      </c>
      <c r="V22" s="36">
        <v>0</v>
      </c>
      <c r="W22" s="11">
        <v>72</v>
      </c>
      <c r="X22" s="11">
        <v>0</v>
      </c>
      <c r="Y22" s="11">
        <v>0</v>
      </c>
      <c r="Z22" s="11">
        <v>120000</v>
      </c>
      <c r="AA22" s="38">
        <v>120032</v>
      </c>
      <c r="AB22" s="39">
        <f t="shared" si="5"/>
        <v>2000537</v>
      </c>
      <c r="AC22" s="40">
        <f t="shared" si="6"/>
        <v>0</v>
      </c>
      <c r="AD22" s="41">
        <f t="shared" si="7"/>
        <v>0</v>
      </c>
      <c r="AE22" s="12">
        <f t="shared" si="8"/>
        <v>1837233</v>
      </c>
      <c r="AF22" s="12">
        <f t="shared" si="9"/>
        <v>153102.75</v>
      </c>
      <c r="AG22" s="11" t="s">
        <v>83</v>
      </c>
      <c r="AH22" s="11" t="s">
        <v>83</v>
      </c>
      <c r="AI22" s="11" t="s">
        <v>83</v>
      </c>
      <c r="AJ22" s="11" t="s">
        <v>83</v>
      </c>
      <c r="AK22" s="11" t="s">
        <v>83</v>
      </c>
      <c r="AL22" s="11" t="s">
        <v>83</v>
      </c>
      <c r="AM22" s="11"/>
      <c r="AN22" s="11"/>
      <c r="AO22" s="11"/>
      <c r="AP22" s="11"/>
      <c r="AQ22" s="11" t="s">
        <v>85</v>
      </c>
      <c r="AR22" s="11"/>
      <c r="AS22" s="11" t="b">
        <v>0</v>
      </c>
      <c r="AT22" s="36">
        <f t="shared" si="25"/>
        <v>2000537</v>
      </c>
      <c r="AU22" s="36">
        <f t="shared" si="10"/>
        <v>1000269</v>
      </c>
      <c r="AV22" s="36">
        <f t="shared" si="11"/>
        <v>250067</v>
      </c>
      <c r="AW22" s="36">
        <f t="shared" si="12"/>
        <v>100027</v>
      </c>
      <c r="AX22" s="96">
        <v>388470.00000000006</v>
      </c>
      <c r="AY22" s="36">
        <f t="shared" si="13"/>
        <v>1738833</v>
      </c>
      <c r="AZ22" s="36">
        <f t="shared" si="14"/>
        <v>21600</v>
      </c>
      <c r="BA22" s="36">
        <f t="shared" si="15"/>
        <v>0</v>
      </c>
      <c r="BB22" s="11">
        <v>72</v>
      </c>
      <c r="BC22" s="11">
        <v>0</v>
      </c>
      <c r="BD22" s="11">
        <v>0</v>
      </c>
      <c r="BE22" s="38">
        <v>120000</v>
      </c>
      <c r="BF22" s="38">
        <v>120032</v>
      </c>
      <c r="BG22" s="39">
        <f t="shared" si="16"/>
        <v>2000537</v>
      </c>
      <c r="BH22" s="36">
        <f t="shared" si="17"/>
        <v>0</v>
      </c>
      <c r="BI22" s="39">
        <f t="shared" si="18"/>
        <v>0</v>
      </c>
      <c r="BJ22" s="39">
        <f t="shared" si="19"/>
        <v>1837233</v>
      </c>
      <c r="BK22" s="39">
        <f t="shared" si="20"/>
        <v>153102.75</v>
      </c>
      <c r="BL22" s="39">
        <f t="shared" si="21"/>
        <v>0</v>
      </c>
      <c r="BM22" s="39">
        <f t="shared" si="22"/>
        <v>0</v>
      </c>
      <c r="BN22" s="39">
        <f t="shared" si="23"/>
        <v>0</v>
      </c>
      <c r="BO22" s="11"/>
      <c r="BP22" s="11"/>
      <c r="BQ22" s="11"/>
      <c r="BR22" s="11"/>
      <c r="BS22" s="11"/>
    </row>
    <row r="23" spans="1:71">
      <c r="A23" s="45" t="s">
        <v>139</v>
      </c>
      <c r="B23" s="11" t="s">
        <v>119</v>
      </c>
      <c r="C23" s="11" t="s">
        <v>80</v>
      </c>
      <c r="D23" s="45" t="s">
        <v>298</v>
      </c>
      <c r="E23" s="11" t="s">
        <v>82</v>
      </c>
      <c r="F23" s="11" t="s">
        <v>95</v>
      </c>
      <c r="G23" s="45" t="s">
        <v>224</v>
      </c>
      <c r="H23" s="11" t="s">
        <v>319</v>
      </c>
      <c r="I23" s="11" t="s">
        <v>379</v>
      </c>
      <c r="J23" s="11"/>
      <c r="K23" s="11"/>
      <c r="L23" s="11"/>
      <c r="M23" s="34" t="s">
        <v>100</v>
      </c>
      <c r="N23" s="11" t="str">
        <f t="shared" si="4"/>
        <v>AC4</v>
      </c>
      <c r="O23" s="35">
        <v>1402793</v>
      </c>
      <c r="P23" s="36">
        <f t="shared" si="28"/>
        <v>701400</v>
      </c>
      <c r="Q23" s="35">
        <v>175350</v>
      </c>
      <c r="R23" s="103">
        <v>70140</v>
      </c>
      <c r="S23" s="35">
        <v>322007</v>
      </c>
      <c r="T23" s="36">
        <f t="shared" si="27"/>
        <v>1268897</v>
      </c>
      <c r="U23" s="36">
        <f t="shared" si="24"/>
        <v>21600</v>
      </c>
      <c r="V23" s="36">
        <v>0</v>
      </c>
      <c r="W23" s="11">
        <v>72</v>
      </c>
      <c r="X23" s="11">
        <v>0</v>
      </c>
      <c r="Y23" s="11">
        <v>0</v>
      </c>
      <c r="Z23" s="11">
        <v>56112</v>
      </c>
      <c r="AA23" s="38">
        <v>56112</v>
      </c>
      <c r="AB23" s="39">
        <f t="shared" si="5"/>
        <v>1402793</v>
      </c>
      <c r="AC23" s="40">
        <f t="shared" si="6"/>
        <v>0</v>
      </c>
      <c r="AD23" s="41">
        <f t="shared" si="7"/>
        <v>0</v>
      </c>
      <c r="AE23" s="12">
        <f t="shared" si="8"/>
        <v>1303409</v>
      </c>
      <c r="AF23" s="12">
        <f t="shared" si="9"/>
        <v>108617.41666666667</v>
      </c>
      <c r="AG23" s="11" t="s">
        <v>83</v>
      </c>
      <c r="AH23" s="11" t="s">
        <v>83</v>
      </c>
      <c r="AI23" s="11" t="s">
        <v>83</v>
      </c>
      <c r="AJ23" s="11" t="s">
        <v>83</v>
      </c>
      <c r="AK23" s="11" t="s">
        <v>83</v>
      </c>
      <c r="AL23" s="11" t="s">
        <v>83</v>
      </c>
      <c r="AM23" s="11"/>
      <c r="AN23" s="11"/>
      <c r="AO23" s="11"/>
      <c r="AP23" s="11"/>
      <c r="AQ23" s="11" t="s">
        <v>85</v>
      </c>
      <c r="AR23" s="11"/>
      <c r="AS23" s="11" t="b">
        <v>0</v>
      </c>
      <c r="AT23" s="36">
        <f t="shared" si="25"/>
        <v>1402793</v>
      </c>
      <c r="AU23" s="36">
        <f t="shared" si="10"/>
        <v>701397</v>
      </c>
      <c r="AV23" s="36">
        <f t="shared" si="11"/>
        <v>175349</v>
      </c>
      <c r="AW23" s="36">
        <f t="shared" si="12"/>
        <v>70140</v>
      </c>
      <c r="AX23" s="96">
        <v>322011</v>
      </c>
      <c r="AY23" s="36">
        <f t="shared" si="13"/>
        <v>1268897</v>
      </c>
      <c r="AZ23" s="36">
        <f t="shared" si="14"/>
        <v>21600</v>
      </c>
      <c r="BA23" s="36">
        <f t="shared" si="15"/>
        <v>0</v>
      </c>
      <c r="BB23" s="11">
        <v>72</v>
      </c>
      <c r="BC23" s="11">
        <v>0</v>
      </c>
      <c r="BD23" s="11">
        <v>0</v>
      </c>
      <c r="BE23" s="38">
        <v>56112</v>
      </c>
      <c r="BF23" s="38">
        <v>56112</v>
      </c>
      <c r="BG23" s="39">
        <f t="shared" si="16"/>
        <v>1402793</v>
      </c>
      <c r="BH23" s="36">
        <f t="shared" si="17"/>
        <v>0</v>
      </c>
      <c r="BI23" s="39">
        <f t="shared" si="18"/>
        <v>0</v>
      </c>
      <c r="BJ23" s="39">
        <f t="shared" si="19"/>
        <v>1303409</v>
      </c>
      <c r="BK23" s="39">
        <f t="shared" si="20"/>
        <v>108617.41666666667</v>
      </c>
      <c r="BL23" s="39">
        <f t="shared" si="21"/>
        <v>0</v>
      </c>
      <c r="BM23" s="39">
        <f t="shared" si="22"/>
        <v>0</v>
      </c>
      <c r="BN23" s="39">
        <f t="shared" si="23"/>
        <v>0</v>
      </c>
      <c r="BO23" s="11"/>
      <c r="BP23" s="11"/>
      <c r="BQ23" s="11"/>
      <c r="BR23" s="11"/>
      <c r="BS23" s="11"/>
    </row>
    <row r="24" spans="1:71">
      <c r="A24" s="45" t="s">
        <v>181</v>
      </c>
      <c r="B24" s="11" t="s">
        <v>119</v>
      </c>
      <c r="C24" s="11" t="s">
        <v>80</v>
      </c>
      <c r="D24" s="45" t="s">
        <v>298</v>
      </c>
      <c r="E24" s="11" t="s">
        <v>82</v>
      </c>
      <c r="F24" s="11" t="s">
        <v>95</v>
      </c>
      <c r="G24" s="45" t="s">
        <v>264</v>
      </c>
      <c r="H24" s="11" t="s">
        <v>320</v>
      </c>
      <c r="I24" s="11" t="s">
        <v>396</v>
      </c>
      <c r="J24" s="11"/>
      <c r="K24" s="11"/>
      <c r="L24" s="11"/>
      <c r="M24" s="34" t="s">
        <v>101</v>
      </c>
      <c r="N24" s="11" t="str">
        <f t="shared" si="4"/>
        <v>AC5</v>
      </c>
      <c r="O24" s="35">
        <v>1295160</v>
      </c>
      <c r="P24" s="36">
        <f t="shared" si="28"/>
        <v>647580</v>
      </c>
      <c r="Q24" s="35">
        <v>161895</v>
      </c>
      <c r="R24" s="103">
        <v>64758</v>
      </c>
      <c r="S24" s="35">
        <v>269738.99999999994</v>
      </c>
      <c r="T24" s="36">
        <f t="shared" si="27"/>
        <v>1143972</v>
      </c>
      <c r="U24" s="36">
        <f t="shared" si="24"/>
        <v>21600</v>
      </c>
      <c r="V24" s="36">
        <v>0</v>
      </c>
      <c r="W24" s="11">
        <v>72</v>
      </c>
      <c r="X24" s="11">
        <v>0</v>
      </c>
      <c r="Y24" s="11">
        <v>0</v>
      </c>
      <c r="Z24" s="11">
        <v>64758</v>
      </c>
      <c r="AA24" s="38">
        <v>64758</v>
      </c>
      <c r="AB24" s="39">
        <f t="shared" si="5"/>
        <v>1295160</v>
      </c>
      <c r="AC24" s="40">
        <f t="shared" si="6"/>
        <v>0</v>
      </c>
      <c r="AD24" s="41">
        <f t="shared" si="7"/>
        <v>0</v>
      </c>
      <c r="AE24" s="12">
        <f t="shared" si="8"/>
        <v>1187130</v>
      </c>
      <c r="AF24" s="12">
        <f t="shared" si="9"/>
        <v>98927.5</v>
      </c>
      <c r="AG24" s="11" t="s">
        <v>83</v>
      </c>
      <c r="AH24" s="11" t="s">
        <v>83</v>
      </c>
      <c r="AI24" s="11" t="s">
        <v>83</v>
      </c>
      <c r="AJ24" s="11" t="s">
        <v>83</v>
      </c>
      <c r="AK24" s="11" t="s">
        <v>83</v>
      </c>
      <c r="AL24" s="11" t="s">
        <v>83</v>
      </c>
      <c r="AM24" s="11"/>
      <c r="AN24" s="11"/>
      <c r="AO24" s="11"/>
      <c r="AP24" s="11"/>
      <c r="AQ24" s="11" t="s">
        <v>85</v>
      </c>
      <c r="AR24" s="11"/>
      <c r="AS24" s="11" t="b">
        <v>0</v>
      </c>
      <c r="AT24" s="36">
        <f t="shared" si="25"/>
        <v>1295160</v>
      </c>
      <c r="AU24" s="36">
        <f t="shared" si="10"/>
        <v>647580</v>
      </c>
      <c r="AV24" s="36">
        <f t="shared" si="11"/>
        <v>161895</v>
      </c>
      <c r="AW24" s="36">
        <f t="shared" si="12"/>
        <v>64758</v>
      </c>
      <c r="AX24" s="96">
        <v>269738.99999999994</v>
      </c>
      <c r="AY24" s="36">
        <f t="shared" si="13"/>
        <v>1143972</v>
      </c>
      <c r="AZ24" s="36">
        <f t="shared" si="14"/>
        <v>21600</v>
      </c>
      <c r="BA24" s="36">
        <f t="shared" si="15"/>
        <v>0</v>
      </c>
      <c r="BB24" s="11">
        <v>72</v>
      </c>
      <c r="BC24" s="11">
        <v>0</v>
      </c>
      <c r="BD24" s="11">
        <v>0</v>
      </c>
      <c r="BE24" s="38">
        <v>64758</v>
      </c>
      <c r="BF24" s="38">
        <v>64758</v>
      </c>
      <c r="BG24" s="39">
        <f t="shared" si="16"/>
        <v>1295160</v>
      </c>
      <c r="BH24" s="36">
        <f t="shared" si="17"/>
        <v>0</v>
      </c>
      <c r="BI24" s="39">
        <f t="shared" si="18"/>
        <v>0</v>
      </c>
      <c r="BJ24" s="39">
        <f t="shared" si="19"/>
        <v>1187130</v>
      </c>
      <c r="BK24" s="39">
        <f t="shared" si="20"/>
        <v>98927.5</v>
      </c>
      <c r="BL24" s="39">
        <f t="shared" si="21"/>
        <v>0</v>
      </c>
      <c r="BM24" s="39">
        <f t="shared" si="22"/>
        <v>0</v>
      </c>
      <c r="BN24" s="39">
        <f t="shared" si="23"/>
        <v>0</v>
      </c>
      <c r="BO24" s="11"/>
      <c r="BP24" s="11"/>
      <c r="BQ24" s="11"/>
      <c r="BR24" s="11"/>
      <c r="BS24" s="11"/>
    </row>
    <row r="25" spans="1:71">
      <c r="A25" s="45" t="s">
        <v>145</v>
      </c>
      <c r="B25" s="11" t="s">
        <v>119</v>
      </c>
      <c r="C25" s="11" t="s">
        <v>80</v>
      </c>
      <c r="D25" s="45" t="s">
        <v>298</v>
      </c>
      <c r="E25" s="11" t="s">
        <v>82</v>
      </c>
      <c r="F25" s="11" t="s">
        <v>94</v>
      </c>
      <c r="G25" s="34" t="s">
        <v>228</v>
      </c>
      <c r="H25" s="11" t="s">
        <v>321</v>
      </c>
      <c r="I25" s="11" t="s">
        <v>381</v>
      </c>
      <c r="J25" s="11"/>
      <c r="K25" s="11"/>
      <c r="L25" s="11"/>
      <c r="M25" s="34" t="s">
        <v>101</v>
      </c>
      <c r="N25" s="11" t="str">
        <f t="shared" si="4"/>
        <v>AC5</v>
      </c>
      <c r="O25" s="35">
        <v>1404350</v>
      </c>
      <c r="P25" s="36">
        <f t="shared" si="28"/>
        <v>702180</v>
      </c>
      <c r="Q25" s="35">
        <v>175545</v>
      </c>
      <c r="R25" s="103">
        <v>70218</v>
      </c>
      <c r="S25" s="35">
        <v>294299</v>
      </c>
      <c r="T25" s="36">
        <f t="shared" si="27"/>
        <v>1242242</v>
      </c>
      <c r="U25" s="36">
        <f t="shared" si="24"/>
        <v>21600</v>
      </c>
      <c r="V25" s="36">
        <v>0</v>
      </c>
      <c r="W25" s="11">
        <v>72</v>
      </c>
      <c r="X25" s="11">
        <v>0</v>
      </c>
      <c r="Y25" s="11">
        <v>0</v>
      </c>
      <c r="Z25" s="11">
        <v>70218</v>
      </c>
      <c r="AA25" s="38">
        <v>70218</v>
      </c>
      <c r="AB25" s="39">
        <f t="shared" si="5"/>
        <v>1404350</v>
      </c>
      <c r="AC25" s="40">
        <f t="shared" si="6"/>
        <v>0</v>
      </c>
      <c r="AD25" s="41">
        <f t="shared" si="7"/>
        <v>0</v>
      </c>
      <c r="AE25" s="12">
        <f t="shared" si="8"/>
        <v>1290860</v>
      </c>
      <c r="AF25" s="12">
        <f t="shared" si="9"/>
        <v>107571.66666666667</v>
      </c>
      <c r="AG25" s="11" t="s">
        <v>83</v>
      </c>
      <c r="AH25" s="11" t="s">
        <v>83</v>
      </c>
      <c r="AI25" s="11" t="s">
        <v>83</v>
      </c>
      <c r="AJ25" s="11" t="s">
        <v>83</v>
      </c>
      <c r="AK25" s="11" t="s">
        <v>83</v>
      </c>
      <c r="AL25" s="11" t="s">
        <v>83</v>
      </c>
      <c r="AM25" s="11"/>
      <c r="AN25" s="11"/>
      <c r="AO25" s="11"/>
      <c r="AP25" s="11"/>
      <c r="AQ25" s="11" t="s">
        <v>85</v>
      </c>
      <c r="AR25" s="11"/>
      <c r="AS25" s="11" t="b">
        <v>0</v>
      </c>
      <c r="AT25" s="36">
        <f t="shared" si="25"/>
        <v>1404350</v>
      </c>
      <c r="AU25" s="36">
        <f t="shared" si="10"/>
        <v>702175</v>
      </c>
      <c r="AV25" s="36">
        <f t="shared" si="11"/>
        <v>175544</v>
      </c>
      <c r="AW25" s="36">
        <f t="shared" si="12"/>
        <v>70218</v>
      </c>
      <c r="AX25" s="96">
        <v>294305</v>
      </c>
      <c r="AY25" s="36">
        <f t="shared" si="13"/>
        <v>1242242</v>
      </c>
      <c r="AZ25" s="36">
        <f t="shared" si="14"/>
        <v>21600</v>
      </c>
      <c r="BA25" s="36">
        <f t="shared" si="15"/>
        <v>0</v>
      </c>
      <c r="BB25" s="11">
        <v>72</v>
      </c>
      <c r="BC25" s="11">
        <v>0</v>
      </c>
      <c r="BD25" s="11">
        <v>0</v>
      </c>
      <c r="BE25" s="38">
        <v>70218</v>
      </c>
      <c r="BF25" s="38">
        <v>70218</v>
      </c>
      <c r="BG25" s="39">
        <f t="shared" si="16"/>
        <v>1404350</v>
      </c>
      <c r="BH25" s="36">
        <f t="shared" si="17"/>
        <v>0</v>
      </c>
      <c r="BI25" s="39">
        <f t="shared" si="18"/>
        <v>0</v>
      </c>
      <c r="BJ25" s="39">
        <f t="shared" si="19"/>
        <v>1290860</v>
      </c>
      <c r="BK25" s="39">
        <f t="shared" si="20"/>
        <v>107571.66666666667</v>
      </c>
      <c r="BL25" s="39">
        <f t="shared" si="21"/>
        <v>0</v>
      </c>
      <c r="BM25" s="39">
        <f t="shared" si="22"/>
        <v>0</v>
      </c>
      <c r="BN25" s="39">
        <f t="shared" si="23"/>
        <v>0</v>
      </c>
      <c r="BO25" s="11"/>
      <c r="BP25" s="11"/>
      <c r="BQ25" s="11"/>
      <c r="BR25" s="11"/>
      <c r="BS25" s="11"/>
    </row>
    <row r="26" spans="1:71">
      <c r="A26" s="45" t="s">
        <v>149</v>
      </c>
      <c r="B26" s="11" t="s">
        <v>119</v>
      </c>
      <c r="C26" s="11" t="s">
        <v>80</v>
      </c>
      <c r="D26" s="45" t="s">
        <v>298</v>
      </c>
      <c r="E26" s="11" t="s">
        <v>82</v>
      </c>
      <c r="F26" s="11" t="s">
        <v>95</v>
      </c>
      <c r="G26" s="34" t="s">
        <v>232</v>
      </c>
      <c r="H26" s="11" t="s">
        <v>322</v>
      </c>
      <c r="I26" s="11" t="s">
        <v>415</v>
      </c>
      <c r="J26" s="11"/>
      <c r="K26" s="11"/>
      <c r="L26" s="11"/>
      <c r="M26" s="34" t="s">
        <v>99</v>
      </c>
      <c r="N26" s="11" t="str">
        <f t="shared" si="4"/>
        <v>AC3</v>
      </c>
      <c r="O26" s="35">
        <v>351710</v>
      </c>
      <c r="P26" s="36">
        <f t="shared" si="28"/>
        <v>175860</v>
      </c>
      <c r="Q26" s="35">
        <v>43965</v>
      </c>
      <c r="R26" s="103">
        <v>17586</v>
      </c>
      <c r="S26" s="35">
        <v>82076</v>
      </c>
      <c r="T26" s="36">
        <f t="shared" si="27"/>
        <v>319487</v>
      </c>
      <c r="U26" s="36">
        <f t="shared" si="24"/>
        <v>21600</v>
      </c>
      <c r="V26" s="36">
        <v>0</v>
      </c>
      <c r="W26" s="11">
        <v>72</v>
      </c>
      <c r="X26" s="11">
        <v>0</v>
      </c>
      <c r="Y26" s="11">
        <v>0</v>
      </c>
      <c r="Z26" s="11">
        <v>0</v>
      </c>
      <c r="AA26" s="38">
        <v>10551</v>
      </c>
      <c r="AB26" s="39">
        <f t="shared" si="5"/>
        <v>351710</v>
      </c>
      <c r="AC26" s="40">
        <f t="shared" si="6"/>
        <v>0</v>
      </c>
      <c r="AD26" s="41">
        <f t="shared" si="7"/>
        <v>0</v>
      </c>
      <c r="AE26" s="12">
        <f t="shared" si="8"/>
        <v>297887</v>
      </c>
      <c r="AF26" s="12">
        <f t="shared" si="9"/>
        <v>24823.916666666668</v>
      </c>
      <c r="AG26" s="11" t="s">
        <v>83</v>
      </c>
      <c r="AH26" s="11" t="s">
        <v>83</v>
      </c>
      <c r="AI26" s="11" t="s">
        <v>83</v>
      </c>
      <c r="AJ26" s="11" t="s">
        <v>83</v>
      </c>
      <c r="AK26" s="11" t="s">
        <v>83</v>
      </c>
      <c r="AL26" s="11" t="s">
        <v>83</v>
      </c>
      <c r="AM26" s="11"/>
      <c r="AN26" s="11"/>
      <c r="AO26" s="11"/>
      <c r="AP26" s="11"/>
      <c r="AQ26" s="11" t="s">
        <v>85</v>
      </c>
      <c r="AR26" s="11"/>
      <c r="AS26" s="11" t="b">
        <v>0</v>
      </c>
      <c r="AT26" s="36">
        <f t="shared" si="25"/>
        <v>351710</v>
      </c>
      <c r="AU26" s="36">
        <f t="shared" si="10"/>
        <v>175855</v>
      </c>
      <c r="AV26" s="36">
        <f t="shared" si="11"/>
        <v>43964</v>
      </c>
      <c r="AW26" s="36">
        <f t="shared" si="12"/>
        <v>17586</v>
      </c>
      <c r="AX26" s="96">
        <v>82082</v>
      </c>
      <c r="AY26" s="36">
        <f t="shared" si="13"/>
        <v>319487</v>
      </c>
      <c r="AZ26" s="36">
        <f t="shared" si="14"/>
        <v>21600</v>
      </c>
      <c r="BA26" s="36">
        <f t="shared" si="15"/>
        <v>0</v>
      </c>
      <c r="BB26" s="11">
        <v>72</v>
      </c>
      <c r="BC26" s="11">
        <v>0</v>
      </c>
      <c r="BD26" s="11">
        <v>0</v>
      </c>
      <c r="BE26" s="38">
        <f>ROUND((IF(($AT26&lt;=700000),0,IF(((VLOOKUP($AR26,'Loyalty - Effec - 15July'!$B$5:$C$17,2,0)*$AT26)&lt;=120000),(VLOOKUP($AR26,'Loyalty - Effec - 15July'!$B$5:$C$17,2,0)*$AT26),120000))),0)</f>
        <v>0</v>
      </c>
      <c r="BF26" s="38">
        <v>10551</v>
      </c>
      <c r="BG26" s="39">
        <f t="shared" si="16"/>
        <v>351710</v>
      </c>
      <c r="BH26" s="36">
        <f t="shared" si="17"/>
        <v>0</v>
      </c>
      <c r="BI26" s="39">
        <f t="shared" si="18"/>
        <v>0</v>
      </c>
      <c r="BJ26" s="39">
        <f t="shared" si="19"/>
        <v>297887</v>
      </c>
      <c r="BK26" s="39">
        <f t="shared" si="20"/>
        <v>24823.916666666668</v>
      </c>
      <c r="BL26" s="39">
        <f t="shared" si="21"/>
        <v>0</v>
      </c>
      <c r="BM26" s="39">
        <f t="shared" si="22"/>
        <v>0</v>
      </c>
      <c r="BN26" s="39">
        <f t="shared" si="23"/>
        <v>0</v>
      </c>
      <c r="BO26" s="11"/>
      <c r="BP26" s="11"/>
      <c r="BQ26" s="11"/>
      <c r="BR26" s="11"/>
      <c r="BS26" s="11"/>
    </row>
    <row r="27" spans="1:71">
      <c r="A27" s="45" t="s">
        <v>160</v>
      </c>
      <c r="B27" s="11" t="s">
        <v>119</v>
      </c>
      <c r="C27" s="11" t="s">
        <v>80</v>
      </c>
      <c r="D27" s="45" t="s">
        <v>298</v>
      </c>
      <c r="E27" s="11" t="s">
        <v>82</v>
      </c>
      <c r="F27" s="11" t="s">
        <v>94</v>
      </c>
      <c r="G27" s="34" t="s">
        <v>243</v>
      </c>
      <c r="H27" s="11" t="s">
        <v>323</v>
      </c>
      <c r="I27" s="11" t="s">
        <v>386</v>
      </c>
      <c r="J27" s="11"/>
      <c r="K27" s="11"/>
      <c r="L27" s="11"/>
      <c r="M27" s="34" t="s">
        <v>99</v>
      </c>
      <c r="N27" s="11" t="str">
        <f t="shared" si="4"/>
        <v>AC3</v>
      </c>
      <c r="O27" s="35">
        <v>480110</v>
      </c>
      <c r="P27" s="36">
        <f t="shared" si="28"/>
        <v>240060</v>
      </c>
      <c r="Q27" s="35">
        <v>60015</v>
      </c>
      <c r="R27" s="103">
        <v>24006</v>
      </c>
      <c r="S27" s="35">
        <v>119953.99999999997</v>
      </c>
      <c r="T27" s="36">
        <f t="shared" si="27"/>
        <v>444035</v>
      </c>
      <c r="U27" s="36">
        <f t="shared" si="24"/>
        <v>21600</v>
      </c>
      <c r="V27" s="36">
        <v>0</v>
      </c>
      <c r="W27" s="11">
        <v>72</v>
      </c>
      <c r="X27" s="11">
        <v>0</v>
      </c>
      <c r="Y27" s="11">
        <v>0</v>
      </c>
      <c r="Z27" s="11">
        <v>0</v>
      </c>
      <c r="AA27" s="38">
        <v>14403</v>
      </c>
      <c r="AB27" s="39">
        <f t="shared" si="5"/>
        <v>480110</v>
      </c>
      <c r="AC27" s="40">
        <f t="shared" si="6"/>
        <v>0</v>
      </c>
      <c r="AD27" s="41">
        <f t="shared" si="7"/>
        <v>0</v>
      </c>
      <c r="AE27" s="12">
        <f t="shared" si="8"/>
        <v>422435</v>
      </c>
      <c r="AF27" s="12">
        <f t="shared" si="9"/>
        <v>35202.916666666664</v>
      </c>
      <c r="AG27" s="11" t="s">
        <v>83</v>
      </c>
      <c r="AH27" s="11" t="s">
        <v>83</v>
      </c>
      <c r="AI27" s="11" t="s">
        <v>83</v>
      </c>
      <c r="AJ27" s="11" t="s">
        <v>83</v>
      </c>
      <c r="AK27" s="11" t="s">
        <v>83</v>
      </c>
      <c r="AL27" s="11" t="s">
        <v>83</v>
      </c>
      <c r="AM27" s="11"/>
      <c r="AN27" s="11"/>
      <c r="AO27" s="11"/>
      <c r="AP27" s="11"/>
      <c r="AQ27" s="11" t="s">
        <v>85</v>
      </c>
      <c r="AR27" s="11"/>
      <c r="AS27" s="11" t="b">
        <v>0</v>
      </c>
      <c r="AT27" s="36">
        <f t="shared" si="25"/>
        <v>480110</v>
      </c>
      <c r="AU27" s="36">
        <f t="shared" si="10"/>
        <v>240055</v>
      </c>
      <c r="AV27" s="36">
        <f t="shared" si="11"/>
        <v>60014</v>
      </c>
      <c r="AW27" s="36">
        <f t="shared" si="12"/>
        <v>24006</v>
      </c>
      <c r="AX27" s="96">
        <v>119959.99999999997</v>
      </c>
      <c r="AY27" s="36">
        <f t="shared" si="13"/>
        <v>444035</v>
      </c>
      <c r="AZ27" s="36">
        <f t="shared" si="14"/>
        <v>21600</v>
      </c>
      <c r="BA27" s="36">
        <f t="shared" si="15"/>
        <v>0</v>
      </c>
      <c r="BB27" s="11">
        <v>72</v>
      </c>
      <c r="BC27" s="11">
        <v>0</v>
      </c>
      <c r="BD27" s="11">
        <v>0</v>
      </c>
      <c r="BE27" s="38">
        <f>ROUND((IF(($AT27&lt;=700000),0,IF(((VLOOKUP($AR27,'Loyalty - Effec - 15July'!$B$5:$C$17,2,0)*$AT27)&lt;=120000),(VLOOKUP($AR27,'Loyalty - Effec - 15July'!$B$5:$C$17,2,0)*$AT27),120000))),0)</f>
        <v>0</v>
      </c>
      <c r="BF27" s="38">
        <v>14403</v>
      </c>
      <c r="BG27" s="39">
        <f t="shared" si="16"/>
        <v>480110</v>
      </c>
      <c r="BH27" s="36">
        <f t="shared" si="17"/>
        <v>0</v>
      </c>
      <c r="BI27" s="39">
        <f t="shared" si="18"/>
        <v>0</v>
      </c>
      <c r="BJ27" s="39">
        <f t="shared" si="19"/>
        <v>422435</v>
      </c>
      <c r="BK27" s="39">
        <f t="shared" si="20"/>
        <v>35202.916666666664</v>
      </c>
      <c r="BL27" s="39">
        <f t="shared" si="21"/>
        <v>0</v>
      </c>
      <c r="BM27" s="39">
        <f t="shared" si="22"/>
        <v>0</v>
      </c>
      <c r="BN27" s="39">
        <f t="shared" si="23"/>
        <v>0</v>
      </c>
      <c r="BO27" s="11"/>
      <c r="BP27" s="11"/>
      <c r="BQ27" s="11"/>
      <c r="BR27" s="11"/>
      <c r="BS27" s="11"/>
    </row>
    <row r="28" spans="1:71">
      <c r="A28" s="45" t="s">
        <v>189</v>
      </c>
      <c r="B28" s="11" t="s">
        <v>119</v>
      </c>
      <c r="C28" s="11" t="s">
        <v>80</v>
      </c>
      <c r="D28" s="45" t="s">
        <v>298</v>
      </c>
      <c r="E28" s="11" t="s">
        <v>82</v>
      </c>
      <c r="F28" s="11" t="s">
        <v>95</v>
      </c>
      <c r="G28" s="45" t="s">
        <v>272</v>
      </c>
      <c r="H28" s="11" t="s">
        <v>324</v>
      </c>
      <c r="I28" s="11" t="s">
        <v>399</v>
      </c>
      <c r="J28" s="11"/>
      <c r="K28" s="11"/>
      <c r="L28" s="11"/>
      <c r="M28" s="34" t="s">
        <v>99</v>
      </c>
      <c r="N28" s="11" t="str">
        <f t="shared" si="4"/>
        <v>AC3</v>
      </c>
      <c r="O28" s="35">
        <v>500000</v>
      </c>
      <c r="P28" s="36">
        <f t="shared" si="28"/>
        <v>250000</v>
      </c>
      <c r="Q28" s="35">
        <v>62500</v>
      </c>
      <c r="R28" s="103">
        <v>25000</v>
      </c>
      <c r="S28" s="35">
        <v>125828.00000000001</v>
      </c>
      <c r="T28" s="36">
        <f t="shared" si="27"/>
        <v>463328</v>
      </c>
      <c r="U28" s="36">
        <f t="shared" si="24"/>
        <v>21600</v>
      </c>
      <c r="V28" s="36">
        <v>0</v>
      </c>
      <c r="W28" s="11">
        <v>72</v>
      </c>
      <c r="X28" s="11">
        <v>0</v>
      </c>
      <c r="Y28" s="11">
        <v>0</v>
      </c>
      <c r="Z28" s="11">
        <v>0</v>
      </c>
      <c r="AA28" s="38">
        <v>15000</v>
      </c>
      <c r="AB28" s="39">
        <f t="shared" si="5"/>
        <v>500000</v>
      </c>
      <c r="AC28" s="40">
        <f t="shared" si="6"/>
        <v>0</v>
      </c>
      <c r="AD28" s="41">
        <f t="shared" si="7"/>
        <v>0</v>
      </c>
      <c r="AE28" s="12">
        <f t="shared" si="8"/>
        <v>441728</v>
      </c>
      <c r="AF28" s="12">
        <f t="shared" si="9"/>
        <v>36810.666666666664</v>
      </c>
      <c r="AG28" s="11" t="s">
        <v>83</v>
      </c>
      <c r="AH28" s="11" t="s">
        <v>83</v>
      </c>
      <c r="AI28" s="11" t="s">
        <v>83</v>
      </c>
      <c r="AJ28" s="11" t="s">
        <v>83</v>
      </c>
      <c r="AK28" s="11" t="s">
        <v>83</v>
      </c>
      <c r="AL28" s="11" t="s">
        <v>83</v>
      </c>
      <c r="AM28" s="11"/>
      <c r="AN28" s="11"/>
      <c r="AO28" s="11"/>
      <c r="AP28" s="11"/>
      <c r="AQ28" s="11" t="s">
        <v>85</v>
      </c>
      <c r="AR28" s="11"/>
      <c r="AS28" s="11" t="b">
        <v>0</v>
      </c>
      <c r="AT28" s="36">
        <f t="shared" si="25"/>
        <v>500000</v>
      </c>
      <c r="AU28" s="36">
        <f t="shared" si="10"/>
        <v>250000</v>
      </c>
      <c r="AV28" s="36">
        <f t="shared" si="11"/>
        <v>62500</v>
      </c>
      <c r="AW28" s="36">
        <f t="shared" si="12"/>
        <v>25000</v>
      </c>
      <c r="AX28" s="96">
        <v>125828.00000000001</v>
      </c>
      <c r="AY28" s="36">
        <f t="shared" si="13"/>
        <v>463328</v>
      </c>
      <c r="AZ28" s="36">
        <f t="shared" si="14"/>
        <v>21600</v>
      </c>
      <c r="BA28" s="36">
        <f t="shared" si="15"/>
        <v>0</v>
      </c>
      <c r="BB28" s="11">
        <v>72</v>
      </c>
      <c r="BC28" s="11">
        <v>0</v>
      </c>
      <c r="BD28" s="11">
        <v>0</v>
      </c>
      <c r="BE28" s="38">
        <f>ROUND((IF(($AT28&lt;=700000),0,IF(((VLOOKUP($AR28,'Loyalty - Effec - 15July'!$B$5:$C$17,2,0)*$AT28)&lt;=120000),(VLOOKUP($AR28,'Loyalty - Effec - 15July'!$B$5:$C$17,2,0)*$AT28),120000))),0)</f>
        <v>0</v>
      </c>
      <c r="BF28" s="38">
        <v>15000</v>
      </c>
      <c r="BG28" s="39">
        <f t="shared" si="16"/>
        <v>500000</v>
      </c>
      <c r="BH28" s="36">
        <f t="shared" si="17"/>
        <v>0</v>
      </c>
      <c r="BI28" s="39">
        <f t="shared" si="18"/>
        <v>0</v>
      </c>
      <c r="BJ28" s="39">
        <f t="shared" si="19"/>
        <v>441728</v>
      </c>
      <c r="BK28" s="39">
        <f t="shared" si="20"/>
        <v>36810.666666666664</v>
      </c>
      <c r="BL28" s="39">
        <f t="shared" si="21"/>
        <v>0</v>
      </c>
      <c r="BM28" s="39">
        <f t="shared" si="22"/>
        <v>0</v>
      </c>
      <c r="BN28" s="39">
        <f t="shared" si="23"/>
        <v>0</v>
      </c>
      <c r="BO28" s="11"/>
      <c r="BP28" s="11"/>
      <c r="BQ28" s="11"/>
      <c r="BR28" s="11"/>
      <c r="BS28" s="11"/>
    </row>
    <row r="29" spans="1:71">
      <c r="A29" s="45" t="s">
        <v>165</v>
      </c>
      <c r="B29" s="11" t="s">
        <v>119</v>
      </c>
      <c r="C29" s="11" t="s">
        <v>80</v>
      </c>
      <c r="D29" s="45" t="s">
        <v>298</v>
      </c>
      <c r="E29" s="11" t="s">
        <v>82</v>
      </c>
      <c r="F29" s="11" t="s">
        <v>94</v>
      </c>
      <c r="G29" s="45" t="s">
        <v>248</v>
      </c>
      <c r="H29" s="11" t="s">
        <v>325</v>
      </c>
      <c r="I29" s="11" t="s">
        <v>389</v>
      </c>
      <c r="J29" s="11"/>
      <c r="K29" s="11"/>
      <c r="L29" s="11"/>
      <c r="M29" s="34" t="s">
        <v>101</v>
      </c>
      <c r="N29" s="11" t="str">
        <f t="shared" si="4"/>
        <v>AC5</v>
      </c>
      <c r="O29" s="35">
        <v>1502539</v>
      </c>
      <c r="P29" s="36">
        <f t="shared" si="28"/>
        <v>751270</v>
      </c>
      <c r="Q29" s="35">
        <v>187818</v>
      </c>
      <c r="R29" s="103">
        <v>75127</v>
      </c>
      <c r="S29" s="35">
        <v>316398</v>
      </c>
      <c r="T29" s="36">
        <f t="shared" si="27"/>
        <v>1330613</v>
      </c>
      <c r="U29" s="36">
        <f t="shared" si="24"/>
        <v>21600</v>
      </c>
      <c r="V29" s="36">
        <v>0</v>
      </c>
      <c r="W29" s="11">
        <v>72</v>
      </c>
      <c r="X29" s="11">
        <v>0</v>
      </c>
      <c r="Y29" s="11">
        <v>0</v>
      </c>
      <c r="Z29" s="11">
        <v>75127</v>
      </c>
      <c r="AA29" s="38">
        <v>75127</v>
      </c>
      <c r="AB29" s="39">
        <f t="shared" si="5"/>
        <v>1502539</v>
      </c>
      <c r="AC29" s="40">
        <f t="shared" si="6"/>
        <v>0</v>
      </c>
      <c r="AD29" s="41">
        <f t="shared" si="7"/>
        <v>0</v>
      </c>
      <c r="AE29" s="12">
        <f t="shared" si="8"/>
        <v>1384140</v>
      </c>
      <c r="AF29" s="12">
        <f t="shared" si="9"/>
        <v>115345</v>
      </c>
      <c r="AG29" s="11" t="s">
        <v>83</v>
      </c>
      <c r="AH29" s="11" t="s">
        <v>83</v>
      </c>
      <c r="AI29" s="11" t="s">
        <v>83</v>
      </c>
      <c r="AJ29" s="11" t="s">
        <v>83</v>
      </c>
      <c r="AK29" s="11" t="s">
        <v>83</v>
      </c>
      <c r="AL29" s="11" t="s">
        <v>83</v>
      </c>
      <c r="AM29" s="11"/>
      <c r="AN29" s="11"/>
      <c r="AO29" s="11"/>
      <c r="AP29" s="11"/>
      <c r="AQ29" s="11" t="s">
        <v>85</v>
      </c>
      <c r="AR29" s="11"/>
      <c r="AS29" s="11" t="b">
        <v>0</v>
      </c>
      <c r="AT29" s="36">
        <f t="shared" si="25"/>
        <v>1502539</v>
      </c>
      <c r="AU29" s="36">
        <f t="shared" si="10"/>
        <v>751270</v>
      </c>
      <c r="AV29" s="36">
        <f t="shared" si="11"/>
        <v>187818</v>
      </c>
      <c r="AW29" s="36">
        <f t="shared" si="12"/>
        <v>75127</v>
      </c>
      <c r="AX29" s="96">
        <v>316398</v>
      </c>
      <c r="AY29" s="36">
        <f t="shared" si="13"/>
        <v>1330613</v>
      </c>
      <c r="AZ29" s="36">
        <f t="shared" si="14"/>
        <v>21600</v>
      </c>
      <c r="BA29" s="36">
        <f t="shared" si="15"/>
        <v>0</v>
      </c>
      <c r="BB29" s="11">
        <v>72</v>
      </c>
      <c r="BC29" s="11">
        <v>0</v>
      </c>
      <c r="BD29" s="11">
        <v>0</v>
      </c>
      <c r="BE29" s="38">
        <v>75127</v>
      </c>
      <c r="BF29" s="38">
        <v>75127</v>
      </c>
      <c r="BG29" s="39">
        <f t="shared" si="16"/>
        <v>1502539</v>
      </c>
      <c r="BH29" s="36">
        <f t="shared" si="17"/>
        <v>0</v>
      </c>
      <c r="BI29" s="39">
        <f t="shared" si="18"/>
        <v>0</v>
      </c>
      <c r="BJ29" s="39">
        <f t="shared" si="19"/>
        <v>1384140</v>
      </c>
      <c r="BK29" s="39">
        <f t="shared" si="20"/>
        <v>115345</v>
      </c>
      <c r="BL29" s="39">
        <f t="shared" si="21"/>
        <v>0</v>
      </c>
      <c r="BM29" s="39">
        <f t="shared" si="22"/>
        <v>0</v>
      </c>
      <c r="BN29" s="39">
        <f t="shared" si="23"/>
        <v>0</v>
      </c>
      <c r="BO29" s="11"/>
      <c r="BP29" s="11"/>
      <c r="BQ29" s="11"/>
      <c r="BR29" s="11"/>
      <c r="BS29" s="11"/>
    </row>
    <row r="30" spans="1:71">
      <c r="A30" s="45" t="s">
        <v>179</v>
      </c>
      <c r="B30" s="11" t="s">
        <v>119</v>
      </c>
      <c r="C30" s="11" t="s">
        <v>80</v>
      </c>
      <c r="D30" s="45" t="s">
        <v>298</v>
      </c>
      <c r="E30" s="11" t="s">
        <v>82</v>
      </c>
      <c r="F30" s="11" t="s">
        <v>94</v>
      </c>
      <c r="G30" s="45" t="s">
        <v>262</v>
      </c>
      <c r="H30" s="11" t="s">
        <v>326</v>
      </c>
      <c r="I30" s="11" t="s">
        <v>416</v>
      </c>
      <c r="J30" s="11"/>
      <c r="K30" s="11"/>
      <c r="L30" s="11"/>
      <c r="M30" s="34" t="s">
        <v>98</v>
      </c>
      <c r="N30" s="11" t="str">
        <f t="shared" si="4"/>
        <v>AC2</v>
      </c>
      <c r="O30" s="35">
        <v>301519</v>
      </c>
      <c r="P30" s="36">
        <f t="shared" si="28"/>
        <v>150760</v>
      </c>
      <c r="Q30" s="35">
        <v>37690</v>
      </c>
      <c r="R30" s="103">
        <v>15076</v>
      </c>
      <c r="S30" s="35">
        <v>70290.999999999971</v>
      </c>
      <c r="T30" s="36">
        <f t="shared" si="27"/>
        <v>273817</v>
      </c>
      <c r="U30" s="36">
        <f t="shared" si="24"/>
        <v>21600</v>
      </c>
      <c r="V30" s="36">
        <v>0</v>
      </c>
      <c r="W30" s="11">
        <v>72</v>
      </c>
      <c r="X30" s="11">
        <v>0</v>
      </c>
      <c r="Y30" s="11">
        <v>0</v>
      </c>
      <c r="Z30" s="11">
        <v>0</v>
      </c>
      <c r="AA30" s="38">
        <v>6030</v>
      </c>
      <c r="AB30" s="39">
        <f t="shared" si="5"/>
        <v>301519</v>
      </c>
      <c r="AC30" s="40">
        <f t="shared" si="6"/>
        <v>0</v>
      </c>
      <c r="AD30" s="41">
        <f t="shared" si="7"/>
        <v>0</v>
      </c>
      <c r="AE30" s="12">
        <f t="shared" si="8"/>
        <v>252217</v>
      </c>
      <c r="AF30" s="12">
        <f t="shared" si="9"/>
        <v>21018.083333333332</v>
      </c>
      <c r="AG30" s="11" t="s">
        <v>83</v>
      </c>
      <c r="AH30" s="11" t="s">
        <v>83</v>
      </c>
      <c r="AI30" s="11" t="s">
        <v>83</v>
      </c>
      <c r="AJ30" s="11" t="s">
        <v>83</v>
      </c>
      <c r="AK30" s="11" t="s">
        <v>83</v>
      </c>
      <c r="AL30" s="11" t="s">
        <v>83</v>
      </c>
      <c r="AM30" s="11"/>
      <c r="AN30" s="11"/>
      <c r="AO30" s="11"/>
      <c r="AP30" s="11"/>
      <c r="AQ30" s="11" t="s">
        <v>85</v>
      </c>
      <c r="AR30" s="11"/>
      <c r="AS30" s="11" t="b">
        <v>0</v>
      </c>
      <c r="AT30" s="36">
        <f t="shared" si="25"/>
        <v>301519</v>
      </c>
      <c r="AU30" s="36">
        <f t="shared" si="10"/>
        <v>150760</v>
      </c>
      <c r="AV30" s="36">
        <f t="shared" si="11"/>
        <v>37690</v>
      </c>
      <c r="AW30" s="36">
        <f t="shared" si="12"/>
        <v>15076</v>
      </c>
      <c r="AX30" s="96">
        <v>70290.999999999971</v>
      </c>
      <c r="AY30" s="36">
        <f t="shared" si="13"/>
        <v>273817</v>
      </c>
      <c r="AZ30" s="36">
        <f t="shared" si="14"/>
        <v>21600</v>
      </c>
      <c r="BA30" s="36">
        <f t="shared" si="15"/>
        <v>0</v>
      </c>
      <c r="BB30" s="11">
        <v>72</v>
      </c>
      <c r="BC30" s="11">
        <v>0</v>
      </c>
      <c r="BD30" s="11">
        <v>0</v>
      </c>
      <c r="BE30" s="38">
        <f>ROUND((IF(($AT30&lt;=700000),0,IF(((VLOOKUP($AR30,'Loyalty - Effec - 15July'!$B$5:$C$17,2,0)*$AT30)&lt;=120000),(VLOOKUP($AR30,'Loyalty - Effec - 15July'!$B$5:$C$17,2,0)*$AT30),120000))),0)</f>
        <v>0</v>
      </c>
      <c r="BF30" s="38">
        <v>6030</v>
      </c>
      <c r="BG30" s="39">
        <f t="shared" si="16"/>
        <v>301519</v>
      </c>
      <c r="BH30" s="36">
        <f t="shared" si="17"/>
        <v>0</v>
      </c>
      <c r="BI30" s="39">
        <f t="shared" si="18"/>
        <v>0</v>
      </c>
      <c r="BJ30" s="39">
        <f t="shared" si="19"/>
        <v>252217</v>
      </c>
      <c r="BK30" s="39">
        <f t="shared" si="20"/>
        <v>21018.083333333332</v>
      </c>
      <c r="BL30" s="39">
        <f t="shared" si="21"/>
        <v>0</v>
      </c>
      <c r="BM30" s="39">
        <f t="shared" si="22"/>
        <v>0</v>
      </c>
      <c r="BN30" s="39">
        <f t="shared" si="23"/>
        <v>0</v>
      </c>
      <c r="BO30" s="11"/>
      <c r="BP30" s="11"/>
      <c r="BQ30" s="11"/>
      <c r="BR30" s="11"/>
      <c r="BS30" s="11"/>
    </row>
    <row r="31" spans="1:71">
      <c r="A31" s="45" t="s">
        <v>212</v>
      </c>
      <c r="B31" s="11" t="s">
        <v>119</v>
      </c>
      <c r="C31" s="11" t="s">
        <v>80</v>
      </c>
      <c r="D31" s="45" t="s">
        <v>298</v>
      </c>
      <c r="E31" s="11" t="s">
        <v>82</v>
      </c>
      <c r="F31" s="11" t="s">
        <v>95</v>
      </c>
      <c r="G31" s="45" t="s">
        <v>295</v>
      </c>
      <c r="H31" s="11" t="s">
        <v>327</v>
      </c>
      <c r="I31" s="11">
        <v>0</v>
      </c>
      <c r="J31" s="11"/>
      <c r="K31" s="11"/>
      <c r="L31" s="11"/>
      <c r="M31" s="34" t="s">
        <v>98</v>
      </c>
      <c r="N31" s="11" t="str">
        <f t="shared" si="4"/>
        <v>AC2</v>
      </c>
      <c r="O31" s="35">
        <v>318000</v>
      </c>
      <c r="P31" s="36">
        <f t="shared" si="28"/>
        <v>159000</v>
      </c>
      <c r="Q31" s="35">
        <v>39750</v>
      </c>
      <c r="R31" s="103">
        <v>15900</v>
      </c>
      <c r="S31" s="35">
        <v>75318</v>
      </c>
      <c r="T31" s="36">
        <f t="shared" si="27"/>
        <v>289968</v>
      </c>
      <c r="U31" s="36">
        <f t="shared" si="24"/>
        <v>21600</v>
      </c>
      <c r="V31" s="36">
        <v>0</v>
      </c>
      <c r="W31" s="11">
        <v>72</v>
      </c>
      <c r="X31" s="11">
        <v>0</v>
      </c>
      <c r="Y31" s="11">
        <v>0</v>
      </c>
      <c r="Z31" s="11">
        <v>0</v>
      </c>
      <c r="AA31" s="38">
        <v>6360</v>
      </c>
      <c r="AB31" s="39">
        <f t="shared" si="5"/>
        <v>318000</v>
      </c>
      <c r="AC31" s="40">
        <f t="shared" si="6"/>
        <v>0</v>
      </c>
      <c r="AD31" s="41">
        <f t="shared" si="7"/>
        <v>0</v>
      </c>
      <c r="AE31" s="12">
        <f t="shared" si="8"/>
        <v>268368</v>
      </c>
      <c r="AF31" s="12">
        <f t="shared" si="9"/>
        <v>22364</v>
      </c>
      <c r="AG31" s="11" t="s">
        <v>83</v>
      </c>
      <c r="AH31" s="11" t="s">
        <v>83</v>
      </c>
      <c r="AI31" s="11" t="s">
        <v>83</v>
      </c>
      <c r="AJ31" s="11" t="s">
        <v>83</v>
      </c>
      <c r="AK31" s="11" t="s">
        <v>83</v>
      </c>
      <c r="AL31" s="11" t="s">
        <v>83</v>
      </c>
      <c r="AM31" s="11"/>
      <c r="AN31" s="11"/>
      <c r="AO31" s="11"/>
      <c r="AP31" s="11"/>
      <c r="AQ31" s="11" t="s">
        <v>85</v>
      </c>
      <c r="AR31" s="11"/>
      <c r="AS31" s="11" t="b">
        <v>0</v>
      </c>
      <c r="AT31" s="36">
        <f t="shared" si="25"/>
        <v>318000</v>
      </c>
      <c r="AU31" s="36">
        <f t="shared" si="10"/>
        <v>159000</v>
      </c>
      <c r="AV31" s="36">
        <f t="shared" si="11"/>
        <v>39750</v>
      </c>
      <c r="AW31" s="36">
        <f t="shared" si="12"/>
        <v>15900</v>
      </c>
      <c r="AX31" s="96">
        <v>75318</v>
      </c>
      <c r="AY31" s="36">
        <f t="shared" si="13"/>
        <v>289968</v>
      </c>
      <c r="AZ31" s="36">
        <f t="shared" si="14"/>
        <v>21600</v>
      </c>
      <c r="BA31" s="36">
        <f t="shared" si="15"/>
        <v>0</v>
      </c>
      <c r="BB31" s="11">
        <v>72</v>
      </c>
      <c r="BC31" s="11">
        <v>0</v>
      </c>
      <c r="BD31" s="11">
        <v>0</v>
      </c>
      <c r="BE31" s="38">
        <f>ROUND((IF(($AT31&lt;=700000),0,IF(((VLOOKUP($AR31,'Loyalty - Effec - 15July'!$B$5:$C$17,2,0)*$AT31)&lt;=120000),(VLOOKUP($AR31,'Loyalty - Effec - 15July'!$B$5:$C$17,2,0)*$AT31),120000))),0)</f>
        <v>0</v>
      </c>
      <c r="BF31" s="38">
        <v>6360</v>
      </c>
      <c r="BG31" s="39">
        <f t="shared" si="16"/>
        <v>318000</v>
      </c>
      <c r="BH31" s="36">
        <f t="shared" si="17"/>
        <v>0</v>
      </c>
      <c r="BI31" s="39">
        <f t="shared" si="18"/>
        <v>0</v>
      </c>
      <c r="BJ31" s="39">
        <f t="shared" si="19"/>
        <v>268368</v>
      </c>
      <c r="BK31" s="39">
        <f t="shared" si="20"/>
        <v>22364</v>
      </c>
      <c r="BL31" s="39">
        <f t="shared" si="21"/>
        <v>0</v>
      </c>
      <c r="BM31" s="39">
        <f t="shared" si="22"/>
        <v>0</v>
      </c>
      <c r="BN31" s="39">
        <f t="shared" si="23"/>
        <v>0</v>
      </c>
      <c r="BO31" s="11"/>
      <c r="BP31" s="11"/>
      <c r="BQ31" s="11"/>
      <c r="BR31" s="11"/>
      <c r="BS31" s="11"/>
    </row>
    <row r="32" spans="1:71">
      <c r="A32" s="45" t="s">
        <v>146</v>
      </c>
      <c r="B32" s="11" t="s">
        <v>119</v>
      </c>
      <c r="C32" s="11" t="s">
        <v>80</v>
      </c>
      <c r="D32" s="45" t="s">
        <v>298</v>
      </c>
      <c r="E32" s="11" t="s">
        <v>82</v>
      </c>
      <c r="F32" s="11" t="s">
        <v>94</v>
      </c>
      <c r="G32" s="34" t="s">
        <v>229</v>
      </c>
      <c r="H32" s="11" t="s">
        <v>328</v>
      </c>
      <c r="I32" s="11" t="s">
        <v>382</v>
      </c>
      <c r="J32" s="11"/>
      <c r="K32" s="11"/>
      <c r="L32" s="11"/>
      <c r="M32" s="34" t="s">
        <v>101</v>
      </c>
      <c r="N32" s="11" t="str">
        <f t="shared" si="4"/>
        <v>AC5</v>
      </c>
      <c r="O32" s="35">
        <v>1575174</v>
      </c>
      <c r="P32" s="36">
        <f t="shared" si="28"/>
        <v>787590</v>
      </c>
      <c r="Q32" s="35">
        <v>196898</v>
      </c>
      <c r="R32" s="103">
        <v>78759</v>
      </c>
      <c r="S32" s="35">
        <v>332737</v>
      </c>
      <c r="T32" s="36">
        <f t="shared" si="27"/>
        <v>1395984</v>
      </c>
      <c r="U32" s="36">
        <f t="shared" si="24"/>
        <v>21600</v>
      </c>
      <c r="V32" s="36">
        <v>0</v>
      </c>
      <c r="W32" s="11">
        <v>72</v>
      </c>
      <c r="X32" s="11">
        <v>0</v>
      </c>
      <c r="Y32" s="11">
        <v>0</v>
      </c>
      <c r="Z32" s="11">
        <v>78759</v>
      </c>
      <c r="AA32" s="38">
        <v>78759</v>
      </c>
      <c r="AB32" s="39">
        <f t="shared" si="5"/>
        <v>1575174</v>
      </c>
      <c r="AC32" s="40">
        <f t="shared" si="6"/>
        <v>0</v>
      </c>
      <c r="AD32" s="41">
        <f t="shared" si="7"/>
        <v>0</v>
      </c>
      <c r="AE32" s="12">
        <f t="shared" si="8"/>
        <v>1453143</v>
      </c>
      <c r="AF32" s="12">
        <f t="shared" si="9"/>
        <v>121095.25</v>
      </c>
      <c r="AG32" s="11" t="s">
        <v>83</v>
      </c>
      <c r="AH32" s="11" t="s">
        <v>83</v>
      </c>
      <c r="AI32" s="11" t="s">
        <v>83</v>
      </c>
      <c r="AJ32" s="11" t="s">
        <v>83</v>
      </c>
      <c r="AK32" s="11" t="s">
        <v>83</v>
      </c>
      <c r="AL32" s="11" t="s">
        <v>83</v>
      </c>
      <c r="AM32" s="11"/>
      <c r="AN32" s="11"/>
      <c r="AO32" s="11"/>
      <c r="AP32" s="11"/>
      <c r="AQ32" s="11" t="s">
        <v>85</v>
      </c>
      <c r="AR32" s="11"/>
      <c r="AS32" s="11" t="b">
        <v>0</v>
      </c>
      <c r="AT32" s="36">
        <f t="shared" si="25"/>
        <v>1575174</v>
      </c>
      <c r="AU32" s="36">
        <f t="shared" si="10"/>
        <v>787587</v>
      </c>
      <c r="AV32" s="36">
        <f t="shared" si="11"/>
        <v>196897</v>
      </c>
      <c r="AW32" s="36">
        <f t="shared" si="12"/>
        <v>78759</v>
      </c>
      <c r="AX32" s="96">
        <v>332741</v>
      </c>
      <c r="AY32" s="36">
        <f t="shared" si="13"/>
        <v>1395984</v>
      </c>
      <c r="AZ32" s="36">
        <f t="shared" si="14"/>
        <v>21600</v>
      </c>
      <c r="BA32" s="36">
        <f t="shared" si="15"/>
        <v>0</v>
      </c>
      <c r="BB32" s="11">
        <v>72</v>
      </c>
      <c r="BC32" s="11">
        <v>0</v>
      </c>
      <c r="BD32" s="11">
        <v>0</v>
      </c>
      <c r="BE32" s="38">
        <v>78759</v>
      </c>
      <c r="BF32" s="38">
        <v>78759</v>
      </c>
      <c r="BG32" s="39">
        <f t="shared" si="16"/>
        <v>1575174</v>
      </c>
      <c r="BH32" s="36">
        <f t="shared" si="17"/>
        <v>0</v>
      </c>
      <c r="BI32" s="39">
        <f t="shared" si="18"/>
        <v>0</v>
      </c>
      <c r="BJ32" s="39">
        <f t="shared" si="19"/>
        <v>1453143</v>
      </c>
      <c r="BK32" s="39">
        <f t="shared" si="20"/>
        <v>121095.25</v>
      </c>
      <c r="BL32" s="39">
        <f t="shared" si="21"/>
        <v>0</v>
      </c>
      <c r="BM32" s="39">
        <f t="shared" si="22"/>
        <v>0</v>
      </c>
      <c r="BN32" s="39">
        <f t="shared" si="23"/>
        <v>0</v>
      </c>
      <c r="BO32" s="11"/>
      <c r="BP32" s="11"/>
      <c r="BQ32" s="11"/>
      <c r="BR32" s="11"/>
      <c r="BS32" s="11"/>
    </row>
    <row r="33" spans="1:79">
      <c r="A33" s="45" t="s">
        <v>193</v>
      </c>
      <c r="B33" s="11" t="s">
        <v>119</v>
      </c>
      <c r="C33" s="11" t="s">
        <v>80</v>
      </c>
      <c r="D33" s="45" t="s">
        <v>298</v>
      </c>
      <c r="E33" s="11" t="s">
        <v>82</v>
      </c>
      <c r="F33" s="11" t="s">
        <v>94</v>
      </c>
      <c r="G33" s="45" t="s">
        <v>276</v>
      </c>
      <c r="H33" s="11" t="s">
        <v>329</v>
      </c>
      <c r="I33" s="11" t="s">
        <v>400</v>
      </c>
      <c r="J33" s="11"/>
      <c r="K33" s="11"/>
      <c r="L33" s="11"/>
      <c r="M33" s="34" t="s">
        <v>98</v>
      </c>
      <c r="N33" s="11" t="str">
        <f t="shared" si="4"/>
        <v>AC2</v>
      </c>
      <c r="O33" s="35">
        <v>325000</v>
      </c>
      <c r="P33" s="36">
        <f t="shared" si="28"/>
        <v>162500</v>
      </c>
      <c r="Q33" s="35">
        <v>40625</v>
      </c>
      <c r="R33" s="103">
        <v>16250</v>
      </c>
      <c r="S33" s="35">
        <v>77453.000000000146</v>
      </c>
      <c r="T33" s="36">
        <f t="shared" si="27"/>
        <v>296828.00000000012</v>
      </c>
      <c r="U33" s="36">
        <f t="shared" si="24"/>
        <v>21600</v>
      </c>
      <c r="V33" s="36">
        <v>0</v>
      </c>
      <c r="W33" s="11">
        <v>72</v>
      </c>
      <c r="X33" s="11">
        <v>0</v>
      </c>
      <c r="Y33" s="11">
        <v>0</v>
      </c>
      <c r="Z33" s="11">
        <v>0</v>
      </c>
      <c r="AA33" s="38">
        <v>6500</v>
      </c>
      <c r="AB33" s="39">
        <f t="shared" si="5"/>
        <v>325000.00000000012</v>
      </c>
      <c r="AC33" s="40">
        <f t="shared" si="6"/>
        <v>0</v>
      </c>
      <c r="AD33" s="41">
        <f t="shared" si="7"/>
        <v>0</v>
      </c>
      <c r="AE33" s="12">
        <f t="shared" si="8"/>
        <v>275228.00000000012</v>
      </c>
      <c r="AF33" s="12">
        <f t="shared" si="9"/>
        <v>22935.666666666675</v>
      </c>
      <c r="AG33" s="11" t="s">
        <v>83</v>
      </c>
      <c r="AH33" s="11" t="s">
        <v>83</v>
      </c>
      <c r="AI33" s="11" t="s">
        <v>83</v>
      </c>
      <c r="AJ33" s="11" t="s">
        <v>83</v>
      </c>
      <c r="AK33" s="11" t="s">
        <v>83</v>
      </c>
      <c r="AL33" s="11" t="s">
        <v>83</v>
      </c>
      <c r="AM33" s="11"/>
      <c r="AN33" s="11"/>
      <c r="AO33" s="11"/>
      <c r="AP33" s="11"/>
      <c r="AQ33" s="11" t="s">
        <v>85</v>
      </c>
      <c r="AR33" s="11"/>
      <c r="AS33" s="11" t="b">
        <v>0</v>
      </c>
      <c r="AT33" s="36">
        <f t="shared" si="25"/>
        <v>325000</v>
      </c>
      <c r="AU33" s="36">
        <f t="shared" si="10"/>
        <v>162500</v>
      </c>
      <c r="AV33" s="36">
        <f t="shared" si="11"/>
        <v>40625</v>
      </c>
      <c r="AW33" s="36">
        <f t="shared" si="12"/>
        <v>16250</v>
      </c>
      <c r="AX33" s="96">
        <v>77453.000000000146</v>
      </c>
      <c r="AY33" s="36">
        <f t="shared" si="13"/>
        <v>296828.00000000012</v>
      </c>
      <c r="AZ33" s="36">
        <f t="shared" si="14"/>
        <v>21600</v>
      </c>
      <c r="BA33" s="36">
        <f t="shared" si="15"/>
        <v>0</v>
      </c>
      <c r="BB33" s="11">
        <v>72</v>
      </c>
      <c r="BC33" s="11">
        <v>0</v>
      </c>
      <c r="BD33" s="11">
        <v>0</v>
      </c>
      <c r="BE33" s="38">
        <f>ROUND((IF(($AT33&lt;=700000),0,IF(((VLOOKUP($AR33,'Loyalty - Effec - 15July'!$B$5:$C$17,2,0)*$AT33)&lt;=120000),(VLOOKUP($AR33,'Loyalty - Effec - 15July'!$B$5:$C$17,2,0)*$AT33),120000))),0)</f>
        <v>0</v>
      </c>
      <c r="BF33" s="38">
        <v>6500</v>
      </c>
      <c r="BG33" s="39">
        <f t="shared" si="16"/>
        <v>325000.00000000012</v>
      </c>
      <c r="BH33" s="36">
        <f t="shared" si="17"/>
        <v>0</v>
      </c>
      <c r="BI33" s="39">
        <f t="shared" si="18"/>
        <v>0</v>
      </c>
      <c r="BJ33" s="39">
        <f t="shared" si="19"/>
        <v>275228.00000000012</v>
      </c>
      <c r="BK33" s="39">
        <f t="shared" si="20"/>
        <v>22935.666666666675</v>
      </c>
      <c r="BL33" s="39">
        <f t="shared" si="21"/>
        <v>0</v>
      </c>
      <c r="BM33" s="39">
        <f t="shared" si="22"/>
        <v>0</v>
      </c>
      <c r="BN33" s="39">
        <f t="shared" si="23"/>
        <v>0</v>
      </c>
      <c r="BO33" s="11"/>
      <c r="BP33" s="11"/>
      <c r="BQ33" s="11"/>
      <c r="BR33" s="11"/>
      <c r="BS33" s="11"/>
    </row>
    <row r="34" spans="1:79">
      <c r="A34" s="45" t="s">
        <v>150</v>
      </c>
      <c r="B34" s="11" t="s">
        <v>119</v>
      </c>
      <c r="C34" s="11" t="s">
        <v>80</v>
      </c>
      <c r="D34" s="45" t="s">
        <v>298</v>
      </c>
      <c r="E34" s="11" t="s">
        <v>82</v>
      </c>
      <c r="F34" s="11" t="s">
        <v>94</v>
      </c>
      <c r="G34" s="34" t="s">
        <v>233</v>
      </c>
      <c r="H34" s="11" t="s">
        <v>330</v>
      </c>
      <c r="I34" s="11" t="s">
        <v>384</v>
      </c>
      <c r="J34" s="11"/>
      <c r="K34" s="11"/>
      <c r="L34" s="11"/>
      <c r="M34" s="34" t="s">
        <v>101</v>
      </c>
      <c r="N34" s="11" t="str">
        <f t="shared" si="4"/>
        <v>AC5</v>
      </c>
      <c r="O34" s="35">
        <v>1575672</v>
      </c>
      <c r="P34" s="36">
        <f t="shared" si="28"/>
        <v>787840</v>
      </c>
      <c r="Q34" s="35">
        <v>196960</v>
      </c>
      <c r="R34" s="103">
        <v>78784</v>
      </c>
      <c r="S34" s="35">
        <v>332847.99999999988</v>
      </c>
      <c r="T34" s="36">
        <f t="shared" si="27"/>
        <v>1396432</v>
      </c>
      <c r="U34" s="36">
        <f t="shared" si="24"/>
        <v>21600</v>
      </c>
      <c r="V34" s="36">
        <v>0</v>
      </c>
      <c r="W34" s="11">
        <v>72</v>
      </c>
      <c r="X34" s="11">
        <v>0</v>
      </c>
      <c r="Y34" s="11">
        <v>0</v>
      </c>
      <c r="Z34" s="11">
        <v>78784</v>
      </c>
      <c r="AA34" s="38">
        <v>78784</v>
      </c>
      <c r="AB34" s="39">
        <f t="shared" si="5"/>
        <v>1575672</v>
      </c>
      <c r="AC34" s="40">
        <f t="shared" si="6"/>
        <v>0</v>
      </c>
      <c r="AD34" s="41">
        <f t="shared" si="7"/>
        <v>0</v>
      </c>
      <c r="AE34" s="12">
        <f t="shared" si="8"/>
        <v>1453616</v>
      </c>
      <c r="AF34" s="12">
        <f t="shared" si="9"/>
        <v>121134.66666666667</v>
      </c>
      <c r="AG34" s="11" t="s">
        <v>83</v>
      </c>
      <c r="AH34" s="11" t="s">
        <v>83</v>
      </c>
      <c r="AI34" s="11" t="s">
        <v>83</v>
      </c>
      <c r="AJ34" s="11" t="s">
        <v>83</v>
      </c>
      <c r="AK34" s="11" t="s">
        <v>83</v>
      </c>
      <c r="AL34" s="11" t="s">
        <v>83</v>
      </c>
      <c r="AM34" s="11"/>
      <c r="AN34" s="11"/>
      <c r="AO34" s="11"/>
      <c r="AP34" s="11"/>
      <c r="AQ34" s="11" t="s">
        <v>85</v>
      </c>
      <c r="AR34" s="11"/>
      <c r="AS34" s="11" t="b">
        <v>0</v>
      </c>
      <c r="AT34" s="36">
        <f t="shared" si="25"/>
        <v>1575672</v>
      </c>
      <c r="AU34" s="36">
        <f t="shared" si="10"/>
        <v>787836</v>
      </c>
      <c r="AV34" s="36">
        <f t="shared" si="11"/>
        <v>196959</v>
      </c>
      <c r="AW34" s="36">
        <f t="shared" si="12"/>
        <v>78784</v>
      </c>
      <c r="AX34" s="96">
        <v>332852.99999999988</v>
      </c>
      <c r="AY34" s="36">
        <f t="shared" si="13"/>
        <v>1396432</v>
      </c>
      <c r="AZ34" s="36">
        <f t="shared" si="14"/>
        <v>21600</v>
      </c>
      <c r="BA34" s="36">
        <f t="shared" si="15"/>
        <v>0</v>
      </c>
      <c r="BB34" s="11">
        <v>72</v>
      </c>
      <c r="BC34" s="11">
        <v>0</v>
      </c>
      <c r="BD34" s="11">
        <v>0</v>
      </c>
      <c r="BE34" s="38">
        <v>78784</v>
      </c>
      <c r="BF34" s="38">
        <v>78784</v>
      </c>
      <c r="BG34" s="39">
        <f t="shared" si="16"/>
        <v>1575672</v>
      </c>
      <c r="BH34" s="36">
        <f t="shared" si="17"/>
        <v>0</v>
      </c>
      <c r="BI34" s="39">
        <f t="shared" si="18"/>
        <v>0</v>
      </c>
      <c r="BJ34" s="39">
        <f t="shared" si="19"/>
        <v>1453616</v>
      </c>
      <c r="BK34" s="39">
        <f t="shared" si="20"/>
        <v>121134.66666666667</v>
      </c>
      <c r="BL34" s="39">
        <f t="shared" si="21"/>
        <v>0</v>
      </c>
      <c r="BM34" s="39">
        <f t="shared" si="22"/>
        <v>0</v>
      </c>
      <c r="BN34" s="39">
        <f t="shared" si="23"/>
        <v>0</v>
      </c>
      <c r="BO34" s="11"/>
      <c r="BP34" s="11"/>
      <c r="BQ34" s="11"/>
      <c r="BR34" s="11"/>
      <c r="BS34" s="11"/>
    </row>
    <row r="35" spans="1:79">
      <c r="A35" s="45" t="s">
        <v>147</v>
      </c>
      <c r="B35" s="11" t="s">
        <v>119</v>
      </c>
      <c r="C35" s="11" t="s">
        <v>80</v>
      </c>
      <c r="D35" s="45" t="s">
        <v>298</v>
      </c>
      <c r="E35" s="11" t="s">
        <v>82</v>
      </c>
      <c r="F35" s="11" t="s">
        <v>94</v>
      </c>
      <c r="G35" s="34" t="s">
        <v>230</v>
      </c>
      <c r="H35" s="11" t="s">
        <v>331</v>
      </c>
      <c r="I35" s="11" t="s">
        <v>383</v>
      </c>
      <c r="J35" s="11"/>
      <c r="K35" s="11"/>
      <c r="L35" s="11"/>
      <c r="M35" s="34" t="s">
        <v>99</v>
      </c>
      <c r="N35" s="11" t="str">
        <f t="shared" si="4"/>
        <v>AC3</v>
      </c>
      <c r="O35" s="35">
        <v>826744</v>
      </c>
      <c r="P35" s="36">
        <f t="shared" si="28"/>
        <v>413380</v>
      </c>
      <c r="Q35" s="35">
        <v>103345</v>
      </c>
      <c r="R35" s="103">
        <v>41338</v>
      </c>
      <c r="S35" s="35">
        <v>197404.99999999994</v>
      </c>
      <c r="T35" s="36">
        <f t="shared" si="27"/>
        <v>755468</v>
      </c>
      <c r="U35" s="36">
        <f t="shared" si="24"/>
        <v>21600</v>
      </c>
      <c r="V35" s="36">
        <v>0</v>
      </c>
      <c r="W35" s="11">
        <v>72</v>
      </c>
      <c r="X35" s="11">
        <v>0</v>
      </c>
      <c r="Y35" s="11">
        <v>0</v>
      </c>
      <c r="Z35" s="11">
        <v>24802</v>
      </c>
      <c r="AA35" s="38">
        <v>24802</v>
      </c>
      <c r="AB35" s="39">
        <f t="shared" si="5"/>
        <v>826744</v>
      </c>
      <c r="AC35" s="40">
        <f t="shared" si="6"/>
        <v>0</v>
      </c>
      <c r="AD35" s="41">
        <f t="shared" si="7"/>
        <v>0</v>
      </c>
      <c r="AE35" s="12">
        <f t="shared" si="8"/>
        <v>758670</v>
      </c>
      <c r="AF35" s="12">
        <f t="shared" si="9"/>
        <v>63222.5</v>
      </c>
      <c r="AG35" s="11" t="s">
        <v>83</v>
      </c>
      <c r="AH35" s="11" t="s">
        <v>83</v>
      </c>
      <c r="AI35" s="11" t="s">
        <v>83</v>
      </c>
      <c r="AJ35" s="11" t="s">
        <v>83</v>
      </c>
      <c r="AK35" s="11" t="s">
        <v>83</v>
      </c>
      <c r="AL35" s="11" t="s">
        <v>83</v>
      </c>
      <c r="AM35" s="11"/>
      <c r="AN35" s="11"/>
      <c r="AO35" s="11"/>
      <c r="AP35" s="11"/>
      <c r="AQ35" s="11" t="s">
        <v>85</v>
      </c>
      <c r="AR35" s="11"/>
      <c r="AS35" s="11" t="b">
        <v>0</v>
      </c>
      <c r="AT35" s="36">
        <f t="shared" si="25"/>
        <v>826744</v>
      </c>
      <c r="AU35" s="36">
        <f t="shared" si="10"/>
        <v>413372</v>
      </c>
      <c r="AV35" s="36">
        <f t="shared" si="11"/>
        <v>103343</v>
      </c>
      <c r="AW35" s="36">
        <f t="shared" si="12"/>
        <v>41337</v>
      </c>
      <c r="AX35" s="96">
        <v>197415.99999999994</v>
      </c>
      <c r="AY35" s="36">
        <f t="shared" si="13"/>
        <v>755468</v>
      </c>
      <c r="AZ35" s="36">
        <f t="shared" si="14"/>
        <v>21600</v>
      </c>
      <c r="BA35" s="36">
        <f t="shared" si="15"/>
        <v>0</v>
      </c>
      <c r="BB35" s="11">
        <v>72</v>
      </c>
      <c r="BC35" s="11">
        <v>0</v>
      </c>
      <c r="BD35" s="11">
        <v>0</v>
      </c>
      <c r="BE35" s="38">
        <v>24802</v>
      </c>
      <c r="BF35" s="38">
        <v>24802</v>
      </c>
      <c r="BG35" s="39">
        <f t="shared" si="16"/>
        <v>826744</v>
      </c>
      <c r="BH35" s="36">
        <f t="shared" si="17"/>
        <v>0</v>
      </c>
      <c r="BI35" s="39">
        <f t="shared" si="18"/>
        <v>0</v>
      </c>
      <c r="BJ35" s="39">
        <f t="shared" si="19"/>
        <v>758670</v>
      </c>
      <c r="BK35" s="39">
        <f t="shared" si="20"/>
        <v>63222.5</v>
      </c>
      <c r="BL35" s="39">
        <f t="shared" si="21"/>
        <v>0</v>
      </c>
      <c r="BM35" s="39">
        <f t="shared" si="22"/>
        <v>0</v>
      </c>
      <c r="BN35" s="39">
        <f t="shared" si="23"/>
        <v>0</v>
      </c>
      <c r="BO35" s="11"/>
      <c r="BP35" s="11"/>
      <c r="BQ35" s="11"/>
      <c r="BR35" s="11"/>
      <c r="BS35" s="11"/>
    </row>
    <row r="36" spans="1:79">
      <c r="A36" s="45" t="s">
        <v>174</v>
      </c>
      <c r="B36" s="11" t="s">
        <v>119</v>
      </c>
      <c r="C36" s="11" t="s">
        <v>80</v>
      </c>
      <c r="D36" s="45" t="s">
        <v>298</v>
      </c>
      <c r="E36" s="11" t="s">
        <v>82</v>
      </c>
      <c r="F36" s="11" t="s">
        <v>94</v>
      </c>
      <c r="G36" s="45" t="s">
        <v>257</v>
      </c>
      <c r="H36" s="11" t="s">
        <v>332</v>
      </c>
      <c r="I36" s="11" t="s">
        <v>395</v>
      </c>
      <c r="J36" s="11"/>
      <c r="K36" s="11"/>
      <c r="L36" s="11"/>
      <c r="M36" s="34" t="s">
        <v>99</v>
      </c>
      <c r="N36" s="11" t="str">
        <f t="shared" si="4"/>
        <v>AC3</v>
      </c>
      <c r="O36" s="35">
        <v>1022443</v>
      </c>
      <c r="P36" s="36">
        <f t="shared" si="28"/>
        <v>511230</v>
      </c>
      <c r="Q36" s="35">
        <v>127808</v>
      </c>
      <c r="R36" s="103">
        <v>51123</v>
      </c>
      <c r="S36" s="35">
        <v>249263.99999999994</v>
      </c>
      <c r="T36" s="36">
        <f t="shared" si="27"/>
        <v>939425</v>
      </c>
      <c r="U36" s="36">
        <f t="shared" si="24"/>
        <v>21600</v>
      </c>
      <c r="V36" s="36">
        <v>0</v>
      </c>
      <c r="W36" s="11">
        <v>72</v>
      </c>
      <c r="X36" s="11">
        <v>0</v>
      </c>
      <c r="Y36" s="11">
        <v>0</v>
      </c>
      <c r="Z36" s="11">
        <v>30673</v>
      </c>
      <c r="AA36" s="38">
        <v>30673</v>
      </c>
      <c r="AB36" s="39">
        <f t="shared" si="5"/>
        <v>1022443</v>
      </c>
      <c r="AC36" s="40">
        <f t="shared" si="6"/>
        <v>0</v>
      </c>
      <c r="AD36" s="41">
        <f t="shared" si="7"/>
        <v>0</v>
      </c>
      <c r="AE36" s="12">
        <f t="shared" si="8"/>
        <v>948498</v>
      </c>
      <c r="AF36" s="12">
        <f t="shared" si="9"/>
        <v>79041.5</v>
      </c>
      <c r="AG36" s="11" t="s">
        <v>83</v>
      </c>
      <c r="AH36" s="11" t="s">
        <v>83</v>
      </c>
      <c r="AI36" s="11" t="s">
        <v>83</v>
      </c>
      <c r="AJ36" s="11" t="s">
        <v>83</v>
      </c>
      <c r="AK36" s="11" t="s">
        <v>83</v>
      </c>
      <c r="AL36" s="11" t="s">
        <v>83</v>
      </c>
      <c r="AM36" s="11"/>
      <c r="AN36" s="11"/>
      <c r="AO36" s="11"/>
      <c r="AP36" s="11"/>
      <c r="AQ36" s="11" t="s">
        <v>85</v>
      </c>
      <c r="AR36" s="11"/>
      <c r="AS36" s="11" t="b">
        <v>0</v>
      </c>
      <c r="AT36" s="36">
        <f t="shared" si="25"/>
        <v>1022443</v>
      </c>
      <c r="AU36" s="36">
        <f t="shared" si="10"/>
        <v>511222</v>
      </c>
      <c r="AV36" s="36">
        <f t="shared" si="11"/>
        <v>127806</v>
      </c>
      <c r="AW36" s="36">
        <f t="shared" si="12"/>
        <v>51122</v>
      </c>
      <c r="AX36" s="96">
        <v>249274.99999999994</v>
      </c>
      <c r="AY36" s="36">
        <f t="shared" si="13"/>
        <v>939425</v>
      </c>
      <c r="AZ36" s="36">
        <f t="shared" si="14"/>
        <v>21600</v>
      </c>
      <c r="BA36" s="36">
        <f t="shared" si="15"/>
        <v>0</v>
      </c>
      <c r="BB36" s="11">
        <v>72</v>
      </c>
      <c r="BC36" s="11">
        <v>0</v>
      </c>
      <c r="BD36" s="11">
        <v>0</v>
      </c>
      <c r="BE36" s="38">
        <v>30673</v>
      </c>
      <c r="BF36" s="38">
        <v>30673</v>
      </c>
      <c r="BG36" s="39">
        <f t="shared" si="16"/>
        <v>1022443</v>
      </c>
      <c r="BH36" s="36">
        <f t="shared" si="17"/>
        <v>0</v>
      </c>
      <c r="BI36" s="39">
        <f t="shared" si="18"/>
        <v>0</v>
      </c>
      <c r="BJ36" s="39">
        <f t="shared" si="19"/>
        <v>948498</v>
      </c>
      <c r="BK36" s="39">
        <f t="shared" si="20"/>
        <v>79041.5</v>
      </c>
      <c r="BL36" s="39">
        <f t="shared" si="21"/>
        <v>0</v>
      </c>
      <c r="BM36" s="39">
        <f t="shared" si="22"/>
        <v>0</v>
      </c>
      <c r="BN36" s="39">
        <f t="shared" si="23"/>
        <v>0</v>
      </c>
      <c r="BO36" s="11"/>
      <c r="BP36" s="11"/>
      <c r="BQ36" s="11"/>
      <c r="BR36" s="11"/>
      <c r="BS36" s="11"/>
    </row>
    <row r="37" spans="1:79">
      <c r="A37" s="45" t="s">
        <v>190</v>
      </c>
      <c r="B37" s="11" t="s">
        <v>119</v>
      </c>
      <c r="C37" s="11" t="s">
        <v>80</v>
      </c>
      <c r="D37" s="45" t="s">
        <v>298</v>
      </c>
      <c r="E37" s="11" t="s">
        <v>82</v>
      </c>
      <c r="F37" s="11" t="s">
        <v>94</v>
      </c>
      <c r="G37" s="45" t="s">
        <v>273</v>
      </c>
      <c r="H37" s="11" t="s">
        <v>333</v>
      </c>
      <c r="I37" s="11" t="s">
        <v>399</v>
      </c>
      <c r="J37" s="11"/>
      <c r="K37" s="11"/>
      <c r="L37" s="11"/>
      <c r="M37" s="34" t="s">
        <v>97</v>
      </c>
      <c r="N37" s="11" t="str">
        <f t="shared" ref="N37:N68" si="29">M37</f>
        <v>AC1</v>
      </c>
      <c r="O37" s="35">
        <v>240000</v>
      </c>
      <c r="P37" s="36">
        <f t="shared" si="28"/>
        <v>120000</v>
      </c>
      <c r="Q37" s="35">
        <v>30000</v>
      </c>
      <c r="R37" s="103">
        <v>12000</v>
      </c>
      <c r="S37" s="35">
        <v>49456.000000000015</v>
      </c>
      <c r="T37" s="36">
        <f t="shared" si="27"/>
        <v>211456</v>
      </c>
      <c r="U37" s="36">
        <f t="shared" si="24"/>
        <v>21600</v>
      </c>
      <c r="V37" s="36">
        <v>6872</v>
      </c>
      <c r="W37" s="11">
        <v>72</v>
      </c>
      <c r="X37" s="11">
        <v>0</v>
      </c>
      <c r="Y37" s="11">
        <v>0</v>
      </c>
      <c r="Z37" s="11">
        <v>0</v>
      </c>
      <c r="AA37" s="38">
        <v>0</v>
      </c>
      <c r="AB37" s="39">
        <f t="shared" ref="AB37:AB68" si="30">SUM(T37:AA37)</f>
        <v>240000</v>
      </c>
      <c r="AC37" s="40">
        <f t="shared" ref="AC37:AC68" si="31">ROUND(IF(($T37&lt;=252000),($T37*0.75%),0),2)</f>
        <v>1585.92</v>
      </c>
      <c r="AD37" s="41">
        <f t="shared" ref="AD37:AD68" si="32">O37-AB37</f>
        <v>0</v>
      </c>
      <c r="AE37" s="12">
        <f t="shared" ref="AE37:AE68" si="33">(T37+Z37)-(U37+AC37)</f>
        <v>188270.08000000002</v>
      </c>
      <c r="AF37" s="12">
        <f t="shared" ref="AF37:AF68" si="34">AE37/12</f>
        <v>15689.173333333334</v>
      </c>
      <c r="AG37" s="11" t="s">
        <v>83</v>
      </c>
      <c r="AH37" s="11" t="s">
        <v>83</v>
      </c>
      <c r="AI37" s="11" t="s">
        <v>83</v>
      </c>
      <c r="AJ37" s="11" t="s">
        <v>83</v>
      </c>
      <c r="AK37" s="11" t="s">
        <v>83</v>
      </c>
      <c r="AL37" s="11" t="s">
        <v>83</v>
      </c>
      <c r="AM37" s="11"/>
      <c r="AN37" s="11"/>
      <c r="AO37" s="11"/>
      <c r="AP37" s="11"/>
      <c r="AQ37" s="11" t="s">
        <v>85</v>
      </c>
      <c r="AR37" s="11"/>
      <c r="AS37" s="11" t="b">
        <v>0</v>
      </c>
      <c r="AT37" s="36">
        <f t="shared" ref="AT37:AT68" si="35">O37+(O37*AP37)</f>
        <v>240000</v>
      </c>
      <c r="AU37" s="36">
        <f t="shared" ref="AU37:AU68" si="36">ROUND(AT37*$AU$3,0)</f>
        <v>120000</v>
      </c>
      <c r="AV37" s="36">
        <f t="shared" ref="AV37:AV68" si="37">ROUND(AU37*$AV$3,0)</f>
        <v>30000</v>
      </c>
      <c r="AW37" s="36">
        <f t="shared" ref="AW37:AW68" si="38">ROUND(AU37*$AW$3,0)</f>
        <v>12000</v>
      </c>
      <c r="AX37" s="96">
        <v>49456.000000000015</v>
      </c>
      <c r="AY37" s="36">
        <f t="shared" ref="AY37:AY68" si="39">SUM(AU37:AX37)</f>
        <v>211456</v>
      </c>
      <c r="AZ37" s="36">
        <f t="shared" ref="AZ37:AZ68" si="40">ROUND(IF((AY37-AV37)&gt;180000,21600,(AY37-AV37)*12%),0)</f>
        <v>21600</v>
      </c>
      <c r="BA37" s="36">
        <f t="shared" ref="BA37:BA68" si="41">ROUND(IF(AY37&lt;252001,AY37*0.0325,0),0)</f>
        <v>6872</v>
      </c>
      <c r="BB37" s="11">
        <v>72</v>
      </c>
      <c r="BC37" s="11">
        <v>0</v>
      </c>
      <c r="BD37" s="11">
        <v>0</v>
      </c>
      <c r="BE37" s="38">
        <f>ROUND((IF(($AT37&lt;=700000),0,IF(((VLOOKUP($AR37,'Loyalty - Effec - 15July'!$B$5:$C$17,2,0)*$AT37)&lt;=120000),(VLOOKUP($AR37,'Loyalty - Effec - 15July'!$B$5:$C$17,2,0)*$AT37),120000))),0)</f>
        <v>0</v>
      </c>
      <c r="BF37" s="38">
        <v>0</v>
      </c>
      <c r="BG37" s="39">
        <f t="shared" ref="BG37:BG68" si="42">SUM(AY37:BF37)</f>
        <v>240000</v>
      </c>
      <c r="BH37" s="36">
        <f t="shared" ref="BH37:BH68" si="43">ROUND(IF(AY37&lt;252001,AY37*0.0075,0),0)</f>
        <v>1586</v>
      </c>
      <c r="BI37" s="39">
        <f t="shared" ref="BI37:BI68" si="44">AT37-BG37</f>
        <v>0</v>
      </c>
      <c r="BJ37" s="39">
        <f t="shared" ref="BJ37:BJ68" si="45">(AY37+BE37)-(AZ37+BH37)</f>
        <v>188270</v>
      </c>
      <c r="BK37" s="39">
        <f t="shared" ref="BK37:BK68" si="46">BJ37/12</f>
        <v>15689.166666666666</v>
      </c>
      <c r="BL37" s="39">
        <f t="shared" ref="BL37:BL68" si="47">BG37-AB37</f>
        <v>0</v>
      </c>
      <c r="BM37" s="39">
        <f t="shared" ref="BM37:BM68" si="48">BK37-AF37</f>
        <v>-6.6666666680248454E-3</v>
      </c>
      <c r="BN37" s="39">
        <f t="shared" ref="BN37:BN68" si="49">BK37-AF37</f>
        <v>-6.6666666680248454E-3</v>
      </c>
      <c r="BO37" s="11"/>
      <c r="BP37" s="11"/>
      <c r="BQ37" s="11"/>
      <c r="BR37" s="11"/>
      <c r="BS37" s="11"/>
    </row>
    <row r="38" spans="1:79">
      <c r="A38" s="45" t="s">
        <v>191</v>
      </c>
      <c r="B38" s="11" t="s">
        <v>119</v>
      </c>
      <c r="C38" s="11" t="s">
        <v>80</v>
      </c>
      <c r="D38" s="45" t="s">
        <v>298</v>
      </c>
      <c r="E38" s="11" t="s">
        <v>82</v>
      </c>
      <c r="F38" s="11" t="s">
        <v>95</v>
      </c>
      <c r="G38" s="45" t="s">
        <v>274</v>
      </c>
      <c r="H38" s="11" t="s">
        <v>334</v>
      </c>
      <c r="I38" s="11" t="s">
        <v>400</v>
      </c>
      <c r="J38" s="11"/>
      <c r="K38" s="11"/>
      <c r="L38" s="11"/>
      <c r="M38" s="34" t="s">
        <v>98</v>
      </c>
      <c r="N38" s="11" t="str">
        <f t="shared" si="29"/>
        <v>AC2</v>
      </c>
      <c r="O38" s="35">
        <v>330000</v>
      </c>
      <c r="P38" s="36">
        <f t="shared" si="28"/>
        <v>165000</v>
      </c>
      <c r="Q38" s="35">
        <v>41250</v>
      </c>
      <c r="R38" s="103">
        <v>16500</v>
      </c>
      <c r="S38" s="35">
        <v>78978.000000000015</v>
      </c>
      <c r="T38" s="36">
        <f t="shared" si="27"/>
        <v>301728</v>
      </c>
      <c r="U38" s="36">
        <f t="shared" si="24"/>
        <v>21600</v>
      </c>
      <c r="V38" s="36">
        <v>0</v>
      </c>
      <c r="W38" s="11">
        <v>72</v>
      </c>
      <c r="X38" s="11">
        <v>0</v>
      </c>
      <c r="Y38" s="11">
        <v>0</v>
      </c>
      <c r="Z38" s="11">
        <v>0</v>
      </c>
      <c r="AA38" s="38">
        <v>6600</v>
      </c>
      <c r="AB38" s="39">
        <f t="shared" si="30"/>
        <v>330000</v>
      </c>
      <c r="AC38" s="40">
        <f t="shared" si="31"/>
        <v>0</v>
      </c>
      <c r="AD38" s="41">
        <f t="shared" si="32"/>
        <v>0</v>
      </c>
      <c r="AE38" s="12">
        <f t="shared" si="33"/>
        <v>280128</v>
      </c>
      <c r="AF38" s="12">
        <f t="shared" si="34"/>
        <v>23344</v>
      </c>
      <c r="AG38" s="11" t="s">
        <v>83</v>
      </c>
      <c r="AH38" s="11" t="s">
        <v>83</v>
      </c>
      <c r="AI38" s="11" t="s">
        <v>83</v>
      </c>
      <c r="AJ38" s="11" t="s">
        <v>83</v>
      </c>
      <c r="AK38" s="11" t="s">
        <v>83</v>
      </c>
      <c r="AL38" s="11" t="s">
        <v>83</v>
      </c>
      <c r="AM38" s="11"/>
      <c r="AN38" s="11"/>
      <c r="AO38" s="11"/>
      <c r="AP38" s="11"/>
      <c r="AQ38" s="11" t="s">
        <v>85</v>
      </c>
      <c r="AR38" s="11"/>
      <c r="AS38" s="11" t="b">
        <v>0</v>
      </c>
      <c r="AT38" s="36">
        <f t="shared" si="35"/>
        <v>330000</v>
      </c>
      <c r="AU38" s="36">
        <f t="shared" si="36"/>
        <v>165000</v>
      </c>
      <c r="AV38" s="36">
        <f t="shared" si="37"/>
        <v>41250</v>
      </c>
      <c r="AW38" s="36">
        <f t="shared" si="38"/>
        <v>16500</v>
      </c>
      <c r="AX38" s="96">
        <v>78978.000000000015</v>
      </c>
      <c r="AY38" s="36">
        <f t="shared" si="39"/>
        <v>301728</v>
      </c>
      <c r="AZ38" s="36">
        <f t="shared" si="40"/>
        <v>21600</v>
      </c>
      <c r="BA38" s="36">
        <f t="shared" si="41"/>
        <v>0</v>
      </c>
      <c r="BB38" s="11">
        <v>72</v>
      </c>
      <c r="BC38" s="11">
        <v>0</v>
      </c>
      <c r="BD38" s="11">
        <v>0</v>
      </c>
      <c r="BE38" s="38">
        <f>ROUND((IF(($AT38&lt;=700000),0,IF(((VLOOKUP($AR38,'Loyalty - Effec - 15July'!$B$5:$C$17,2,0)*$AT38)&lt;=120000),(VLOOKUP($AR38,'Loyalty - Effec - 15July'!$B$5:$C$17,2,0)*$AT38),120000))),0)</f>
        <v>0</v>
      </c>
      <c r="BF38" s="38">
        <v>6600</v>
      </c>
      <c r="BG38" s="39">
        <f t="shared" si="42"/>
        <v>330000</v>
      </c>
      <c r="BH38" s="36">
        <f t="shared" si="43"/>
        <v>0</v>
      </c>
      <c r="BI38" s="39">
        <f t="shared" si="44"/>
        <v>0</v>
      </c>
      <c r="BJ38" s="39">
        <f t="shared" si="45"/>
        <v>280128</v>
      </c>
      <c r="BK38" s="39">
        <f t="shared" si="46"/>
        <v>23344</v>
      </c>
      <c r="BL38" s="39">
        <f t="shared" si="47"/>
        <v>0</v>
      </c>
      <c r="BM38" s="39">
        <f t="shared" si="48"/>
        <v>0</v>
      </c>
      <c r="BN38" s="39">
        <f t="shared" si="49"/>
        <v>0</v>
      </c>
      <c r="BO38" s="11"/>
      <c r="BP38" s="11"/>
      <c r="BQ38" s="11"/>
      <c r="BR38" s="11"/>
      <c r="BS38" s="11"/>
    </row>
    <row r="39" spans="1:79">
      <c r="A39" s="45" t="s">
        <v>176</v>
      </c>
      <c r="B39" s="11" t="s">
        <v>119</v>
      </c>
      <c r="C39" s="11" t="s">
        <v>80</v>
      </c>
      <c r="D39" s="45" t="s">
        <v>298</v>
      </c>
      <c r="E39" s="11" t="s">
        <v>82</v>
      </c>
      <c r="F39" s="11" t="s">
        <v>95</v>
      </c>
      <c r="G39" s="45" t="s">
        <v>259</v>
      </c>
      <c r="H39" s="11" t="s">
        <v>335</v>
      </c>
      <c r="I39" s="11" t="s">
        <v>417</v>
      </c>
      <c r="J39" s="11"/>
      <c r="K39" s="11"/>
      <c r="L39" s="11"/>
      <c r="M39" s="34" t="s">
        <v>99</v>
      </c>
      <c r="N39" s="11" t="str">
        <f t="shared" si="29"/>
        <v>AC3</v>
      </c>
      <c r="O39" s="35">
        <v>1135200</v>
      </c>
      <c r="P39" s="36">
        <f t="shared" si="28"/>
        <v>567600</v>
      </c>
      <c r="Q39" s="35">
        <v>141900</v>
      </c>
      <c r="R39" s="103">
        <v>56760</v>
      </c>
      <c r="S39" s="35">
        <v>279156</v>
      </c>
      <c r="T39" s="36">
        <f t="shared" si="27"/>
        <v>1045416</v>
      </c>
      <c r="U39" s="36">
        <f t="shared" si="24"/>
        <v>21600</v>
      </c>
      <c r="V39" s="36">
        <v>0</v>
      </c>
      <c r="W39" s="11">
        <v>72</v>
      </c>
      <c r="X39" s="11">
        <v>0</v>
      </c>
      <c r="Y39" s="11">
        <v>0</v>
      </c>
      <c r="Z39" s="11">
        <v>34056</v>
      </c>
      <c r="AA39" s="38">
        <v>34056</v>
      </c>
      <c r="AB39" s="39">
        <f t="shared" si="30"/>
        <v>1135200</v>
      </c>
      <c r="AC39" s="40">
        <f t="shared" si="31"/>
        <v>0</v>
      </c>
      <c r="AD39" s="41">
        <f t="shared" si="32"/>
        <v>0</v>
      </c>
      <c r="AE39" s="12">
        <f t="shared" si="33"/>
        <v>1057872</v>
      </c>
      <c r="AF39" s="12">
        <f t="shared" si="34"/>
        <v>88156</v>
      </c>
      <c r="AG39" s="11" t="s">
        <v>83</v>
      </c>
      <c r="AH39" s="11" t="s">
        <v>83</v>
      </c>
      <c r="AI39" s="11" t="s">
        <v>83</v>
      </c>
      <c r="AJ39" s="11" t="s">
        <v>83</v>
      </c>
      <c r="AK39" s="11" t="s">
        <v>83</v>
      </c>
      <c r="AL39" s="11" t="s">
        <v>83</v>
      </c>
      <c r="AM39" s="11"/>
      <c r="AN39" s="11"/>
      <c r="AO39" s="11"/>
      <c r="AP39" s="11"/>
      <c r="AQ39" s="11" t="s">
        <v>85</v>
      </c>
      <c r="AR39" s="11"/>
      <c r="AS39" s="11" t="b">
        <v>0</v>
      </c>
      <c r="AT39" s="36">
        <f t="shared" si="35"/>
        <v>1135200</v>
      </c>
      <c r="AU39" s="36">
        <f t="shared" si="36"/>
        <v>567600</v>
      </c>
      <c r="AV39" s="36">
        <f t="shared" si="37"/>
        <v>141900</v>
      </c>
      <c r="AW39" s="36">
        <f t="shared" si="38"/>
        <v>56760</v>
      </c>
      <c r="AX39" s="96">
        <v>279156</v>
      </c>
      <c r="AY39" s="36">
        <f t="shared" si="39"/>
        <v>1045416</v>
      </c>
      <c r="AZ39" s="36">
        <f t="shared" si="40"/>
        <v>21600</v>
      </c>
      <c r="BA39" s="36">
        <f t="shared" si="41"/>
        <v>0</v>
      </c>
      <c r="BB39" s="11">
        <v>72</v>
      </c>
      <c r="BC39" s="11">
        <v>0</v>
      </c>
      <c r="BD39" s="11">
        <v>0</v>
      </c>
      <c r="BE39" s="38">
        <v>34056</v>
      </c>
      <c r="BF39" s="38">
        <v>34056</v>
      </c>
      <c r="BG39" s="39">
        <f t="shared" si="42"/>
        <v>1135200</v>
      </c>
      <c r="BH39" s="36">
        <f t="shared" si="43"/>
        <v>0</v>
      </c>
      <c r="BI39" s="39">
        <f t="shared" si="44"/>
        <v>0</v>
      </c>
      <c r="BJ39" s="39">
        <f t="shared" si="45"/>
        <v>1057872</v>
      </c>
      <c r="BK39" s="39">
        <f t="shared" si="46"/>
        <v>88156</v>
      </c>
      <c r="BL39" s="39">
        <f t="shared" si="47"/>
        <v>0</v>
      </c>
      <c r="BM39" s="39">
        <f t="shared" si="48"/>
        <v>0</v>
      </c>
      <c r="BN39" s="39">
        <f t="shared" si="49"/>
        <v>0</v>
      </c>
      <c r="BO39" s="11"/>
      <c r="BP39" s="11"/>
      <c r="BQ39" s="11"/>
      <c r="BR39" s="11"/>
      <c r="BS39" s="11"/>
    </row>
    <row r="40" spans="1:79">
      <c r="A40" s="45" t="s">
        <v>211</v>
      </c>
      <c r="B40" s="11" t="s">
        <v>119</v>
      </c>
      <c r="C40" s="11" t="s">
        <v>80</v>
      </c>
      <c r="D40" s="45" t="s">
        <v>298</v>
      </c>
      <c r="E40" s="11" t="s">
        <v>82</v>
      </c>
      <c r="F40" s="11" t="s">
        <v>94</v>
      </c>
      <c r="G40" s="45" t="s">
        <v>294</v>
      </c>
      <c r="H40" s="11" t="s">
        <v>327</v>
      </c>
      <c r="I40" s="11">
        <v>0</v>
      </c>
      <c r="J40" s="11"/>
      <c r="K40" s="11"/>
      <c r="L40" s="11"/>
      <c r="M40" s="34" t="s">
        <v>102</v>
      </c>
      <c r="N40" s="11" t="str">
        <f t="shared" si="29"/>
        <v>C1</v>
      </c>
      <c r="O40" s="35">
        <v>2200000</v>
      </c>
      <c r="P40" s="36">
        <f t="shared" si="28"/>
        <v>1100000</v>
      </c>
      <c r="Q40" s="35">
        <v>275000</v>
      </c>
      <c r="R40" s="103">
        <v>110000</v>
      </c>
      <c r="S40" s="35">
        <v>441328.00000000012</v>
      </c>
      <c r="T40" s="36">
        <f t="shared" si="27"/>
        <v>1926328</v>
      </c>
      <c r="U40" s="36">
        <f t="shared" si="24"/>
        <v>21600</v>
      </c>
      <c r="V40" s="36">
        <v>0</v>
      </c>
      <c r="W40" s="11">
        <v>72</v>
      </c>
      <c r="X40" s="11">
        <v>0</v>
      </c>
      <c r="Y40" s="11">
        <v>0</v>
      </c>
      <c r="Z40" s="11">
        <v>120000</v>
      </c>
      <c r="AA40" s="38">
        <v>132000</v>
      </c>
      <c r="AB40" s="39">
        <f t="shared" si="30"/>
        <v>2200000</v>
      </c>
      <c r="AC40" s="40">
        <f t="shared" si="31"/>
        <v>0</v>
      </c>
      <c r="AD40" s="41">
        <f t="shared" si="32"/>
        <v>0</v>
      </c>
      <c r="AE40" s="12">
        <f t="shared" si="33"/>
        <v>2024728</v>
      </c>
      <c r="AF40" s="12">
        <f t="shared" si="34"/>
        <v>168727.33333333334</v>
      </c>
      <c r="AG40" s="11" t="s">
        <v>83</v>
      </c>
      <c r="AH40" s="11" t="s">
        <v>83</v>
      </c>
      <c r="AI40" s="11" t="s">
        <v>83</v>
      </c>
      <c r="AJ40" s="11" t="s">
        <v>83</v>
      </c>
      <c r="AK40" s="11" t="s">
        <v>83</v>
      </c>
      <c r="AL40" s="11" t="s">
        <v>83</v>
      </c>
      <c r="AM40" s="11"/>
      <c r="AN40" s="11"/>
      <c r="AO40" s="11"/>
      <c r="AP40" s="11"/>
      <c r="AQ40" s="11" t="s">
        <v>85</v>
      </c>
      <c r="AR40" s="11"/>
      <c r="AS40" s="11" t="b">
        <v>0</v>
      </c>
      <c r="AT40" s="36">
        <f t="shared" si="35"/>
        <v>2200000</v>
      </c>
      <c r="AU40" s="36">
        <f t="shared" si="36"/>
        <v>1100000</v>
      </c>
      <c r="AV40" s="36">
        <f t="shared" si="37"/>
        <v>275000</v>
      </c>
      <c r="AW40" s="36">
        <f t="shared" si="38"/>
        <v>110000</v>
      </c>
      <c r="AX40" s="96">
        <v>441328.00000000012</v>
      </c>
      <c r="AY40" s="36">
        <f t="shared" si="39"/>
        <v>1926328</v>
      </c>
      <c r="AZ40" s="36">
        <f t="shared" si="40"/>
        <v>21600</v>
      </c>
      <c r="BA40" s="36">
        <f t="shared" si="41"/>
        <v>0</v>
      </c>
      <c r="BB40" s="11">
        <v>72</v>
      </c>
      <c r="BC40" s="11">
        <v>0</v>
      </c>
      <c r="BD40" s="11">
        <v>0</v>
      </c>
      <c r="BE40" s="38">
        <v>120000</v>
      </c>
      <c r="BF40" s="38">
        <v>132000</v>
      </c>
      <c r="BG40" s="39">
        <f t="shared" si="42"/>
        <v>2200000</v>
      </c>
      <c r="BH40" s="36">
        <f t="shared" si="43"/>
        <v>0</v>
      </c>
      <c r="BI40" s="39">
        <f t="shared" si="44"/>
        <v>0</v>
      </c>
      <c r="BJ40" s="39">
        <f t="shared" si="45"/>
        <v>2024728</v>
      </c>
      <c r="BK40" s="39">
        <f t="shared" si="46"/>
        <v>168727.33333333334</v>
      </c>
      <c r="BL40" s="39">
        <f t="shared" si="47"/>
        <v>0</v>
      </c>
      <c r="BM40" s="39">
        <f t="shared" si="48"/>
        <v>0</v>
      </c>
      <c r="BN40" s="39">
        <f t="shared" si="49"/>
        <v>0</v>
      </c>
      <c r="BO40" s="11"/>
      <c r="BP40" s="11"/>
      <c r="BQ40" s="11"/>
      <c r="BR40" s="11"/>
      <c r="BS40" s="11"/>
    </row>
    <row r="41" spans="1:79">
      <c r="A41" s="45" t="s">
        <v>195</v>
      </c>
      <c r="B41" s="11" t="s">
        <v>119</v>
      </c>
      <c r="C41" s="11" t="s">
        <v>80</v>
      </c>
      <c r="D41" s="45" t="s">
        <v>298</v>
      </c>
      <c r="E41" s="11" t="s">
        <v>82</v>
      </c>
      <c r="F41" s="11" t="s">
        <v>95</v>
      </c>
      <c r="G41" s="45" t="s">
        <v>278</v>
      </c>
      <c r="H41" s="11" t="s">
        <v>336</v>
      </c>
      <c r="I41" s="11" t="s">
        <v>401</v>
      </c>
      <c r="J41" s="11"/>
      <c r="K41" s="11"/>
      <c r="L41" s="11"/>
      <c r="M41" s="34" t="s">
        <v>97</v>
      </c>
      <c r="N41" s="11" t="str">
        <f t="shared" si="29"/>
        <v>AC1</v>
      </c>
      <c r="O41" s="35">
        <v>240000</v>
      </c>
      <c r="P41" s="36">
        <f t="shared" si="28"/>
        <v>120000</v>
      </c>
      <c r="Q41" s="35">
        <v>30000</v>
      </c>
      <c r="R41" s="103">
        <v>12000</v>
      </c>
      <c r="S41" s="35">
        <v>49456.000000000007</v>
      </c>
      <c r="T41" s="36">
        <f t="shared" si="27"/>
        <v>211456</v>
      </c>
      <c r="U41" s="36">
        <f t="shared" si="24"/>
        <v>21600</v>
      </c>
      <c r="V41" s="36">
        <v>6872</v>
      </c>
      <c r="W41" s="11">
        <v>72</v>
      </c>
      <c r="X41" s="11">
        <v>0</v>
      </c>
      <c r="Y41" s="11">
        <v>0</v>
      </c>
      <c r="Z41" s="11">
        <v>0</v>
      </c>
      <c r="AA41" s="38">
        <v>0</v>
      </c>
      <c r="AB41" s="39">
        <f t="shared" si="30"/>
        <v>240000</v>
      </c>
      <c r="AC41" s="40">
        <f t="shared" si="31"/>
        <v>1585.92</v>
      </c>
      <c r="AD41" s="41">
        <f t="shared" si="32"/>
        <v>0</v>
      </c>
      <c r="AE41" s="12">
        <f t="shared" si="33"/>
        <v>188270.08000000002</v>
      </c>
      <c r="AF41" s="12">
        <f t="shared" si="34"/>
        <v>15689.173333333334</v>
      </c>
      <c r="AG41" s="11" t="s">
        <v>83</v>
      </c>
      <c r="AH41" s="11" t="s">
        <v>83</v>
      </c>
      <c r="AI41" s="11" t="s">
        <v>83</v>
      </c>
      <c r="AJ41" s="11" t="s">
        <v>83</v>
      </c>
      <c r="AK41" s="11" t="s">
        <v>83</v>
      </c>
      <c r="AL41" s="11" t="s">
        <v>83</v>
      </c>
      <c r="AM41" s="11"/>
      <c r="AN41" s="11"/>
      <c r="AO41" s="11"/>
      <c r="AP41" s="11"/>
      <c r="AQ41" s="11" t="s">
        <v>85</v>
      </c>
      <c r="AR41" s="11"/>
      <c r="AS41" s="11" t="b">
        <v>0</v>
      </c>
      <c r="AT41" s="36">
        <f t="shared" si="35"/>
        <v>240000</v>
      </c>
      <c r="AU41" s="36">
        <f t="shared" si="36"/>
        <v>120000</v>
      </c>
      <c r="AV41" s="36">
        <f t="shared" si="37"/>
        <v>30000</v>
      </c>
      <c r="AW41" s="36">
        <f t="shared" si="38"/>
        <v>12000</v>
      </c>
      <c r="AX41" s="96">
        <v>49456.000000000007</v>
      </c>
      <c r="AY41" s="36">
        <f t="shared" si="39"/>
        <v>211456</v>
      </c>
      <c r="AZ41" s="36">
        <f t="shared" si="40"/>
        <v>21600</v>
      </c>
      <c r="BA41" s="36">
        <f t="shared" si="41"/>
        <v>6872</v>
      </c>
      <c r="BB41" s="11">
        <v>72</v>
      </c>
      <c r="BC41" s="11">
        <v>0</v>
      </c>
      <c r="BD41" s="11">
        <v>0</v>
      </c>
      <c r="BE41" s="38">
        <f>ROUND((IF(($AT41&lt;=700000),0,IF(((VLOOKUP($AR41,'Loyalty - Effec - 15July'!$B$5:$C$17,2,0)*$AT41)&lt;=120000),(VLOOKUP($AR41,'Loyalty - Effec - 15July'!$B$5:$C$17,2,0)*$AT41),120000))),0)</f>
        <v>0</v>
      </c>
      <c r="BF41" s="38">
        <v>0</v>
      </c>
      <c r="BG41" s="39">
        <f t="shared" si="42"/>
        <v>240000</v>
      </c>
      <c r="BH41" s="36">
        <f t="shared" si="43"/>
        <v>1586</v>
      </c>
      <c r="BI41" s="39">
        <f t="shared" si="44"/>
        <v>0</v>
      </c>
      <c r="BJ41" s="39">
        <f t="shared" si="45"/>
        <v>188270</v>
      </c>
      <c r="BK41" s="39">
        <f t="shared" si="46"/>
        <v>15689.166666666666</v>
      </c>
      <c r="BL41" s="39">
        <f t="shared" si="47"/>
        <v>0</v>
      </c>
      <c r="BM41" s="39">
        <f t="shared" si="48"/>
        <v>-6.6666666680248454E-3</v>
      </c>
      <c r="BN41" s="39">
        <f t="shared" si="49"/>
        <v>-6.6666666680248454E-3</v>
      </c>
      <c r="BO41" s="11"/>
      <c r="BP41" s="11"/>
      <c r="BQ41" s="11"/>
      <c r="BR41" s="11"/>
      <c r="BS41" s="11"/>
    </row>
    <row r="42" spans="1:79">
      <c r="A42" s="45" t="s">
        <v>198</v>
      </c>
      <c r="B42" s="11" t="s">
        <v>119</v>
      </c>
      <c r="C42" s="11" t="s">
        <v>80</v>
      </c>
      <c r="D42" s="45" t="s">
        <v>298</v>
      </c>
      <c r="E42" s="11" t="s">
        <v>82</v>
      </c>
      <c r="F42" s="11" t="s">
        <v>95</v>
      </c>
      <c r="G42" s="45" t="s">
        <v>281</v>
      </c>
      <c r="H42" s="11" t="s">
        <v>337</v>
      </c>
      <c r="I42" s="11" t="s">
        <v>401</v>
      </c>
      <c r="J42" s="11"/>
      <c r="K42" s="11"/>
      <c r="L42" s="11"/>
      <c r="M42" s="34" t="s">
        <v>97</v>
      </c>
      <c r="N42" s="11" t="str">
        <f t="shared" si="29"/>
        <v>AC1</v>
      </c>
      <c r="O42" s="35">
        <v>240000</v>
      </c>
      <c r="P42" s="36">
        <f t="shared" si="28"/>
        <v>120000</v>
      </c>
      <c r="Q42" s="35">
        <v>30000</v>
      </c>
      <c r="R42" s="103">
        <v>12000</v>
      </c>
      <c r="S42" s="35">
        <v>49456.000000000007</v>
      </c>
      <c r="T42" s="36">
        <f t="shared" si="27"/>
        <v>211456</v>
      </c>
      <c r="U42" s="36">
        <f t="shared" si="24"/>
        <v>21600</v>
      </c>
      <c r="V42" s="36">
        <v>6872</v>
      </c>
      <c r="W42" s="11">
        <v>72</v>
      </c>
      <c r="X42" s="11">
        <v>0</v>
      </c>
      <c r="Y42" s="11">
        <v>0</v>
      </c>
      <c r="Z42" s="11">
        <v>0</v>
      </c>
      <c r="AA42" s="38">
        <v>0</v>
      </c>
      <c r="AB42" s="39">
        <f t="shared" si="30"/>
        <v>240000</v>
      </c>
      <c r="AC42" s="40">
        <f t="shared" si="31"/>
        <v>1585.92</v>
      </c>
      <c r="AD42" s="41">
        <f t="shared" si="32"/>
        <v>0</v>
      </c>
      <c r="AE42" s="12">
        <f t="shared" si="33"/>
        <v>188270.08000000002</v>
      </c>
      <c r="AF42" s="12">
        <f t="shared" si="34"/>
        <v>15689.173333333334</v>
      </c>
      <c r="AG42" s="11" t="s">
        <v>83</v>
      </c>
      <c r="AH42" s="11" t="s">
        <v>83</v>
      </c>
      <c r="AI42" s="11" t="s">
        <v>83</v>
      </c>
      <c r="AJ42" s="11" t="s">
        <v>83</v>
      </c>
      <c r="AK42" s="11" t="s">
        <v>83</v>
      </c>
      <c r="AL42" s="11" t="s">
        <v>83</v>
      </c>
      <c r="AM42" s="11"/>
      <c r="AN42" s="11"/>
      <c r="AO42" s="11"/>
      <c r="AP42" s="11"/>
      <c r="AQ42" s="11" t="s">
        <v>85</v>
      </c>
      <c r="AR42" s="11"/>
      <c r="AS42" s="11" t="b">
        <v>0</v>
      </c>
      <c r="AT42" s="36">
        <f t="shared" si="35"/>
        <v>240000</v>
      </c>
      <c r="AU42" s="36">
        <f t="shared" si="36"/>
        <v>120000</v>
      </c>
      <c r="AV42" s="36">
        <f t="shared" si="37"/>
        <v>30000</v>
      </c>
      <c r="AW42" s="36">
        <f t="shared" si="38"/>
        <v>12000</v>
      </c>
      <c r="AX42" s="96">
        <v>49456.000000000007</v>
      </c>
      <c r="AY42" s="36">
        <f t="shared" si="39"/>
        <v>211456</v>
      </c>
      <c r="AZ42" s="36">
        <f t="shared" si="40"/>
        <v>21600</v>
      </c>
      <c r="BA42" s="36">
        <f t="shared" si="41"/>
        <v>6872</v>
      </c>
      <c r="BB42" s="11">
        <v>72</v>
      </c>
      <c r="BC42" s="11">
        <v>0</v>
      </c>
      <c r="BD42" s="11">
        <v>0</v>
      </c>
      <c r="BE42" s="38">
        <f>ROUND((IF(($AT42&lt;=700000),0,IF(((VLOOKUP($AR42,'Loyalty - Effec - 15July'!$B$5:$C$17,2,0)*$AT42)&lt;=120000),(VLOOKUP($AR42,'Loyalty - Effec - 15July'!$B$5:$C$17,2,0)*$AT42),120000))),0)</f>
        <v>0</v>
      </c>
      <c r="BF42" s="38">
        <v>0</v>
      </c>
      <c r="BG42" s="39">
        <f t="shared" si="42"/>
        <v>240000</v>
      </c>
      <c r="BH42" s="36">
        <f t="shared" si="43"/>
        <v>1586</v>
      </c>
      <c r="BI42" s="39">
        <f t="shared" si="44"/>
        <v>0</v>
      </c>
      <c r="BJ42" s="39">
        <f t="shared" si="45"/>
        <v>188270</v>
      </c>
      <c r="BK42" s="39">
        <f t="shared" si="46"/>
        <v>15689.166666666666</v>
      </c>
      <c r="BL42" s="39">
        <f t="shared" si="47"/>
        <v>0</v>
      </c>
      <c r="BM42" s="39">
        <f t="shared" si="48"/>
        <v>-6.6666666680248454E-3</v>
      </c>
      <c r="BN42" s="39">
        <f t="shared" si="49"/>
        <v>-6.6666666680248454E-3</v>
      </c>
      <c r="BO42" s="11"/>
      <c r="BP42" s="11"/>
      <c r="BQ42" s="11"/>
      <c r="BR42" s="11"/>
      <c r="BS42" s="11"/>
    </row>
    <row r="43" spans="1:79">
      <c r="A43" s="45" t="s">
        <v>141</v>
      </c>
      <c r="B43" s="11" t="s">
        <v>119</v>
      </c>
      <c r="C43" s="11" t="s">
        <v>80</v>
      </c>
      <c r="D43" s="45" t="s">
        <v>298</v>
      </c>
      <c r="E43" s="11" t="s">
        <v>82</v>
      </c>
      <c r="F43" s="11" t="s">
        <v>94</v>
      </c>
      <c r="G43" s="34" t="s">
        <v>226</v>
      </c>
      <c r="H43" s="11" t="s">
        <v>313</v>
      </c>
      <c r="I43" s="11" t="s">
        <v>380</v>
      </c>
      <c r="J43" s="11"/>
      <c r="K43" s="11"/>
      <c r="L43" s="11"/>
      <c r="M43" s="34" t="s">
        <v>102</v>
      </c>
      <c r="N43" s="11" t="str">
        <f t="shared" si="29"/>
        <v>C1</v>
      </c>
      <c r="O43" s="35">
        <v>2209633</v>
      </c>
      <c r="P43" s="36">
        <f t="shared" si="28"/>
        <v>1104820</v>
      </c>
      <c r="Q43" s="35">
        <v>276205</v>
      </c>
      <c r="R43" s="103">
        <v>110482</v>
      </c>
      <c r="S43" s="35">
        <v>443876</v>
      </c>
      <c r="T43" s="36">
        <f t="shared" si="27"/>
        <v>1935383</v>
      </c>
      <c r="U43" s="36">
        <f t="shared" si="24"/>
        <v>21600</v>
      </c>
      <c r="V43" s="36">
        <v>0</v>
      </c>
      <c r="W43" s="11">
        <v>72</v>
      </c>
      <c r="X43" s="11">
        <v>0</v>
      </c>
      <c r="Y43" s="11">
        <v>0</v>
      </c>
      <c r="Z43" s="11">
        <v>120000</v>
      </c>
      <c r="AA43" s="38">
        <v>132578</v>
      </c>
      <c r="AB43" s="39">
        <f t="shared" si="30"/>
        <v>2209633</v>
      </c>
      <c r="AC43" s="40">
        <f t="shared" si="31"/>
        <v>0</v>
      </c>
      <c r="AD43" s="41">
        <f t="shared" si="32"/>
        <v>0</v>
      </c>
      <c r="AE43" s="12">
        <f t="shared" si="33"/>
        <v>2033783</v>
      </c>
      <c r="AF43" s="12">
        <f t="shared" si="34"/>
        <v>169481.91666666666</v>
      </c>
      <c r="AG43" s="11" t="s">
        <v>83</v>
      </c>
      <c r="AH43" s="11" t="s">
        <v>83</v>
      </c>
      <c r="AI43" s="11" t="s">
        <v>83</v>
      </c>
      <c r="AJ43" s="11" t="s">
        <v>83</v>
      </c>
      <c r="AK43" s="11" t="s">
        <v>83</v>
      </c>
      <c r="AL43" s="11" t="s">
        <v>83</v>
      </c>
      <c r="AM43" s="11"/>
      <c r="AN43" s="11"/>
      <c r="AO43" s="11"/>
      <c r="AP43" s="11"/>
      <c r="AQ43" s="11" t="s">
        <v>85</v>
      </c>
      <c r="AR43" s="11"/>
      <c r="AS43" s="11" t="b">
        <v>0</v>
      </c>
      <c r="AT43" s="36">
        <f t="shared" si="35"/>
        <v>2209633</v>
      </c>
      <c r="AU43" s="36">
        <f t="shared" si="36"/>
        <v>1104817</v>
      </c>
      <c r="AV43" s="36">
        <f t="shared" si="37"/>
        <v>276204</v>
      </c>
      <c r="AW43" s="36">
        <f t="shared" si="38"/>
        <v>110482</v>
      </c>
      <c r="AX43" s="96">
        <v>443880</v>
      </c>
      <c r="AY43" s="36">
        <f t="shared" si="39"/>
        <v>1935383</v>
      </c>
      <c r="AZ43" s="36">
        <f t="shared" si="40"/>
        <v>21600</v>
      </c>
      <c r="BA43" s="36">
        <f t="shared" si="41"/>
        <v>0</v>
      </c>
      <c r="BB43" s="11">
        <v>72</v>
      </c>
      <c r="BC43" s="11">
        <v>0</v>
      </c>
      <c r="BD43" s="11">
        <v>0</v>
      </c>
      <c r="BE43" s="38">
        <v>120000</v>
      </c>
      <c r="BF43" s="38">
        <v>132578</v>
      </c>
      <c r="BG43" s="39">
        <f t="shared" si="42"/>
        <v>2209633</v>
      </c>
      <c r="BH43" s="36">
        <f t="shared" si="43"/>
        <v>0</v>
      </c>
      <c r="BI43" s="39">
        <f t="shared" si="44"/>
        <v>0</v>
      </c>
      <c r="BJ43" s="39">
        <f t="shared" si="45"/>
        <v>2033783</v>
      </c>
      <c r="BK43" s="39">
        <f t="shared" si="46"/>
        <v>169481.91666666666</v>
      </c>
      <c r="BL43" s="39">
        <f t="shared" si="47"/>
        <v>0</v>
      </c>
      <c r="BM43" s="39">
        <f t="shared" si="48"/>
        <v>0</v>
      </c>
      <c r="BN43" s="39">
        <f t="shared" si="49"/>
        <v>0</v>
      </c>
      <c r="BO43" s="11"/>
      <c r="BP43" s="11"/>
      <c r="BQ43" s="11"/>
      <c r="BR43" s="11"/>
      <c r="BS43" s="11"/>
    </row>
    <row r="44" spans="1:79">
      <c r="A44" s="45" t="s">
        <v>155</v>
      </c>
      <c r="B44" s="11" t="s">
        <v>119</v>
      </c>
      <c r="C44" s="11" t="s">
        <v>80</v>
      </c>
      <c r="D44" s="45" t="s">
        <v>298</v>
      </c>
      <c r="E44" s="11" t="s">
        <v>82</v>
      </c>
      <c r="F44" s="11" t="s">
        <v>94</v>
      </c>
      <c r="G44" s="34" t="s">
        <v>238</v>
      </c>
      <c r="H44" s="11" t="s">
        <v>338</v>
      </c>
      <c r="I44" s="11" t="s">
        <v>385</v>
      </c>
      <c r="J44" s="11"/>
      <c r="K44" s="11"/>
      <c r="L44" s="11"/>
      <c r="M44" s="34" t="s">
        <v>101</v>
      </c>
      <c r="N44" s="11" t="str">
        <f t="shared" si="29"/>
        <v>AC5</v>
      </c>
      <c r="O44" s="35">
        <v>1751530</v>
      </c>
      <c r="P44" s="36">
        <f t="shared" si="28"/>
        <v>875770</v>
      </c>
      <c r="Q44" s="35">
        <v>218943</v>
      </c>
      <c r="R44" s="103">
        <v>87577</v>
      </c>
      <c r="S44" s="35">
        <v>372414</v>
      </c>
      <c r="T44" s="36">
        <f t="shared" si="27"/>
        <v>1554704</v>
      </c>
      <c r="U44" s="36">
        <f t="shared" si="24"/>
        <v>21600</v>
      </c>
      <c r="V44" s="36">
        <v>0</v>
      </c>
      <c r="W44" s="11">
        <v>72</v>
      </c>
      <c r="X44" s="11">
        <v>0</v>
      </c>
      <c r="Y44" s="11">
        <v>0</v>
      </c>
      <c r="Z44" s="11">
        <v>87577</v>
      </c>
      <c r="AA44" s="38">
        <v>87577</v>
      </c>
      <c r="AB44" s="39">
        <f t="shared" si="30"/>
        <v>1751530</v>
      </c>
      <c r="AC44" s="40">
        <f t="shared" si="31"/>
        <v>0</v>
      </c>
      <c r="AD44" s="41">
        <f t="shared" si="32"/>
        <v>0</v>
      </c>
      <c r="AE44" s="12">
        <f t="shared" si="33"/>
        <v>1620681</v>
      </c>
      <c r="AF44" s="12">
        <f t="shared" si="34"/>
        <v>135056.75</v>
      </c>
      <c r="AG44" s="11" t="s">
        <v>83</v>
      </c>
      <c r="AH44" s="11" t="s">
        <v>83</v>
      </c>
      <c r="AI44" s="11" t="s">
        <v>83</v>
      </c>
      <c r="AJ44" s="11" t="s">
        <v>83</v>
      </c>
      <c r="AK44" s="11" t="s">
        <v>83</v>
      </c>
      <c r="AL44" s="11" t="s">
        <v>83</v>
      </c>
      <c r="AM44" s="11"/>
      <c r="AN44" s="11"/>
      <c r="AO44" s="11"/>
      <c r="AP44" s="11"/>
      <c r="AQ44" s="11" t="s">
        <v>85</v>
      </c>
      <c r="AR44" s="11"/>
      <c r="AS44" s="11" t="b">
        <v>0</v>
      </c>
      <c r="AT44" s="36">
        <f t="shared" si="35"/>
        <v>1751530</v>
      </c>
      <c r="AU44" s="36">
        <f t="shared" si="36"/>
        <v>875765</v>
      </c>
      <c r="AV44" s="36">
        <f t="shared" si="37"/>
        <v>218941</v>
      </c>
      <c r="AW44" s="36">
        <f t="shared" si="38"/>
        <v>87577</v>
      </c>
      <c r="AX44" s="96">
        <v>372421</v>
      </c>
      <c r="AY44" s="36">
        <f t="shared" si="39"/>
        <v>1554704</v>
      </c>
      <c r="AZ44" s="36">
        <f t="shared" si="40"/>
        <v>21600</v>
      </c>
      <c r="BA44" s="36">
        <f t="shared" si="41"/>
        <v>0</v>
      </c>
      <c r="BB44" s="11">
        <v>72</v>
      </c>
      <c r="BC44" s="11">
        <v>0</v>
      </c>
      <c r="BD44" s="11">
        <v>0</v>
      </c>
      <c r="BE44" s="38">
        <v>87577</v>
      </c>
      <c r="BF44" s="38">
        <v>87577</v>
      </c>
      <c r="BG44" s="39">
        <f t="shared" si="42"/>
        <v>1751530</v>
      </c>
      <c r="BH44" s="36">
        <f t="shared" si="43"/>
        <v>0</v>
      </c>
      <c r="BI44" s="39">
        <f t="shared" si="44"/>
        <v>0</v>
      </c>
      <c r="BJ44" s="39">
        <f t="shared" si="45"/>
        <v>1620681</v>
      </c>
      <c r="BK44" s="39">
        <f t="shared" si="46"/>
        <v>135056.75</v>
      </c>
      <c r="BL44" s="39">
        <f t="shared" si="47"/>
        <v>0</v>
      </c>
      <c r="BM44" s="39">
        <f t="shared" si="48"/>
        <v>0</v>
      </c>
      <c r="BN44" s="39">
        <f t="shared" si="49"/>
        <v>0</v>
      </c>
      <c r="BO44" s="11"/>
      <c r="BP44" s="11"/>
      <c r="BQ44" s="11"/>
      <c r="BR44" s="11"/>
      <c r="BS44" s="11"/>
    </row>
    <row r="45" spans="1:79">
      <c r="A45" s="45" t="s">
        <v>166</v>
      </c>
      <c r="B45" s="11" t="s">
        <v>119</v>
      </c>
      <c r="C45" s="11" t="s">
        <v>80</v>
      </c>
      <c r="D45" s="45" t="s">
        <v>298</v>
      </c>
      <c r="E45" s="11" t="s">
        <v>82</v>
      </c>
      <c r="F45" s="11" t="s">
        <v>94</v>
      </c>
      <c r="G45" s="45" t="s">
        <v>249</v>
      </c>
      <c r="H45" s="11" t="s">
        <v>339</v>
      </c>
      <c r="I45" s="11" t="s">
        <v>389</v>
      </c>
      <c r="J45" s="11"/>
      <c r="K45" s="11"/>
      <c r="L45" s="11"/>
      <c r="M45" s="34" t="s">
        <v>99</v>
      </c>
      <c r="N45" s="11" t="str">
        <f t="shared" si="29"/>
        <v>AC3</v>
      </c>
      <c r="O45" s="35">
        <v>1203393</v>
      </c>
      <c r="P45" s="36">
        <f t="shared" si="28"/>
        <v>601700</v>
      </c>
      <c r="Q45" s="35">
        <v>150425</v>
      </c>
      <c r="R45" s="103">
        <v>60170</v>
      </c>
      <c r="S45" s="35">
        <v>297222</v>
      </c>
      <c r="T45" s="36">
        <f t="shared" si="27"/>
        <v>1109517</v>
      </c>
      <c r="U45" s="36">
        <f t="shared" si="24"/>
        <v>21600</v>
      </c>
      <c r="V45" s="36">
        <v>0</v>
      </c>
      <c r="W45" s="11">
        <v>72</v>
      </c>
      <c r="X45" s="11">
        <v>0</v>
      </c>
      <c r="Y45" s="11">
        <v>0</v>
      </c>
      <c r="Z45" s="11">
        <v>36102</v>
      </c>
      <c r="AA45" s="38">
        <v>36102</v>
      </c>
      <c r="AB45" s="39">
        <f t="shared" si="30"/>
        <v>1203393</v>
      </c>
      <c r="AC45" s="40">
        <f t="shared" si="31"/>
        <v>0</v>
      </c>
      <c r="AD45" s="41">
        <f t="shared" si="32"/>
        <v>0</v>
      </c>
      <c r="AE45" s="12">
        <f t="shared" si="33"/>
        <v>1124019</v>
      </c>
      <c r="AF45" s="12">
        <f t="shared" si="34"/>
        <v>93668.25</v>
      </c>
      <c r="AG45" s="11" t="s">
        <v>83</v>
      </c>
      <c r="AH45" s="11" t="s">
        <v>83</v>
      </c>
      <c r="AI45" s="11" t="s">
        <v>83</v>
      </c>
      <c r="AJ45" s="11" t="s">
        <v>83</v>
      </c>
      <c r="AK45" s="11" t="s">
        <v>83</v>
      </c>
      <c r="AL45" s="11" t="s">
        <v>83</v>
      </c>
      <c r="AM45" s="11"/>
      <c r="AN45" s="11"/>
      <c r="AO45" s="11"/>
      <c r="AP45" s="11"/>
      <c r="AQ45" s="11" t="s">
        <v>85</v>
      </c>
      <c r="AR45" s="11"/>
      <c r="AS45" s="11" t="b">
        <v>0</v>
      </c>
      <c r="AT45" s="36">
        <f t="shared" si="35"/>
        <v>1203393</v>
      </c>
      <c r="AU45" s="36">
        <f t="shared" si="36"/>
        <v>601697</v>
      </c>
      <c r="AV45" s="36">
        <f t="shared" si="37"/>
        <v>150424</v>
      </c>
      <c r="AW45" s="36">
        <f t="shared" si="38"/>
        <v>60170</v>
      </c>
      <c r="AX45" s="96">
        <v>297226</v>
      </c>
      <c r="AY45" s="36">
        <f t="shared" si="39"/>
        <v>1109517</v>
      </c>
      <c r="AZ45" s="36">
        <f t="shared" si="40"/>
        <v>21600</v>
      </c>
      <c r="BA45" s="36">
        <f t="shared" si="41"/>
        <v>0</v>
      </c>
      <c r="BB45" s="11">
        <v>72</v>
      </c>
      <c r="BC45" s="11">
        <v>0</v>
      </c>
      <c r="BD45" s="11">
        <v>0</v>
      </c>
      <c r="BE45" s="38">
        <v>36102</v>
      </c>
      <c r="BF45" s="38">
        <v>36102</v>
      </c>
      <c r="BG45" s="39">
        <f t="shared" si="42"/>
        <v>1203393</v>
      </c>
      <c r="BH45" s="36">
        <f t="shared" si="43"/>
        <v>0</v>
      </c>
      <c r="BI45" s="39">
        <f t="shared" si="44"/>
        <v>0</v>
      </c>
      <c r="BJ45" s="39">
        <f t="shared" si="45"/>
        <v>1124019</v>
      </c>
      <c r="BK45" s="39">
        <f t="shared" si="46"/>
        <v>93668.25</v>
      </c>
      <c r="BL45" s="39">
        <f t="shared" si="47"/>
        <v>0</v>
      </c>
      <c r="BM45" s="39">
        <f t="shared" si="48"/>
        <v>0</v>
      </c>
      <c r="BN45" s="39">
        <f t="shared" si="49"/>
        <v>0</v>
      </c>
      <c r="BO45" s="11"/>
      <c r="BP45" s="11"/>
      <c r="BQ45" s="11"/>
      <c r="BR45" s="11"/>
      <c r="BS45" s="11"/>
    </row>
    <row r="46" spans="1:79">
      <c r="A46" s="45" t="s">
        <v>152</v>
      </c>
      <c r="B46" s="11" t="s">
        <v>119</v>
      </c>
      <c r="C46" s="11" t="s">
        <v>80</v>
      </c>
      <c r="D46" s="45" t="s">
        <v>298</v>
      </c>
      <c r="E46" s="11" t="s">
        <v>82</v>
      </c>
      <c r="F46" s="11" t="s">
        <v>95</v>
      </c>
      <c r="G46" s="34" t="s">
        <v>235</v>
      </c>
      <c r="H46" s="11" t="s">
        <v>340</v>
      </c>
      <c r="I46" s="11" t="s">
        <v>418</v>
      </c>
      <c r="J46" s="11"/>
      <c r="K46" s="11"/>
      <c r="L46" s="11"/>
      <c r="M46" s="34" t="s">
        <v>98</v>
      </c>
      <c r="N46" s="11" t="str">
        <f t="shared" si="29"/>
        <v>AC2</v>
      </c>
      <c r="O46" s="35">
        <v>339583</v>
      </c>
      <c r="P46" s="36">
        <f t="shared" si="28"/>
        <v>169800</v>
      </c>
      <c r="Q46" s="35">
        <v>42450</v>
      </c>
      <c r="R46" s="103">
        <v>16980</v>
      </c>
      <c r="S46" s="35">
        <v>81889</v>
      </c>
      <c r="T46" s="36">
        <f t="shared" si="27"/>
        <v>311119</v>
      </c>
      <c r="U46" s="36">
        <f t="shared" si="24"/>
        <v>21600</v>
      </c>
      <c r="V46" s="36">
        <v>0</v>
      </c>
      <c r="W46" s="11">
        <v>72</v>
      </c>
      <c r="X46" s="11">
        <v>0</v>
      </c>
      <c r="Y46" s="11">
        <v>0</v>
      </c>
      <c r="Z46" s="11">
        <v>0</v>
      </c>
      <c r="AA46" s="38">
        <v>6792</v>
      </c>
      <c r="AB46" s="39">
        <f t="shared" si="30"/>
        <v>339583</v>
      </c>
      <c r="AC46" s="40">
        <f t="shared" si="31"/>
        <v>0</v>
      </c>
      <c r="AD46" s="41">
        <f t="shared" si="32"/>
        <v>0</v>
      </c>
      <c r="AE46" s="12">
        <f t="shared" si="33"/>
        <v>289519</v>
      </c>
      <c r="AF46" s="12">
        <f t="shared" si="34"/>
        <v>24126.583333333332</v>
      </c>
      <c r="AG46" s="11" t="s">
        <v>83</v>
      </c>
      <c r="AH46" s="11" t="s">
        <v>83</v>
      </c>
      <c r="AI46" s="11" t="s">
        <v>83</v>
      </c>
      <c r="AJ46" s="11" t="s">
        <v>83</v>
      </c>
      <c r="AK46" s="11" t="s">
        <v>83</v>
      </c>
      <c r="AL46" s="11" t="s">
        <v>83</v>
      </c>
      <c r="AM46" s="11"/>
      <c r="AN46" s="11"/>
      <c r="AO46" s="11"/>
      <c r="AP46" s="11"/>
      <c r="AQ46" s="11" t="s">
        <v>85</v>
      </c>
      <c r="AR46" s="11"/>
      <c r="AS46" s="11" t="b">
        <v>0</v>
      </c>
      <c r="AT46" s="36">
        <f t="shared" si="35"/>
        <v>339583</v>
      </c>
      <c r="AU46" s="36">
        <f t="shared" si="36"/>
        <v>169792</v>
      </c>
      <c r="AV46" s="36">
        <f t="shared" si="37"/>
        <v>42448</v>
      </c>
      <c r="AW46" s="36">
        <f t="shared" si="38"/>
        <v>16979</v>
      </c>
      <c r="AX46" s="96">
        <v>81900</v>
      </c>
      <c r="AY46" s="36">
        <f t="shared" si="39"/>
        <v>311119</v>
      </c>
      <c r="AZ46" s="36">
        <f t="shared" si="40"/>
        <v>21600</v>
      </c>
      <c r="BA46" s="36">
        <f t="shared" si="41"/>
        <v>0</v>
      </c>
      <c r="BB46" s="11">
        <v>72</v>
      </c>
      <c r="BC46" s="11">
        <v>0</v>
      </c>
      <c r="BD46" s="11">
        <v>0</v>
      </c>
      <c r="BE46" s="38">
        <f>ROUND((IF(($AT46&lt;=700000),0,IF(((VLOOKUP($AR46,'Loyalty - Effec - 15July'!$B$5:$C$17,2,0)*$AT46)&lt;=120000),(VLOOKUP($AR46,'Loyalty - Effec - 15July'!$B$5:$C$17,2,0)*$AT46),120000))),0)</f>
        <v>0</v>
      </c>
      <c r="BF46" s="38">
        <v>6792</v>
      </c>
      <c r="BG46" s="39">
        <f t="shared" si="42"/>
        <v>339583</v>
      </c>
      <c r="BH46" s="36">
        <f t="shared" si="43"/>
        <v>0</v>
      </c>
      <c r="BI46" s="39">
        <f t="shared" si="44"/>
        <v>0</v>
      </c>
      <c r="BJ46" s="39">
        <f t="shared" si="45"/>
        <v>289519</v>
      </c>
      <c r="BK46" s="39">
        <f t="shared" si="46"/>
        <v>24126.583333333332</v>
      </c>
      <c r="BL46" s="39">
        <f t="shared" si="47"/>
        <v>0</v>
      </c>
      <c r="BM46" s="39">
        <f t="shared" si="48"/>
        <v>0</v>
      </c>
      <c r="BN46" s="39">
        <f t="shared" si="49"/>
        <v>0</v>
      </c>
      <c r="BO46" s="11"/>
      <c r="BP46" s="11"/>
      <c r="BQ46" s="11"/>
      <c r="BR46" s="11"/>
      <c r="BS46" s="11"/>
    </row>
    <row r="47" spans="1:79">
      <c r="A47" s="98" t="s">
        <v>118</v>
      </c>
      <c r="B47" s="11" t="s">
        <v>119</v>
      </c>
      <c r="C47" s="11" t="s">
        <v>80</v>
      </c>
      <c r="D47" s="45" t="s">
        <v>81</v>
      </c>
      <c r="E47" s="11" t="s">
        <v>82</v>
      </c>
      <c r="F47" s="11" t="s">
        <v>95</v>
      </c>
      <c r="G47" s="98" t="s">
        <v>120</v>
      </c>
      <c r="H47" s="11" t="s">
        <v>341</v>
      </c>
      <c r="I47" s="11" t="s">
        <v>419</v>
      </c>
      <c r="J47" s="11"/>
      <c r="K47" s="11" t="s">
        <v>87</v>
      </c>
      <c r="L47" s="11"/>
      <c r="M47" s="34" t="s">
        <v>98</v>
      </c>
      <c r="N47" s="11" t="str">
        <f t="shared" si="29"/>
        <v>AC2</v>
      </c>
      <c r="O47" s="36">
        <v>343440</v>
      </c>
      <c r="P47" s="36">
        <f t="shared" si="28"/>
        <v>171720</v>
      </c>
      <c r="Q47" s="36">
        <v>42930</v>
      </c>
      <c r="R47" s="103">
        <v>17172</v>
      </c>
      <c r="S47" s="36">
        <v>83077</v>
      </c>
      <c r="T47" s="36">
        <f t="shared" si="27"/>
        <v>314899</v>
      </c>
      <c r="U47" s="36">
        <f t="shared" si="24"/>
        <v>21600</v>
      </c>
      <c r="V47" s="36">
        <v>0</v>
      </c>
      <c r="W47" s="11">
        <v>72</v>
      </c>
      <c r="X47" s="11">
        <v>0</v>
      </c>
      <c r="Y47" s="11">
        <v>0</v>
      </c>
      <c r="Z47" s="11">
        <v>0</v>
      </c>
      <c r="AA47" s="38">
        <v>6869</v>
      </c>
      <c r="AB47" s="39">
        <f t="shared" si="30"/>
        <v>343440</v>
      </c>
      <c r="AC47" s="40">
        <f t="shared" si="31"/>
        <v>0</v>
      </c>
      <c r="AD47" s="41">
        <f t="shared" si="32"/>
        <v>0</v>
      </c>
      <c r="AE47" s="12">
        <f t="shared" si="33"/>
        <v>293299</v>
      </c>
      <c r="AF47" s="12">
        <f t="shared" si="34"/>
        <v>24441.583333333332</v>
      </c>
      <c r="AG47" s="102" t="s">
        <v>127</v>
      </c>
      <c r="AH47" s="102" t="s">
        <v>128</v>
      </c>
      <c r="AI47" s="42">
        <v>2.69</v>
      </c>
      <c r="AJ47" s="11">
        <v>2.5</v>
      </c>
      <c r="AK47" s="11">
        <v>2.4</v>
      </c>
      <c r="AL47" s="11">
        <v>3</v>
      </c>
      <c r="AM47" s="65">
        <f>IF($AL47=4,VLOOKUP($AR47,'Loyalty Incentive v1'!$L$3:$Q$15,2,FALSE),
IF($AL47=3,VLOOKUP($AR47,'Loyalty Incentive v1'!$L$3:$Q$15,3,FALSE),
IF($AL47=2,VLOOKUP($AR47,'Loyalty Incentive v1'!$L$3:$Q$15,4,FALSE),
IF($AL47=1,VLOOKUP($AR47,'Loyalty Incentive v1'!$L$3:$Q$15,5,FALSE),
IF($AL47=0,VLOOKUP($AR47,'Loyalty Incentive v1'!$L$3:$Q$15,6,FALSE),0)))))</f>
        <v>0.151</v>
      </c>
      <c r="AN47" s="65">
        <f>IFERROR(IF(I47&gt;="1",AM47,VLOOKUP(VALUE(I47),'Loyalty - Effec - 15July'!$I$5:$J$16,2,0)*AM47),0)</f>
        <v>0.151</v>
      </c>
      <c r="AO47" s="65">
        <v>-5.8999999999999997E-2</v>
      </c>
      <c r="AP47" s="65">
        <f>AN47+AO47</f>
        <v>9.1999999999999998E-2</v>
      </c>
      <c r="AQ47" s="11" t="str">
        <f>IF((N47=AR47),"No","Yes")</f>
        <v>No</v>
      </c>
      <c r="AR47" s="11" t="str">
        <f>N47</f>
        <v>AC2</v>
      </c>
      <c r="AS47" s="11" t="b">
        <f>AR47=M47</f>
        <v>1</v>
      </c>
      <c r="AT47" s="36">
        <f t="shared" si="35"/>
        <v>375036.48</v>
      </c>
      <c r="AU47" s="36">
        <f t="shared" si="36"/>
        <v>187518</v>
      </c>
      <c r="AV47" s="36">
        <f t="shared" si="37"/>
        <v>46880</v>
      </c>
      <c r="AW47" s="36">
        <f t="shared" si="38"/>
        <v>18752</v>
      </c>
      <c r="AX47" s="96">
        <v>92713.48</v>
      </c>
      <c r="AY47" s="36">
        <f t="shared" si="39"/>
        <v>345863.48</v>
      </c>
      <c r="AZ47" s="36">
        <f t="shared" si="40"/>
        <v>21600</v>
      </c>
      <c r="BA47" s="36">
        <f t="shared" si="41"/>
        <v>0</v>
      </c>
      <c r="BB47" s="11">
        <v>72</v>
      </c>
      <c r="BC47" s="11">
        <v>0</v>
      </c>
      <c r="BD47" s="11">
        <v>0</v>
      </c>
      <c r="BE47" s="38">
        <f>ROUND((IF(($AT47&lt;=700000),0,IF(((VLOOKUP($AR47,'Loyalty - Effec - 15July'!$B$5:$C$17,2,0)*$AT47)&lt;=120000),(VLOOKUP($AR47,'Loyalty - Effec - 15July'!$B$5:$C$17,2,0)*$AT47),120000))),0)</f>
        <v>0</v>
      </c>
      <c r="BF47" s="38">
        <f>ROUND(VLOOKUP($AR47,'Loyalty - Effec - 15July'!$B$5:$D$17,3,0)*$AT47,0)</f>
        <v>7501</v>
      </c>
      <c r="BG47" s="39">
        <f t="shared" si="42"/>
        <v>375036.48</v>
      </c>
      <c r="BH47" s="36">
        <f t="shared" si="43"/>
        <v>0</v>
      </c>
      <c r="BI47" s="39">
        <f t="shared" si="44"/>
        <v>0</v>
      </c>
      <c r="BJ47" s="39">
        <f t="shared" si="45"/>
        <v>324263.48</v>
      </c>
      <c r="BK47" s="39">
        <f t="shared" si="46"/>
        <v>27021.956666666665</v>
      </c>
      <c r="BL47" s="39">
        <f t="shared" si="47"/>
        <v>31596.479999999981</v>
      </c>
      <c r="BM47" s="39">
        <f t="shared" si="48"/>
        <v>2580.373333333333</v>
      </c>
      <c r="BN47" s="39">
        <f t="shared" si="49"/>
        <v>2580.373333333333</v>
      </c>
      <c r="BO47" s="11"/>
      <c r="BP47" s="11"/>
      <c r="BQ47" s="11"/>
      <c r="BR47" s="11"/>
      <c r="BS47" s="11"/>
      <c r="BW47" s="66">
        <f>BG47-AT47</f>
        <v>0</v>
      </c>
      <c r="CA47" s="66"/>
    </row>
    <row r="48" spans="1:79">
      <c r="A48" s="45" t="s">
        <v>167</v>
      </c>
      <c r="B48" s="11" t="s">
        <v>119</v>
      </c>
      <c r="C48" s="11" t="s">
        <v>80</v>
      </c>
      <c r="D48" s="45" t="s">
        <v>298</v>
      </c>
      <c r="E48" s="11" t="s">
        <v>82</v>
      </c>
      <c r="F48" s="11" t="s">
        <v>95</v>
      </c>
      <c r="G48" s="45" t="s">
        <v>250</v>
      </c>
      <c r="H48" s="11" t="s">
        <v>342</v>
      </c>
      <c r="I48" s="11" t="s">
        <v>390</v>
      </c>
      <c r="J48" s="11"/>
      <c r="K48" s="11"/>
      <c r="L48" s="11"/>
      <c r="M48" s="34" t="s">
        <v>98</v>
      </c>
      <c r="N48" s="11" t="str">
        <f t="shared" si="29"/>
        <v>AC2</v>
      </c>
      <c r="O48" s="35">
        <v>394100</v>
      </c>
      <c r="P48" s="36">
        <f t="shared" si="28"/>
        <v>197050</v>
      </c>
      <c r="Q48" s="35">
        <v>49263</v>
      </c>
      <c r="R48" s="103">
        <v>19705</v>
      </c>
      <c r="S48" s="35">
        <v>98528.000000000029</v>
      </c>
      <c r="T48" s="36">
        <f t="shared" si="27"/>
        <v>364546</v>
      </c>
      <c r="U48" s="36">
        <f t="shared" si="24"/>
        <v>21600</v>
      </c>
      <c r="V48" s="36">
        <v>0</v>
      </c>
      <c r="W48" s="11">
        <v>72</v>
      </c>
      <c r="X48" s="11">
        <v>0</v>
      </c>
      <c r="Y48" s="11">
        <v>0</v>
      </c>
      <c r="Z48" s="11">
        <v>0</v>
      </c>
      <c r="AA48" s="38">
        <v>7882</v>
      </c>
      <c r="AB48" s="39">
        <f t="shared" si="30"/>
        <v>394100</v>
      </c>
      <c r="AC48" s="40">
        <f t="shared" si="31"/>
        <v>0</v>
      </c>
      <c r="AD48" s="41">
        <f t="shared" si="32"/>
        <v>0</v>
      </c>
      <c r="AE48" s="12">
        <f t="shared" si="33"/>
        <v>342946</v>
      </c>
      <c r="AF48" s="12">
        <f t="shared" si="34"/>
        <v>28578.833333333332</v>
      </c>
      <c r="AG48" s="11" t="s">
        <v>83</v>
      </c>
      <c r="AH48" s="11" t="s">
        <v>83</v>
      </c>
      <c r="AI48" s="11" t="s">
        <v>83</v>
      </c>
      <c r="AJ48" s="11" t="s">
        <v>83</v>
      </c>
      <c r="AK48" s="11" t="s">
        <v>83</v>
      </c>
      <c r="AL48" s="11" t="s">
        <v>83</v>
      </c>
      <c r="AM48" s="11"/>
      <c r="AN48" s="11"/>
      <c r="AO48" s="11"/>
      <c r="AP48" s="11"/>
      <c r="AQ48" s="11" t="s">
        <v>85</v>
      </c>
      <c r="AR48" s="11"/>
      <c r="AS48" s="11" t="b">
        <v>0</v>
      </c>
      <c r="AT48" s="36">
        <f t="shared" si="35"/>
        <v>394100</v>
      </c>
      <c r="AU48" s="36">
        <f t="shared" si="36"/>
        <v>197050</v>
      </c>
      <c r="AV48" s="36">
        <f t="shared" si="37"/>
        <v>49263</v>
      </c>
      <c r="AW48" s="36">
        <f t="shared" si="38"/>
        <v>19705</v>
      </c>
      <c r="AX48" s="96">
        <v>98528.000000000029</v>
      </c>
      <c r="AY48" s="36">
        <f t="shared" si="39"/>
        <v>364546</v>
      </c>
      <c r="AZ48" s="36">
        <f t="shared" si="40"/>
        <v>21600</v>
      </c>
      <c r="BA48" s="36">
        <f t="shared" si="41"/>
        <v>0</v>
      </c>
      <c r="BB48" s="11">
        <v>72</v>
      </c>
      <c r="BC48" s="11">
        <v>0</v>
      </c>
      <c r="BD48" s="11">
        <v>0</v>
      </c>
      <c r="BE48" s="38">
        <f>ROUND((IF(($AT48&lt;=700000),0,IF(((VLOOKUP($AR48,'Loyalty - Effec - 15July'!$B$5:$C$17,2,0)*$AT48)&lt;=120000),(VLOOKUP($AR48,'Loyalty - Effec - 15July'!$B$5:$C$17,2,0)*$AT48),120000))),0)</f>
        <v>0</v>
      </c>
      <c r="BF48" s="38">
        <v>7882</v>
      </c>
      <c r="BG48" s="39">
        <f t="shared" si="42"/>
        <v>394100</v>
      </c>
      <c r="BH48" s="36">
        <f t="shared" si="43"/>
        <v>0</v>
      </c>
      <c r="BI48" s="39">
        <f t="shared" si="44"/>
        <v>0</v>
      </c>
      <c r="BJ48" s="39">
        <f t="shared" si="45"/>
        <v>342946</v>
      </c>
      <c r="BK48" s="39">
        <f t="shared" si="46"/>
        <v>28578.833333333332</v>
      </c>
      <c r="BL48" s="39">
        <f t="shared" si="47"/>
        <v>0</v>
      </c>
      <c r="BM48" s="39">
        <f t="shared" si="48"/>
        <v>0</v>
      </c>
      <c r="BN48" s="39">
        <f t="shared" si="49"/>
        <v>0</v>
      </c>
      <c r="BO48" s="11"/>
      <c r="BP48" s="11"/>
      <c r="BQ48" s="11"/>
      <c r="BR48" s="11"/>
      <c r="BS48" s="11"/>
    </row>
    <row r="49" spans="1:71">
      <c r="A49" s="45" t="s">
        <v>184</v>
      </c>
      <c r="B49" s="11" t="s">
        <v>119</v>
      </c>
      <c r="C49" s="11" t="s">
        <v>80</v>
      </c>
      <c r="D49" s="45" t="s">
        <v>298</v>
      </c>
      <c r="E49" s="11" t="s">
        <v>82</v>
      </c>
      <c r="F49" s="11" t="s">
        <v>95</v>
      </c>
      <c r="G49" s="45" t="s">
        <v>267</v>
      </c>
      <c r="H49" s="11" t="s">
        <v>343</v>
      </c>
      <c r="I49" s="11" t="s">
        <v>397</v>
      </c>
      <c r="J49" s="11"/>
      <c r="K49" s="11"/>
      <c r="L49" s="11"/>
      <c r="M49" s="34" t="s">
        <v>98</v>
      </c>
      <c r="N49" s="11" t="str">
        <f t="shared" si="29"/>
        <v>AC2</v>
      </c>
      <c r="O49" s="35">
        <v>400000</v>
      </c>
      <c r="P49" s="36">
        <f t="shared" si="28"/>
        <v>200000</v>
      </c>
      <c r="Q49" s="35">
        <v>50000</v>
      </c>
      <c r="R49" s="103">
        <v>20000</v>
      </c>
      <c r="S49" s="35">
        <v>100328.00000000001</v>
      </c>
      <c r="T49" s="36">
        <f t="shared" si="27"/>
        <v>370328</v>
      </c>
      <c r="U49" s="36">
        <f t="shared" si="24"/>
        <v>21600</v>
      </c>
      <c r="V49" s="36">
        <v>0</v>
      </c>
      <c r="W49" s="11">
        <v>72</v>
      </c>
      <c r="X49" s="11">
        <v>0</v>
      </c>
      <c r="Y49" s="11">
        <v>0</v>
      </c>
      <c r="Z49" s="11">
        <v>0</v>
      </c>
      <c r="AA49" s="38">
        <v>8000</v>
      </c>
      <c r="AB49" s="39">
        <f t="shared" si="30"/>
        <v>400000</v>
      </c>
      <c r="AC49" s="40">
        <f t="shared" si="31"/>
        <v>0</v>
      </c>
      <c r="AD49" s="41">
        <f t="shared" si="32"/>
        <v>0</v>
      </c>
      <c r="AE49" s="12">
        <f t="shared" si="33"/>
        <v>348728</v>
      </c>
      <c r="AF49" s="12">
        <f t="shared" si="34"/>
        <v>29060.666666666668</v>
      </c>
      <c r="AG49" s="11" t="s">
        <v>83</v>
      </c>
      <c r="AH49" s="11" t="s">
        <v>83</v>
      </c>
      <c r="AI49" s="11" t="s">
        <v>83</v>
      </c>
      <c r="AJ49" s="11" t="s">
        <v>83</v>
      </c>
      <c r="AK49" s="11" t="s">
        <v>83</v>
      </c>
      <c r="AL49" s="11" t="s">
        <v>83</v>
      </c>
      <c r="AM49" s="11"/>
      <c r="AN49" s="11"/>
      <c r="AO49" s="11"/>
      <c r="AP49" s="11"/>
      <c r="AQ49" s="11" t="s">
        <v>85</v>
      </c>
      <c r="AR49" s="11"/>
      <c r="AS49" s="11" t="b">
        <v>0</v>
      </c>
      <c r="AT49" s="36">
        <f t="shared" si="35"/>
        <v>400000</v>
      </c>
      <c r="AU49" s="36">
        <f t="shared" si="36"/>
        <v>200000</v>
      </c>
      <c r="AV49" s="36">
        <f t="shared" si="37"/>
        <v>50000</v>
      </c>
      <c r="AW49" s="36">
        <f t="shared" si="38"/>
        <v>20000</v>
      </c>
      <c r="AX49" s="96">
        <v>100328.00000000001</v>
      </c>
      <c r="AY49" s="36">
        <f t="shared" si="39"/>
        <v>370328</v>
      </c>
      <c r="AZ49" s="36">
        <f t="shared" si="40"/>
        <v>21600</v>
      </c>
      <c r="BA49" s="36">
        <f t="shared" si="41"/>
        <v>0</v>
      </c>
      <c r="BB49" s="11">
        <v>72</v>
      </c>
      <c r="BC49" s="11">
        <v>0</v>
      </c>
      <c r="BD49" s="11">
        <v>0</v>
      </c>
      <c r="BE49" s="38">
        <f>ROUND((IF(($AT49&lt;=700000),0,IF(((VLOOKUP($AR49,'Loyalty - Effec - 15July'!$B$5:$C$17,2,0)*$AT49)&lt;=120000),(VLOOKUP($AR49,'Loyalty - Effec - 15July'!$B$5:$C$17,2,0)*$AT49),120000))),0)</f>
        <v>0</v>
      </c>
      <c r="BF49" s="38">
        <v>8000</v>
      </c>
      <c r="BG49" s="39">
        <f t="shared" si="42"/>
        <v>400000</v>
      </c>
      <c r="BH49" s="36">
        <f t="shared" si="43"/>
        <v>0</v>
      </c>
      <c r="BI49" s="39">
        <f t="shared" si="44"/>
        <v>0</v>
      </c>
      <c r="BJ49" s="39">
        <f t="shared" si="45"/>
        <v>348728</v>
      </c>
      <c r="BK49" s="39">
        <f t="shared" si="46"/>
        <v>29060.666666666668</v>
      </c>
      <c r="BL49" s="39">
        <f t="shared" si="47"/>
        <v>0</v>
      </c>
      <c r="BM49" s="39">
        <f t="shared" si="48"/>
        <v>0</v>
      </c>
      <c r="BN49" s="39">
        <f t="shared" si="49"/>
        <v>0</v>
      </c>
      <c r="BO49" s="11"/>
      <c r="BP49" s="11"/>
      <c r="BQ49" s="11"/>
      <c r="BR49" s="11"/>
      <c r="BS49" s="11"/>
    </row>
    <row r="50" spans="1:71">
      <c r="A50" s="46" t="s">
        <v>130</v>
      </c>
      <c r="B50" s="11" t="s">
        <v>119</v>
      </c>
      <c r="C50" s="11" t="s">
        <v>80</v>
      </c>
      <c r="D50" s="45" t="s">
        <v>298</v>
      </c>
      <c r="E50" s="11" t="s">
        <v>82</v>
      </c>
      <c r="F50" s="11" t="s">
        <v>95</v>
      </c>
      <c r="G50" s="34" t="s">
        <v>215</v>
      </c>
      <c r="H50" s="11" t="s">
        <v>344</v>
      </c>
      <c r="I50" s="11" t="s">
        <v>420</v>
      </c>
      <c r="J50" s="11"/>
      <c r="K50" s="11"/>
      <c r="L50" s="11"/>
      <c r="M50" s="34" t="s">
        <v>103</v>
      </c>
      <c r="N50" s="11" t="str">
        <f t="shared" si="29"/>
        <v>C2</v>
      </c>
      <c r="O50" s="35">
        <v>2503286</v>
      </c>
      <c r="P50" s="36">
        <f t="shared" si="28"/>
        <v>1251650</v>
      </c>
      <c r="Q50" s="35">
        <v>312913</v>
      </c>
      <c r="R50" s="103">
        <v>125165</v>
      </c>
      <c r="S50" s="35">
        <v>496656</v>
      </c>
      <c r="T50" s="36">
        <f t="shared" si="27"/>
        <v>2186384</v>
      </c>
      <c r="U50" s="36">
        <f t="shared" si="24"/>
        <v>21600</v>
      </c>
      <c r="V50" s="36">
        <v>0</v>
      </c>
      <c r="W50" s="11">
        <v>72</v>
      </c>
      <c r="X50" s="11">
        <v>0</v>
      </c>
      <c r="Y50" s="11">
        <v>0</v>
      </c>
      <c r="Z50" s="11">
        <v>120000</v>
      </c>
      <c r="AA50" s="38">
        <v>175230</v>
      </c>
      <c r="AB50" s="39">
        <f t="shared" si="30"/>
        <v>2503286</v>
      </c>
      <c r="AC50" s="40">
        <f t="shared" si="31"/>
        <v>0</v>
      </c>
      <c r="AD50" s="41">
        <f t="shared" si="32"/>
        <v>0</v>
      </c>
      <c r="AE50" s="12">
        <f t="shared" si="33"/>
        <v>2284784</v>
      </c>
      <c r="AF50" s="12">
        <f t="shared" si="34"/>
        <v>190398.66666666666</v>
      </c>
      <c r="AG50" s="11" t="s">
        <v>83</v>
      </c>
      <c r="AH50" s="11" t="s">
        <v>83</v>
      </c>
      <c r="AI50" s="11" t="s">
        <v>83</v>
      </c>
      <c r="AJ50" s="11" t="s">
        <v>83</v>
      </c>
      <c r="AK50" s="11" t="s">
        <v>83</v>
      </c>
      <c r="AL50" s="11" t="s">
        <v>83</v>
      </c>
      <c r="AM50" s="43"/>
      <c r="AN50" s="43"/>
      <c r="AO50" s="43"/>
      <c r="AP50" s="43"/>
      <c r="AQ50" s="11" t="s">
        <v>85</v>
      </c>
      <c r="AR50" s="11"/>
      <c r="AS50" s="11" t="b">
        <v>0</v>
      </c>
      <c r="AT50" s="36">
        <f t="shared" si="35"/>
        <v>2503286</v>
      </c>
      <c r="AU50" s="36">
        <f t="shared" si="36"/>
        <v>1251643</v>
      </c>
      <c r="AV50" s="36">
        <f t="shared" si="37"/>
        <v>312911</v>
      </c>
      <c r="AW50" s="36">
        <f t="shared" si="38"/>
        <v>125164</v>
      </c>
      <c r="AX50" s="96">
        <v>496666</v>
      </c>
      <c r="AY50" s="36">
        <f t="shared" si="39"/>
        <v>2186384</v>
      </c>
      <c r="AZ50" s="36">
        <f t="shared" si="40"/>
        <v>21600</v>
      </c>
      <c r="BA50" s="36">
        <f t="shared" si="41"/>
        <v>0</v>
      </c>
      <c r="BB50" s="11">
        <v>72</v>
      </c>
      <c r="BC50" s="11">
        <v>0</v>
      </c>
      <c r="BD50" s="11">
        <v>0</v>
      </c>
      <c r="BE50" s="38">
        <v>120000</v>
      </c>
      <c r="BF50" s="38">
        <v>175230</v>
      </c>
      <c r="BG50" s="39">
        <f t="shared" si="42"/>
        <v>2503286</v>
      </c>
      <c r="BH50" s="36">
        <f t="shared" si="43"/>
        <v>0</v>
      </c>
      <c r="BI50" s="39">
        <f t="shared" si="44"/>
        <v>0</v>
      </c>
      <c r="BJ50" s="39">
        <f t="shared" si="45"/>
        <v>2284784</v>
      </c>
      <c r="BK50" s="39">
        <f t="shared" si="46"/>
        <v>190398.66666666666</v>
      </c>
      <c r="BL50" s="39">
        <f t="shared" si="47"/>
        <v>0</v>
      </c>
      <c r="BM50" s="39">
        <f t="shared" si="48"/>
        <v>0</v>
      </c>
      <c r="BN50" s="39">
        <f t="shared" si="49"/>
        <v>0</v>
      </c>
      <c r="BO50" s="11"/>
      <c r="BP50" s="11"/>
      <c r="BQ50" s="11"/>
      <c r="BR50" s="11"/>
      <c r="BS50" s="11"/>
    </row>
    <row r="51" spans="1:71">
      <c r="A51" s="45" t="s">
        <v>183</v>
      </c>
      <c r="B51" s="11" t="s">
        <v>119</v>
      </c>
      <c r="C51" s="11" t="s">
        <v>80</v>
      </c>
      <c r="D51" s="45" t="s">
        <v>298</v>
      </c>
      <c r="E51" s="11" t="s">
        <v>82</v>
      </c>
      <c r="F51" s="11" t="s">
        <v>94</v>
      </c>
      <c r="G51" s="104" t="s">
        <v>266</v>
      </c>
      <c r="H51" s="11" t="s">
        <v>343</v>
      </c>
      <c r="I51" s="11" t="s">
        <v>397</v>
      </c>
      <c r="J51" s="11"/>
      <c r="K51" s="11"/>
      <c r="L51" s="11"/>
      <c r="M51" s="34" t="s">
        <v>103</v>
      </c>
      <c r="N51" s="11" t="str">
        <f t="shared" si="29"/>
        <v>C2</v>
      </c>
      <c r="O51" s="35">
        <v>3300000</v>
      </c>
      <c r="P51" s="36">
        <f t="shared" si="28"/>
        <v>1650000</v>
      </c>
      <c r="Q51" s="35">
        <v>412500</v>
      </c>
      <c r="R51" s="103">
        <v>165000</v>
      </c>
      <c r="S51" s="35">
        <v>699827.99999999988</v>
      </c>
      <c r="T51" s="36">
        <f t="shared" si="27"/>
        <v>2927328</v>
      </c>
      <c r="U51" s="36">
        <f t="shared" si="24"/>
        <v>21600</v>
      </c>
      <c r="V51" s="36">
        <v>0</v>
      </c>
      <c r="W51" s="11">
        <v>72</v>
      </c>
      <c r="X51" s="11">
        <v>0</v>
      </c>
      <c r="Y51" s="11">
        <v>0</v>
      </c>
      <c r="Z51" s="11">
        <v>120000</v>
      </c>
      <c r="AA51" s="38">
        <v>231000</v>
      </c>
      <c r="AB51" s="39">
        <f t="shared" si="30"/>
        <v>3300000</v>
      </c>
      <c r="AC51" s="40">
        <f t="shared" si="31"/>
        <v>0</v>
      </c>
      <c r="AD51" s="41">
        <f t="shared" si="32"/>
        <v>0</v>
      </c>
      <c r="AE51" s="12">
        <f t="shared" si="33"/>
        <v>3025728</v>
      </c>
      <c r="AF51" s="12">
        <f t="shared" si="34"/>
        <v>252144</v>
      </c>
      <c r="AG51" s="11" t="s">
        <v>83</v>
      </c>
      <c r="AH51" s="11" t="s">
        <v>83</v>
      </c>
      <c r="AI51" s="11" t="s">
        <v>83</v>
      </c>
      <c r="AJ51" s="11" t="s">
        <v>83</v>
      </c>
      <c r="AK51" s="11" t="s">
        <v>83</v>
      </c>
      <c r="AL51" s="11" t="s">
        <v>83</v>
      </c>
      <c r="AM51" s="11"/>
      <c r="AN51" s="11"/>
      <c r="AO51" s="11"/>
      <c r="AP51" s="11"/>
      <c r="AQ51" s="11" t="s">
        <v>85</v>
      </c>
      <c r="AR51" s="11"/>
      <c r="AS51" s="11" t="b">
        <v>0</v>
      </c>
      <c r="AT51" s="36">
        <f t="shared" si="35"/>
        <v>3300000</v>
      </c>
      <c r="AU51" s="36">
        <f t="shared" si="36"/>
        <v>1650000</v>
      </c>
      <c r="AV51" s="36">
        <f t="shared" si="37"/>
        <v>412500</v>
      </c>
      <c r="AW51" s="36">
        <f t="shared" si="38"/>
        <v>165000</v>
      </c>
      <c r="AX51" s="96">
        <v>699827.99999999988</v>
      </c>
      <c r="AY51" s="36">
        <f t="shared" si="39"/>
        <v>2927328</v>
      </c>
      <c r="AZ51" s="36">
        <f t="shared" si="40"/>
        <v>21600</v>
      </c>
      <c r="BA51" s="36">
        <f t="shared" si="41"/>
        <v>0</v>
      </c>
      <c r="BB51" s="11">
        <v>72</v>
      </c>
      <c r="BC51" s="11">
        <v>0</v>
      </c>
      <c r="BD51" s="11">
        <v>0</v>
      </c>
      <c r="BE51" s="38">
        <v>120000</v>
      </c>
      <c r="BF51" s="38">
        <v>231000</v>
      </c>
      <c r="BG51" s="39">
        <f t="shared" si="42"/>
        <v>3300000</v>
      </c>
      <c r="BH51" s="36">
        <f t="shared" si="43"/>
        <v>0</v>
      </c>
      <c r="BI51" s="39">
        <f t="shared" si="44"/>
        <v>0</v>
      </c>
      <c r="BJ51" s="39">
        <f t="shared" si="45"/>
        <v>3025728</v>
      </c>
      <c r="BK51" s="39">
        <f t="shared" si="46"/>
        <v>252144</v>
      </c>
      <c r="BL51" s="39">
        <f t="shared" si="47"/>
        <v>0</v>
      </c>
      <c r="BM51" s="39">
        <f t="shared" si="48"/>
        <v>0</v>
      </c>
      <c r="BN51" s="39">
        <f t="shared" si="49"/>
        <v>0</v>
      </c>
      <c r="BO51" s="11"/>
      <c r="BP51" s="11"/>
      <c r="BQ51" s="11"/>
      <c r="BR51" s="11"/>
      <c r="BS51" s="11"/>
    </row>
    <row r="52" spans="1:71">
      <c r="A52" s="45" t="s">
        <v>180</v>
      </c>
      <c r="B52" s="11" t="s">
        <v>119</v>
      </c>
      <c r="C52" s="11" t="s">
        <v>80</v>
      </c>
      <c r="D52" s="45" t="s">
        <v>298</v>
      </c>
      <c r="E52" s="11" t="s">
        <v>82</v>
      </c>
      <c r="F52" s="11" t="s">
        <v>94</v>
      </c>
      <c r="G52" s="45" t="s">
        <v>263</v>
      </c>
      <c r="H52" s="11" t="s">
        <v>326</v>
      </c>
      <c r="I52" s="11" t="s">
        <v>416</v>
      </c>
      <c r="J52" s="11"/>
      <c r="K52" s="11"/>
      <c r="L52" s="11"/>
      <c r="M52" s="34" t="s">
        <v>100</v>
      </c>
      <c r="N52" s="11" t="str">
        <f t="shared" si="29"/>
        <v>AC4</v>
      </c>
      <c r="O52" s="35">
        <v>2016884</v>
      </c>
      <c r="P52" s="36">
        <f t="shared" si="28"/>
        <v>1008450</v>
      </c>
      <c r="Q52" s="35">
        <v>252113</v>
      </c>
      <c r="R52" s="103">
        <v>100845</v>
      </c>
      <c r="S52" s="35">
        <v>472454.00000000012</v>
      </c>
      <c r="T52" s="36">
        <f t="shared" si="27"/>
        <v>1833862</v>
      </c>
      <c r="U52" s="36">
        <f t="shared" si="24"/>
        <v>21600</v>
      </c>
      <c r="V52" s="36">
        <v>0</v>
      </c>
      <c r="W52" s="11">
        <v>72</v>
      </c>
      <c r="X52" s="11">
        <v>0</v>
      </c>
      <c r="Y52" s="11">
        <v>0</v>
      </c>
      <c r="Z52" s="11">
        <v>80675</v>
      </c>
      <c r="AA52" s="38">
        <v>80675</v>
      </c>
      <c r="AB52" s="39">
        <f t="shared" si="30"/>
        <v>2016884</v>
      </c>
      <c r="AC52" s="40">
        <f t="shared" si="31"/>
        <v>0</v>
      </c>
      <c r="AD52" s="41">
        <f t="shared" si="32"/>
        <v>0</v>
      </c>
      <c r="AE52" s="12">
        <f t="shared" si="33"/>
        <v>1892937</v>
      </c>
      <c r="AF52" s="12">
        <f t="shared" si="34"/>
        <v>157744.75</v>
      </c>
      <c r="AG52" s="11" t="s">
        <v>83</v>
      </c>
      <c r="AH52" s="11" t="s">
        <v>83</v>
      </c>
      <c r="AI52" s="11" t="s">
        <v>83</v>
      </c>
      <c r="AJ52" s="11" t="s">
        <v>83</v>
      </c>
      <c r="AK52" s="11" t="s">
        <v>83</v>
      </c>
      <c r="AL52" s="11" t="s">
        <v>83</v>
      </c>
      <c r="AM52" s="11"/>
      <c r="AN52" s="11"/>
      <c r="AO52" s="11"/>
      <c r="AP52" s="11"/>
      <c r="AQ52" s="11" t="s">
        <v>85</v>
      </c>
      <c r="AR52" s="11"/>
      <c r="AS52" s="11" t="b">
        <v>0</v>
      </c>
      <c r="AT52" s="36">
        <f t="shared" si="35"/>
        <v>2016884</v>
      </c>
      <c r="AU52" s="36">
        <f t="shared" si="36"/>
        <v>1008442</v>
      </c>
      <c r="AV52" s="36">
        <f t="shared" si="37"/>
        <v>252111</v>
      </c>
      <c r="AW52" s="36">
        <f t="shared" si="38"/>
        <v>100844</v>
      </c>
      <c r="AX52" s="96">
        <v>472465.00000000012</v>
      </c>
      <c r="AY52" s="36">
        <f t="shared" si="39"/>
        <v>1833862</v>
      </c>
      <c r="AZ52" s="36">
        <f t="shared" si="40"/>
        <v>21600</v>
      </c>
      <c r="BA52" s="36">
        <f t="shared" si="41"/>
        <v>0</v>
      </c>
      <c r="BB52" s="11">
        <v>72</v>
      </c>
      <c r="BC52" s="11">
        <v>0</v>
      </c>
      <c r="BD52" s="11">
        <v>0</v>
      </c>
      <c r="BE52" s="38">
        <v>80675</v>
      </c>
      <c r="BF52" s="38">
        <v>80675</v>
      </c>
      <c r="BG52" s="39">
        <f t="shared" si="42"/>
        <v>2016884</v>
      </c>
      <c r="BH52" s="36">
        <f t="shared" si="43"/>
        <v>0</v>
      </c>
      <c r="BI52" s="39">
        <f t="shared" si="44"/>
        <v>0</v>
      </c>
      <c r="BJ52" s="39">
        <f t="shared" si="45"/>
        <v>1892937</v>
      </c>
      <c r="BK52" s="39">
        <f t="shared" si="46"/>
        <v>157744.75</v>
      </c>
      <c r="BL52" s="39">
        <f t="shared" si="47"/>
        <v>0</v>
      </c>
      <c r="BM52" s="39">
        <f t="shared" si="48"/>
        <v>0</v>
      </c>
      <c r="BN52" s="39">
        <f t="shared" si="49"/>
        <v>0</v>
      </c>
      <c r="BO52" s="11"/>
      <c r="BP52" s="11"/>
      <c r="BQ52" s="11"/>
      <c r="BR52" s="11"/>
      <c r="BS52" s="11"/>
    </row>
    <row r="53" spans="1:71">
      <c r="A53" s="45" t="s">
        <v>157</v>
      </c>
      <c r="B53" s="11" t="s">
        <v>119</v>
      </c>
      <c r="C53" s="11" t="s">
        <v>80</v>
      </c>
      <c r="D53" s="45" t="s">
        <v>298</v>
      </c>
      <c r="E53" s="11" t="s">
        <v>82</v>
      </c>
      <c r="F53" s="11" t="s">
        <v>95</v>
      </c>
      <c r="G53" s="34" t="s">
        <v>240</v>
      </c>
      <c r="H53" s="11" t="s">
        <v>345</v>
      </c>
      <c r="I53" s="11" t="s">
        <v>385</v>
      </c>
      <c r="J53" s="11"/>
      <c r="K53" s="11"/>
      <c r="L53" s="11"/>
      <c r="M53" s="34" t="s">
        <v>99</v>
      </c>
      <c r="N53" s="11" t="str">
        <f t="shared" si="29"/>
        <v>AC3</v>
      </c>
      <c r="O53" s="35">
        <v>1225651</v>
      </c>
      <c r="P53" s="36">
        <f t="shared" si="28"/>
        <v>612830</v>
      </c>
      <c r="Q53" s="35">
        <v>153208</v>
      </c>
      <c r="R53" s="103">
        <v>61283</v>
      </c>
      <c r="S53" s="35">
        <v>303118</v>
      </c>
      <c r="T53" s="36">
        <f t="shared" si="27"/>
        <v>1130439</v>
      </c>
      <c r="U53" s="36">
        <f t="shared" si="24"/>
        <v>21600</v>
      </c>
      <c r="V53" s="36">
        <v>0</v>
      </c>
      <c r="W53" s="11">
        <v>72</v>
      </c>
      <c r="X53" s="11">
        <v>0</v>
      </c>
      <c r="Y53" s="11">
        <v>0</v>
      </c>
      <c r="Z53" s="11">
        <v>36770</v>
      </c>
      <c r="AA53" s="38">
        <v>36770</v>
      </c>
      <c r="AB53" s="39">
        <f t="shared" si="30"/>
        <v>1225651</v>
      </c>
      <c r="AC53" s="40">
        <f t="shared" si="31"/>
        <v>0</v>
      </c>
      <c r="AD53" s="41">
        <f t="shared" si="32"/>
        <v>0</v>
      </c>
      <c r="AE53" s="12">
        <f t="shared" si="33"/>
        <v>1145609</v>
      </c>
      <c r="AF53" s="12">
        <f t="shared" si="34"/>
        <v>95467.416666666672</v>
      </c>
      <c r="AG53" s="11" t="s">
        <v>83</v>
      </c>
      <c r="AH53" s="11" t="s">
        <v>83</v>
      </c>
      <c r="AI53" s="11" t="s">
        <v>83</v>
      </c>
      <c r="AJ53" s="11" t="s">
        <v>83</v>
      </c>
      <c r="AK53" s="11" t="s">
        <v>83</v>
      </c>
      <c r="AL53" s="11" t="s">
        <v>83</v>
      </c>
      <c r="AM53" s="11"/>
      <c r="AN53" s="11"/>
      <c r="AO53" s="11"/>
      <c r="AP53" s="11"/>
      <c r="AQ53" s="11" t="s">
        <v>85</v>
      </c>
      <c r="AR53" s="11"/>
      <c r="AS53" s="11" t="b">
        <v>0</v>
      </c>
      <c r="AT53" s="36">
        <f t="shared" si="35"/>
        <v>1225651</v>
      </c>
      <c r="AU53" s="36">
        <f t="shared" si="36"/>
        <v>612826</v>
      </c>
      <c r="AV53" s="36">
        <f t="shared" si="37"/>
        <v>153207</v>
      </c>
      <c r="AW53" s="36">
        <f t="shared" si="38"/>
        <v>61283</v>
      </c>
      <c r="AX53" s="96">
        <v>303123</v>
      </c>
      <c r="AY53" s="36">
        <f t="shared" si="39"/>
        <v>1130439</v>
      </c>
      <c r="AZ53" s="36">
        <f t="shared" si="40"/>
        <v>21600</v>
      </c>
      <c r="BA53" s="36">
        <f t="shared" si="41"/>
        <v>0</v>
      </c>
      <c r="BB53" s="11">
        <v>72</v>
      </c>
      <c r="BC53" s="11">
        <v>0</v>
      </c>
      <c r="BD53" s="11">
        <v>0</v>
      </c>
      <c r="BE53" s="38">
        <v>36770</v>
      </c>
      <c r="BF53" s="38">
        <v>36770</v>
      </c>
      <c r="BG53" s="39">
        <f t="shared" si="42"/>
        <v>1225651</v>
      </c>
      <c r="BH53" s="36">
        <f t="shared" si="43"/>
        <v>0</v>
      </c>
      <c r="BI53" s="39">
        <f t="shared" si="44"/>
        <v>0</v>
      </c>
      <c r="BJ53" s="39">
        <f t="shared" si="45"/>
        <v>1145609</v>
      </c>
      <c r="BK53" s="39">
        <f t="shared" si="46"/>
        <v>95467.416666666672</v>
      </c>
      <c r="BL53" s="39">
        <f t="shared" si="47"/>
        <v>0</v>
      </c>
      <c r="BM53" s="39">
        <f t="shared" si="48"/>
        <v>0</v>
      </c>
      <c r="BN53" s="39">
        <f t="shared" si="49"/>
        <v>0</v>
      </c>
      <c r="BO53" s="11"/>
      <c r="BP53" s="11"/>
      <c r="BQ53" s="11"/>
      <c r="BR53" s="11"/>
      <c r="BS53" s="11"/>
    </row>
    <row r="54" spans="1:71">
      <c r="A54" s="45" t="s">
        <v>199</v>
      </c>
      <c r="B54" s="11" t="s">
        <v>119</v>
      </c>
      <c r="C54" s="11" t="s">
        <v>80</v>
      </c>
      <c r="D54" s="45" t="s">
        <v>298</v>
      </c>
      <c r="E54" s="11" t="s">
        <v>82</v>
      </c>
      <c r="F54" s="11" t="s">
        <v>94</v>
      </c>
      <c r="G54" s="45" t="s">
        <v>282</v>
      </c>
      <c r="H54" s="11" t="s">
        <v>337</v>
      </c>
      <c r="I54" s="11" t="s">
        <v>401</v>
      </c>
      <c r="J54" s="11"/>
      <c r="K54" s="11"/>
      <c r="L54" s="11"/>
      <c r="M54" s="34" t="s">
        <v>97</v>
      </c>
      <c r="N54" s="11" t="str">
        <f t="shared" si="29"/>
        <v>AC1</v>
      </c>
      <c r="O54" s="35">
        <v>240000</v>
      </c>
      <c r="P54" s="36">
        <f t="shared" si="28"/>
        <v>120000</v>
      </c>
      <c r="Q54" s="35">
        <v>30000</v>
      </c>
      <c r="R54" s="103">
        <v>12000</v>
      </c>
      <c r="S54" s="35">
        <v>49456.000000000007</v>
      </c>
      <c r="T54" s="36">
        <f t="shared" si="27"/>
        <v>211456</v>
      </c>
      <c r="U54" s="36">
        <f t="shared" si="24"/>
        <v>21600</v>
      </c>
      <c r="V54" s="36">
        <v>6872</v>
      </c>
      <c r="W54" s="11">
        <v>72</v>
      </c>
      <c r="X54" s="11">
        <v>0</v>
      </c>
      <c r="Y54" s="11">
        <v>0</v>
      </c>
      <c r="Z54" s="11">
        <v>0</v>
      </c>
      <c r="AA54" s="38">
        <v>0</v>
      </c>
      <c r="AB54" s="39">
        <f t="shared" si="30"/>
        <v>240000</v>
      </c>
      <c r="AC54" s="40">
        <f t="shared" si="31"/>
        <v>1585.92</v>
      </c>
      <c r="AD54" s="41">
        <f t="shared" si="32"/>
        <v>0</v>
      </c>
      <c r="AE54" s="12">
        <f t="shared" si="33"/>
        <v>188270.08000000002</v>
      </c>
      <c r="AF54" s="12">
        <f t="shared" si="34"/>
        <v>15689.173333333334</v>
      </c>
      <c r="AG54" s="11" t="s">
        <v>83</v>
      </c>
      <c r="AH54" s="11" t="s">
        <v>83</v>
      </c>
      <c r="AI54" s="11" t="s">
        <v>83</v>
      </c>
      <c r="AJ54" s="11" t="s">
        <v>83</v>
      </c>
      <c r="AK54" s="11" t="s">
        <v>83</v>
      </c>
      <c r="AL54" s="11" t="s">
        <v>83</v>
      </c>
      <c r="AM54" s="11"/>
      <c r="AN54" s="11"/>
      <c r="AO54" s="11"/>
      <c r="AP54" s="11"/>
      <c r="AQ54" s="11" t="s">
        <v>85</v>
      </c>
      <c r="AR54" s="11"/>
      <c r="AS54" s="11" t="b">
        <v>0</v>
      </c>
      <c r="AT54" s="36">
        <f t="shared" si="35"/>
        <v>240000</v>
      </c>
      <c r="AU54" s="36">
        <f t="shared" si="36"/>
        <v>120000</v>
      </c>
      <c r="AV54" s="36">
        <f t="shared" si="37"/>
        <v>30000</v>
      </c>
      <c r="AW54" s="36">
        <f t="shared" si="38"/>
        <v>12000</v>
      </c>
      <c r="AX54" s="96">
        <v>49456.000000000007</v>
      </c>
      <c r="AY54" s="36">
        <f t="shared" si="39"/>
        <v>211456</v>
      </c>
      <c r="AZ54" s="36">
        <f t="shared" si="40"/>
        <v>21600</v>
      </c>
      <c r="BA54" s="36">
        <f t="shared" si="41"/>
        <v>6872</v>
      </c>
      <c r="BB54" s="11">
        <v>72</v>
      </c>
      <c r="BC54" s="11">
        <v>0</v>
      </c>
      <c r="BD54" s="11">
        <v>0</v>
      </c>
      <c r="BE54" s="38">
        <f>ROUND((IF(($AT54&lt;=700000),0,IF(((VLOOKUP($AR54,'Loyalty - Effec - 15July'!$B$5:$C$17,2,0)*$AT54)&lt;=120000),(VLOOKUP($AR54,'Loyalty - Effec - 15July'!$B$5:$C$17,2,0)*$AT54),120000))),0)</f>
        <v>0</v>
      </c>
      <c r="BF54" s="38">
        <v>0</v>
      </c>
      <c r="BG54" s="39">
        <f t="shared" si="42"/>
        <v>240000</v>
      </c>
      <c r="BH54" s="36">
        <f t="shared" si="43"/>
        <v>1586</v>
      </c>
      <c r="BI54" s="39">
        <f t="shared" si="44"/>
        <v>0</v>
      </c>
      <c r="BJ54" s="39">
        <f t="shared" si="45"/>
        <v>188270</v>
      </c>
      <c r="BK54" s="39">
        <f t="shared" si="46"/>
        <v>15689.166666666666</v>
      </c>
      <c r="BL54" s="39">
        <f t="shared" si="47"/>
        <v>0</v>
      </c>
      <c r="BM54" s="39">
        <f t="shared" si="48"/>
        <v>-6.6666666680248454E-3</v>
      </c>
      <c r="BN54" s="39">
        <f t="shared" si="49"/>
        <v>-6.6666666680248454E-3</v>
      </c>
      <c r="BO54" s="11"/>
      <c r="BP54" s="11"/>
      <c r="BQ54" s="11"/>
      <c r="BR54" s="11"/>
      <c r="BS54" s="11"/>
    </row>
    <row r="55" spans="1:71">
      <c r="A55" s="45" t="s">
        <v>156</v>
      </c>
      <c r="B55" s="11" t="s">
        <v>119</v>
      </c>
      <c r="C55" s="11" t="s">
        <v>80</v>
      </c>
      <c r="D55" s="45" t="s">
        <v>298</v>
      </c>
      <c r="E55" s="11" t="s">
        <v>82</v>
      </c>
      <c r="F55" s="11" t="s">
        <v>94</v>
      </c>
      <c r="G55" s="34" t="s">
        <v>239</v>
      </c>
      <c r="H55" s="11" t="s">
        <v>346</v>
      </c>
      <c r="I55" s="11" t="s">
        <v>385</v>
      </c>
      <c r="J55" s="11"/>
      <c r="K55" s="11"/>
      <c r="L55" s="11"/>
      <c r="M55" s="34" t="s">
        <v>99</v>
      </c>
      <c r="N55" s="11" t="str">
        <f t="shared" si="29"/>
        <v>AC3</v>
      </c>
      <c r="O55" s="35">
        <v>1502121</v>
      </c>
      <c r="P55" s="36">
        <f t="shared" si="28"/>
        <v>751070</v>
      </c>
      <c r="Q55" s="35">
        <v>187768</v>
      </c>
      <c r="R55" s="103">
        <v>75107</v>
      </c>
      <c r="S55" s="35">
        <v>376376</v>
      </c>
      <c r="T55" s="36">
        <f t="shared" si="27"/>
        <v>1390321</v>
      </c>
      <c r="U55" s="36">
        <f t="shared" si="24"/>
        <v>21600</v>
      </c>
      <c r="V55" s="36">
        <v>0</v>
      </c>
      <c r="W55" s="11">
        <v>72</v>
      </c>
      <c r="X55" s="11">
        <v>0</v>
      </c>
      <c r="Y55" s="11">
        <v>0</v>
      </c>
      <c r="Z55" s="11">
        <v>45064</v>
      </c>
      <c r="AA55" s="38">
        <v>45064</v>
      </c>
      <c r="AB55" s="39">
        <f t="shared" si="30"/>
        <v>1502121</v>
      </c>
      <c r="AC55" s="40">
        <f t="shared" si="31"/>
        <v>0</v>
      </c>
      <c r="AD55" s="41">
        <f t="shared" si="32"/>
        <v>0</v>
      </c>
      <c r="AE55" s="12">
        <f t="shared" si="33"/>
        <v>1413785</v>
      </c>
      <c r="AF55" s="12">
        <f t="shared" si="34"/>
        <v>117815.41666666667</v>
      </c>
      <c r="AG55" s="11" t="s">
        <v>83</v>
      </c>
      <c r="AH55" s="11" t="s">
        <v>83</v>
      </c>
      <c r="AI55" s="11" t="s">
        <v>83</v>
      </c>
      <c r="AJ55" s="11" t="s">
        <v>83</v>
      </c>
      <c r="AK55" s="11" t="s">
        <v>83</v>
      </c>
      <c r="AL55" s="11" t="s">
        <v>83</v>
      </c>
      <c r="AM55" s="11"/>
      <c r="AN55" s="11"/>
      <c r="AO55" s="11"/>
      <c r="AP55" s="11"/>
      <c r="AQ55" s="11" t="s">
        <v>85</v>
      </c>
      <c r="AR55" s="11"/>
      <c r="AS55" s="11" t="b">
        <v>0</v>
      </c>
      <c r="AT55" s="36">
        <f t="shared" si="35"/>
        <v>1502121</v>
      </c>
      <c r="AU55" s="36">
        <f t="shared" si="36"/>
        <v>751061</v>
      </c>
      <c r="AV55" s="36">
        <f t="shared" si="37"/>
        <v>187765</v>
      </c>
      <c r="AW55" s="36">
        <f t="shared" si="38"/>
        <v>75106</v>
      </c>
      <c r="AX55" s="96">
        <v>376389</v>
      </c>
      <c r="AY55" s="36">
        <f t="shared" si="39"/>
        <v>1390321</v>
      </c>
      <c r="AZ55" s="36">
        <f t="shared" si="40"/>
        <v>21600</v>
      </c>
      <c r="BA55" s="36">
        <f t="shared" si="41"/>
        <v>0</v>
      </c>
      <c r="BB55" s="11">
        <v>72</v>
      </c>
      <c r="BC55" s="11">
        <v>0</v>
      </c>
      <c r="BD55" s="11">
        <v>0</v>
      </c>
      <c r="BE55" s="38">
        <v>45064</v>
      </c>
      <c r="BF55" s="38">
        <v>45064</v>
      </c>
      <c r="BG55" s="39">
        <f t="shared" si="42"/>
        <v>1502121</v>
      </c>
      <c r="BH55" s="36">
        <f t="shared" si="43"/>
        <v>0</v>
      </c>
      <c r="BI55" s="39">
        <f t="shared" si="44"/>
        <v>0</v>
      </c>
      <c r="BJ55" s="39">
        <f t="shared" si="45"/>
        <v>1413785</v>
      </c>
      <c r="BK55" s="39">
        <f t="shared" si="46"/>
        <v>117815.41666666667</v>
      </c>
      <c r="BL55" s="39">
        <f t="shared" si="47"/>
        <v>0</v>
      </c>
      <c r="BM55" s="39">
        <f t="shared" si="48"/>
        <v>0</v>
      </c>
      <c r="BN55" s="39">
        <f t="shared" si="49"/>
        <v>0</v>
      </c>
      <c r="BO55" s="11"/>
      <c r="BP55" s="11"/>
      <c r="BQ55" s="11"/>
      <c r="BR55" s="11"/>
      <c r="BS55" s="11"/>
    </row>
    <row r="56" spans="1:71">
      <c r="A56" s="45" t="s">
        <v>200</v>
      </c>
      <c r="B56" s="11" t="s">
        <v>119</v>
      </c>
      <c r="C56" s="11" t="s">
        <v>80</v>
      </c>
      <c r="D56" s="45" t="s">
        <v>298</v>
      </c>
      <c r="E56" s="11" t="s">
        <v>82</v>
      </c>
      <c r="F56" s="11" t="s">
        <v>95</v>
      </c>
      <c r="G56" s="45" t="s">
        <v>283</v>
      </c>
      <c r="H56" s="11" t="s">
        <v>337</v>
      </c>
      <c r="I56" s="11" t="s">
        <v>401</v>
      </c>
      <c r="J56" s="11"/>
      <c r="K56" s="11"/>
      <c r="L56" s="11"/>
      <c r="M56" s="34" t="s">
        <v>97</v>
      </c>
      <c r="N56" s="11" t="str">
        <f t="shared" si="29"/>
        <v>AC1</v>
      </c>
      <c r="O56" s="35">
        <v>240000</v>
      </c>
      <c r="P56" s="36">
        <f t="shared" si="28"/>
        <v>120000</v>
      </c>
      <c r="Q56" s="35">
        <v>30000</v>
      </c>
      <c r="R56" s="103">
        <v>12000</v>
      </c>
      <c r="S56" s="35">
        <v>49456.000000000007</v>
      </c>
      <c r="T56" s="36">
        <f t="shared" si="27"/>
        <v>211456</v>
      </c>
      <c r="U56" s="36">
        <f t="shared" si="24"/>
        <v>21600</v>
      </c>
      <c r="V56" s="36">
        <v>6872</v>
      </c>
      <c r="W56" s="11">
        <v>72</v>
      </c>
      <c r="X56" s="11">
        <v>0</v>
      </c>
      <c r="Y56" s="11">
        <v>0</v>
      </c>
      <c r="Z56" s="11">
        <v>0</v>
      </c>
      <c r="AA56" s="38">
        <v>0</v>
      </c>
      <c r="AB56" s="39">
        <f t="shared" si="30"/>
        <v>240000</v>
      </c>
      <c r="AC56" s="40">
        <f t="shared" si="31"/>
        <v>1585.92</v>
      </c>
      <c r="AD56" s="41">
        <f t="shared" si="32"/>
        <v>0</v>
      </c>
      <c r="AE56" s="12">
        <f t="shared" si="33"/>
        <v>188270.08000000002</v>
      </c>
      <c r="AF56" s="12">
        <f t="shared" si="34"/>
        <v>15689.173333333334</v>
      </c>
      <c r="AG56" s="11" t="s">
        <v>83</v>
      </c>
      <c r="AH56" s="11" t="s">
        <v>83</v>
      </c>
      <c r="AI56" s="11" t="s">
        <v>83</v>
      </c>
      <c r="AJ56" s="11" t="s">
        <v>83</v>
      </c>
      <c r="AK56" s="11" t="s">
        <v>83</v>
      </c>
      <c r="AL56" s="11" t="s">
        <v>83</v>
      </c>
      <c r="AM56" s="11"/>
      <c r="AN56" s="11"/>
      <c r="AO56" s="11"/>
      <c r="AP56" s="11"/>
      <c r="AQ56" s="11" t="s">
        <v>85</v>
      </c>
      <c r="AR56" s="11"/>
      <c r="AS56" s="11" t="b">
        <v>0</v>
      </c>
      <c r="AT56" s="36">
        <f t="shared" si="35"/>
        <v>240000</v>
      </c>
      <c r="AU56" s="36">
        <f t="shared" si="36"/>
        <v>120000</v>
      </c>
      <c r="AV56" s="36">
        <f t="shared" si="37"/>
        <v>30000</v>
      </c>
      <c r="AW56" s="36">
        <f t="shared" si="38"/>
        <v>12000</v>
      </c>
      <c r="AX56" s="96">
        <v>49456.000000000007</v>
      </c>
      <c r="AY56" s="36">
        <f t="shared" si="39"/>
        <v>211456</v>
      </c>
      <c r="AZ56" s="36">
        <f t="shared" si="40"/>
        <v>21600</v>
      </c>
      <c r="BA56" s="36">
        <f t="shared" si="41"/>
        <v>6872</v>
      </c>
      <c r="BB56" s="11">
        <v>72</v>
      </c>
      <c r="BC56" s="11">
        <v>0</v>
      </c>
      <c r="BD56" s="11">
        <v>0</v>
      </c>
      <c r="BE56" s="38">
        <f>ROUND((IF(($AT56&lt;=700000),0,IF(((VLOOKUP($AR56,'Loyalty - Effec - 15July'!$B$5:$C$17,2,0)*$AT56)&lt;=120000),(VLOOKUP($AR56,'Loyalty - Effec - 15July'!$B$5:$C$17,2,0)*$AT56),120000))),0)</f>
        <v>0</v>
      </c>
      <c r="BF56" s="38">
        <v>0</v>
      </c>
      <c r="BG56" s="39">
        <f t="shared" si="42"/>
        <v>240000</v>
      </c>
      <c r="BH56" s="36">
        <f t="shared" si="43"/>
        <v>1586</v>
      </c>
      <c r="BI56" s="39">
        <f t="shared" si="44"/>
        <v>0</v>
      </c>
      <c r="BJ56" s="39">
        <f t="shared" si="45"/>
        <v>188270</v>
      </c>
      <c r="BK56" s="39">
        <f t="shared" si="46"/>
        <v>15689.166666666666</v>
      </c>
      <c r="BL56" s="39">
        <f t="shared" si="47"/>
        <v>0</v>
      </c>
      <c r="BM56" s="39">
        <f t="shared" si="48"/>
        <v>-6.6666666680248454E-3</v>
      </c>
      <c r="BN56" s="39">
        <f t="shared" si="49"/>
        <v>-6.6666666680248454E-3</v>
      </c>
      <c r="BO56" s="11"/>
      <c r="BP56" s="11"/>
      <c r="BQ56" s="11"/>
      <c r="BR56" s="11"/>
      <c r="BS56" s="11"/>
    </row>
    <row r="57" spans="1:71">
      <c r="A57" s="45" t="s">
        <v>153</v>
      </c>
      <c r="B57" s="11" t="s">
        <v>119</v>
      </c>
      <c r="C57" s="11" t="s">
        <v>80</v>
      </c>
      <c r="D57" s="45" t="s">
        <v>298</v>
      </c>
      <c r="E57" s="11" t="s">
        <v>82</v>
      </c>
      <c r="F57" s="11" t="s">
        <v>94</v>
      </c>
      <c r="G57" s="34" t="s">
        <v>236</v>
      </c>
      <c r="H57" s="11" t="s">
        <v>347</v>
      </c>
      <c r="I57" s="11" t="s">
        <v>385</v>
      </c>
      <c r="J57" s="11"/>
      <c r="K57" s="11"/>
      <c r="L57" s="11"/>
      <c r="M57" s="34" t="s">
        <v>101</v>
      </c>
      <c r="N57" s="11" t="str">
        <f t="shared" si="29"/>
        <v>AC5</v>
      </c>
      <c r="O57" s="35">
        <v>1806800</v>
      </c>
      <c r="P57" s="36">
        <f t="shared" si="28"/>
        <v>903400</v>
      </c>
      <c r="Q57" s="35">
        <v>225850</v>
      </c>
      <c r="R57" s="103">
        <v>90340</v>
      </c>
      <c r="S57" s="35">
        <v>384858</v>
      </c>
      <c r="T57" s="36">
        <f t="shared" si="27"/>
        <v>1604448</v>
      </c>
      <c r="U57" s="36">
        <f t="shared" si="24"/>
        <v>21600</v>
      </c>
      <c r="V57" s="36">
        <v>0</v>
      </c>
      <c r="W57" s="11">
        <v>72</v>
      </c>
      <c r="X57" s="11">
        <v>0</v>
      </c>
      <c r="Y57" s="11">
        <v>0</v>
      </c>
      <c r="Z57" s="11">
        <v>90340</v>
      </c>
      <c r="AA57" s="38">
        <v>90340</v>
      </c>
      <c r="AB57" s="39">
        <f t="shared" si="30"/>
        <v>1806800</v>
      </c>
      <c r="AC57" s="40">
        <f t="shared" si="31"/>
        <v>0</v>
      </c>
      <c r="AD57" s="41">
        <f t="shared" si="32"/>
        <v>0</v>
      </c>
      <c r="AE57" s="12">
        <f t="shared" si="33"/>
        <v>1673188</v>
      </c>
      <c r="AF57" s="12">
        <f t="shared" si="34"/>
        <v>139432.33333333334</v>
      </c>
      <c r="AG57" s="11" t="s">
        <v>83</v>
      </c>
      <c r="AH57" s="11" t="s">
        <v>83</v>
      </c>
      <c r="AI57" s="11" t="s">
        <v>83</v>
      </c>
      <c r="AJ57" s="11" t="s">
        <v>83</v>
      </c>
      <c r="AK57" s="11" t="s">
        <v>83</v>
      </c>
      <c r="AL57" s="11" t="s">
        <v>83</v>
      </c>
      <c r="AM57" s="11"/>
      <c r="AN57" s="11"/>
      <c r="AO57" s="11"/>
      <c r="AP57" s="11"/>
      <c r="AQ57" s="11" t="s">
        <v>85</v>
      </c>
      <c r="AR57" s="11"/>
      <c r="AS57" s="11" t="b">
        <v>0</v>
      </c>
      <c r="AT57" s="36">
        <f t="shared" si="35"/>
        <v>1806800</v>
      </c>
      <c r="AU57" s="36">
        <f t="shared" si="36"/>
        <v>903400</v>
      </c>
      <c r="AV57" s="36">
        <f t="shared" si="37"/>
        <v>225850</v>
      </c>
      <c r="AW57" s="36">
        <f t="shared" si="38"/>
        <v>90340</v>
      </c>
      <c r="AX57" s="96">
        <v>384858</v>
      </c>
      <c r="AY57" s="36">
        <f t="shared" si="39"/>
        <v>1604448</v>
      </c>
      <c r="AZ57" s="36">
        <f t="shared" si="40"/>
        <v>21600</v>
      </c>
      <c r="BA57" s="36">
        <f t="shared" si="41"/>
        <v>0</v>
      </c>
      <c r="BB57" s="11">
        <v>72</v>
      </c>
      <c r="BC57" s="11">
        <v>0</v>
      </c>
      <c r="BD57" s="11">
        <v>0</v>
      </c>
      <c r="BE57" s="38">
        <v>90340</v>
      </c>
      <c r="BF57" s="38">
        <v>90340</v>
      </c>
      <c r="BG57" s="39">
        <f t="shared" si="42"/>
        <v>1806800</v>
      </c>
      <c r="BH57" s="36">
        <f t="shared" si="43"/>
        <v>0</v>
      </c>
      <c r="BI57" s="39">
        <f t="shared" si="44"/>
        <v>0</v>
      </c>
      <c r="BJ57" s="39">
        <f t="shared" si="45"/>
        <v>1673188</v>
      </c>
      <c r="BK57" s="39">
        <f t="shared" si="46"/>
        <v>139432.33333333334</v>
      </c>
      <c r="BL57" s="39">
        <f t="shared" si="47"/>
        <v>0</v>
      </c>
      <c r="BM57" s="39">
        <f t="shared" si="48"/>
        <v>0</v>
      </c>
      <c r="BN57" s="39">
        <f t="shared" si="49"/>
        <v>0</v>
      </c>
      <c r="BO57" s="11"/>
      <c r="BP57" s="11"/>
      <c r="BQ57" s="11"/>
      <c r="BR57" s="11"/>
      <c r="BS57" s="11"/>
    </row>
    <row r="58" spans="1:71">
      <c r="A58" s="45" t="s">
        <v>168</v>
      </c>
      <c r="B58" s="11" t="s">
        <v>119</v>
      </c>
      <c r="C58" s="11" t="s">
        <v>80</v>
      </c>
      <c r="D58" s="45" t="s">
        <v>298</v>
      </c>
      <c r="E58" s="11" t="s">
        <v>82</v>
      </c>
      <c r="F58" s="11" t="s">
        <v>94</v>
      </c>
      <c r="G58" s="45" t="s">
        <v>251</v>
      </c>
      <c r="H58" s="11" t="s">
        <v>348</v>
      </c>
      <c r="I58" s="11" t="s">
        <v>421</v>
      </c>
      <c r="J58" s="11"/>
      <c r="K58" s="11"/>
      <c r="L58" s="11"/>
      <c r="M58" s="34" t="s">
        <v>98</v>
      </c>
      <c r="N58" s="11" t="str">
        <f t="shared" si="29"/>
        <v>AC2</v>
      </c>
      <c r="O58" s="35">
        <v>407445</v>
      </c>
      <c r="P58" s="36">
        <f t="shared" si="28"/>
        <v>203730</v>
      </c>
      <c r="Q58" s="35">
        <v>50933</v>
      </c>
      <c r="R58" s="103">
        <v>20373</v>
      </c>
      <c r="S58" s="35">
        <v>102588.00000000001</v>
      </c>
      <c r="T58" s="36">
        <f t="shared" si="27"/>
        <v>377624</v>
      </c>
      <c r="U58" s="36">
        <f t="shared" si="24"/>
        <v>21600</v>
      </c>
      <c r="V58" s="36">
        <v>0</v>
      </c>
      <c r="W58" s="11">
        <v>72</v>
      </c>
      <c r="X58" s="11">
        <v>0</v>
      </c>
      <c r="Y58" s="11">
        <v>0</v>
      </c>
      <c r="Z58" s="11">
        <v>0</v>
      </c>
      <c r="AA58" s="38">
        <v>8149</v>
      </c>
      <c r="AB58" s="39">
        <f t="shared" si="30"/>
        <v>407445</v>
      </c>
      <c r="AC58" s="40">
        <f t="shared" si="31"/>
        <v>0</v>
      </c>
      <c r="AD58" s="41">
        <f t="shared" si="32"/>
        <v>0</v>
      </c>
      <c r="AE58" s="12">
        <f t="shared" si="33"/>
        <v>356024</v>
      </c>
      <c r="AF58" s="12">
        <f t="shared" si="34"/>
        <v>29668.666666666668</v>
      </c>
      <c r="AG58" s="11" t="s">
        <v>83</v>
      </c>
      <c r="AH58" s="11" t="s">
        <v>83</v>
      </c>
      <c r="AI58" s="11" t="s">
        <v>83</v>
      </c>
      <c r="AJ58" s="11" t="s">
        <v>83</v>
      </c>
      <c r="AK58" s="11" t="s">
        <v>83</v>
      </c>
      <c r="AL58" s="11" t="s">
        <v>83</v>
      </c>
      <c r="AM58" s="11"/>
      <c r="AN58" s="11"/>
      <c r="AO58" s="11"/>
      <c r="AP58" s="11"/>
      <c r="AQ58" s="11" t="s">
        <v>85</v>
      </c>
      <c r="AR58" s="11"/>
      <c r="AS58" s="11" t="b">
        <v>0</v>
      </c>
      <c r="AT58" s="36">
        <f t="shared" si="35"/>
        <v>407445</v>
      </c>
      <c r="AU58" s="36">
        <f t="shared" si="36"/>
        <v>203723</v>
      </c>
      <c r="AV58" s="36">
        <f t="shared" si="37"/>
        <v>50931</v>
      </c>
      <c r="AW58" s="36">
        <f t="shared" si="38"/>
        <v>20372</v>
      </c>
      <c r="AX58" s="96">
        <v>102598.00000000001</v>
      </c>
      <c r="AY58" s="36">
        <f t="shared" si="39"/>
        <v>377624</v>
      </c>
      <c r="AZ58" s="36">
        <f t="shared" si="40"/>
        <v>21600</v>
      </c>
      <c r="BA58" s="36">
        <f t="shared" si="41"/>
        <v>0</v>
      </c>
      <c r="BB58" s="11">
        <v>72</v>
      </c>
      <c r="BC58" s="11">
        <v>0</v>
      </c>
      <c r="BD58" s="11">
        <v>0</v>
      </c>
      <c r="BE58" s="38">
        <f>ROUND((IF(($AT58&lt;=700000),0,IF(((VLOOKUP($AR58,'Loyalty - Effec - 15July'!$B$5:$C$17,2,0)*$AT58)&lt;=120000),(VLOOKUP($AR58,'Loyalty - Effec - 15July'!$B$5:$C$17,2,0)*$AT58),120000))),0)</f>
        <v>0</v>
      </c>
      <c r="BF58" s="38">
        <v>8149</v>
      </c>
      <c r="BG58" s="39">
        <f t="shared" si="42"/>
        <v>407445</v>
      </c>
      <c r="BH58" s="36">
        <f t="shared" si="43"/>
        <v>0</v>
      </c>
      <c r="BI58" s="39">
        <f t="shared" si="44"/>
        <v>0</v>
      </c>
      <c r="BJ58" s="39">
        <f t="shared" si="45"/>
        <v>356024</v>
      </c>
      <c r="BK58" s="39">
        <f t="shared" si="46"/>
        <v>29668.666666666668</v>
      </c>
      <c r="BL58" s="39">
        <f t="shared" si="47"/>
        <v>0</v>
      </c>
      <c r="BM58" s="39">
        <f t="shared" si="48"/>
        <v>0</v>
      </c>
      <c r="BN58" s="39">
        <f t="shared" si="49"/>
        <v>0</v>
      </c>
      <c r="BO58" s="11"/>
      <c r="BP58" s="11"/>
      <c r="BQ58" s="11"/>
      <c r="BR58" s="11"/>
      <c r="BS58" s="11"/>
    </row>
    <row r="59" spans="1:71">
      <c r="A59" s="45" t="s">
        <v>173</v>
      </c>
      <c r="B59" s="11" t="s">
        <v>119</v>
      </c>
      <c r="C59" s="11" t="s">
        <v>80</v>
      </c>
      <c r="D59" s="45" t="s">
        <v>298</v>
      </c>
      <c r="E59" s="11" t="s">
        <v>82</v>
      </c>
      <c r="F59" s="11" t="s">
        <v>94</v>
      </c>
      <c r="G59" s="45" t="s">
        <v>256</v>
      </c>
      <c r="H59" s="11" t="s">
        <v>332</v>
      </c>
      <c r="I59" s="11" t="s">
        <v>395</v>
      </c>
      <c r="J59" s="11"/>
      <c r="K59" s="11"/>
      <c r="L59" s="11"/>
      <c r="M59" s="34" t="s">
        <v>100</v>
      </c>
      <c r="N59" s="11" t="str">
        <f t="shared" si="29"/>
        <v>AC4</v>
      </c>
      <c r="O59" s="35">
        <v>2064600</v>
      </c>
      <c r="P59" s="36">
        <f t="shared" si="28"/>
        <v>1032300</v>
      </c>
      <c r="Q59" s="35">
        <v>258075</v>
      </c>
      <c r="R59" s="103">
        <v>103230</v>
      </c>
      <c r="S59" s="35">
        <v>484155.00000000012</v>
      </c>
      <c r="T59" s="36">
        <f t="shared" si="27"/>
        <v>1877760</v>
      </c>
      <c r="U59" s="36">
        <f t="shared" si="24"/>
        <v>21600</v>
      </c>
      <c r="V59" s="36">
        <v>0</v>
      </c>
      <c r="W59" s="11">
        <v>72</v>
      </c>
      <c r="X59" s="11">
        <v>0</v>
      </c>
      <c r="Y59" s="11">
        <v>0</v>
      </c>
      <c r="Z59" s="11">
        <v>82584</v>
      </c>
      <c r="AA59" s="38">
        <v>82584</v>
      </c>
      <c r="AB59" s="39">
        <f t="shared" si="30"/>
        <v>2064600</v>
      </c>
      <c r="AC59" s="40">
        <f t="shared" si="31"/>
        <v>0</v>
      </c>
      <c r="AD59" s="41">
        <f t="shared" si="32"/>
        <v>0</v>
      </c>
      <c r="AE59" s="12">
        <f t="shared" si="33"/>
        <v>1938744</v>
      </c>
      <c r="AF59" s="12">
        <f t="shared" si="34"/>
        <v>161562</v>
      </c>
      <c r="AG59" s="11" t="s">
        <v>83</v>
      </c>
      <c r="AH59" s="11" t="s">
        <v>83</v>
      </c>
      <c r="AI59" s="11" t="s">
        <v>83</v>
      </c>
      <c r="AJ59" s="11" t="s">
        <v>83</v>
      </c>
      <c r="AK59" s="11" t="s">
        <v>83</v>
      </c>
      <c r="AL59" s="11" t="s">
        <v>83</v>
      </c>
      <c r="AM59" s="11"/>
      <c r="AN59" s="11"/>
      <c r="AO59" s="11"/>
      <c r="AP59" s="11"/>
      <c r="AQ59" s="11" t="s">
        <v>85</v>
      </c>
      <c r="AR59" s="11"/>
      <c r="AS59" s="11" t="b">
        <v>0</v>
      </c>
      <c r="AT59" s="36">
        <f t="shared" si="35"/>
        <v>2064600</v>
      </c>
      <c r="AU59" s="36">
        <f t="shared" si="36"/>
        <v>1032300</v>
      </c>
      <c r="AV59" s="36">
        <f t="shared" si="37"/>
        <v>258075</v>
      </c>
      <c r="AW59" s="36">
        <f t="shared" si="38"/>
        <v>103230</v>
      </c>
      <c r="AX59" s="96">
        <v>484155.00000000012</v>
      </c>
      <c r="AY59" s="36">
        <f t="shared" si="39"/>
        <v>1877760</v>
      </c>
      <c r="AZ59" s="36">
        <f t="shared" si="40"/>
        <v>21600</v>
      </c>
      <c r="BA59" s="36">
        <f t="shared" si="41"/>
        <v>0</v>
      </c>
      <c r="BB59" s="11">
        <v>72</v>
      </c>
      <c r="BC59" s="11">
        <v>0</v>
      </c>
      <c r="BD59" s="11">
        <v>0</v>
      </c>
      <c r="BE59" s="38">
        <v>82584</v>
      </c>
      <c r="BF59" s="38">
        <v>82584</v>
      </c>
      <c r="BG59" s="39">
        <f t="shared" si="42"/>
        <v>2064600</v>
      </c>
      <c r="BH59" s="36">
        <f t="shared" si="43"/>
        <v>0</v>
      </c>
      <c r="BI59" s="39">
        <f t="shared" si="44"/>
        <v>0</v>
      </c>
      <c r="BJ59" s="39">
        <f t="shared" si="45"/>
        <v>1938744</v>
      </c>
      <c r="BK59" s="39">
        <f t="shared" si="46"/>
        <v>161562</v>
      </c>
      <c r="BL59" s="39">
        <f t="shared" si="47"/>
        <v>0</v>
      </c>
      <c r="BM59" s="39">
        <f t="shared" si="48"/>
        <v>0</v>
      </c>
      <c r="BN59" s="39">
        <f t="shared" si="49"/>
        <v>0</v>
      </c>
      <c r="BO59" s="11"/>
      <c r="BP59" s="11"/>
      <c r="BQ59" s="11"/>
      <c r="BR59" s="11"/>
      <c r="BS59" s="11"/>
    </row>
    <row r="60" spans="1:71">
      <c r="A60" s="45" t="s">
        <v>178</v>
      </c>
      <c r="B60" s="11" t="s">
        <v>119</v>
      </c>
      <c r="C60" s="11" t="s">
        <v>80</v>
      </c>
      <c r="D60" s="45" t="s">
        <v>298</v>
      </c>
      <c r="E60" s="11" t="s">
        <v>82</v>
      </c>
      <c r="F60" s="11" t="s">
        <v>95</v>
      </c>
      <c r="G60" s="45" t="s">
        <v>261</v>
      </c>
      <c r="H60" s="11" t="s">
        <v>349</v>
      </c>
      <c r="I60" s="11" t="s">
        <v>416</v>
      </c>
      <c r="J60" s="11"/>
      <c r="K60" s="11"/>
      <c r="L60" s="11"/>
      <c r="M60" s="34" t="s">
        <v>101</v>
      </c>
      <c r="N60" s="11" t="str">
        <f t="shared" si="29"/>
        <v>AC5</v>
      </c>
      <c r="O60" s="35">
        <v>2275020</v>
      </c>
      <c r="P60" s="36">
        <f t="shared" si="28"/>
        <v>1137510</v>
      </c>
      <c r="Q60" s="35">
        <v>284378</v>
      </c>
      <c r="R60" s="103">
        <v>113751</v>
      </c>
      <c r="S60" s="35">
        <v>490206.99999999983</v>
      </c>
      <c r="T60" s="36">
        <f t="shared" si="27"/>
        <v>2025845.9999999998</v>
      </c>
      <c r="U60" s="36">
        <f t="shared" si="24"/>
        <v>21600</v>
      </c>
      <c r="V60" s="36">
        <v>0</v>
      </c>
      <c r="W60" s="11">
        <v>72</v>
      </c>
      <c r="X60" s="11">
        <v>0</v>
      </c>
      <c r="Y60" s="11">
        <v>0</v>
      </c>
      <c r="Z60" s="11">
        <v>113751</v>
      </c>
      <c r="AA60" s="38">
        <v>113751</v>
      </c>
      <c r="AB60" s="39">
        <f t="shared" si="30"/>
        <v>2275020</v>
      </c>
      <c r="AC60" s="40">
        <f t="shared" si="31"/>
        <v>0</v>
      </c>
      <c r="AD60" s="41">
        <f t="shared" si="32"/>
        <v>0</v>
      </c>
      <c r="AE60" s="12">
        <f t="shared" si="33"/>
        <v>2117997</v>
      </c>
      <c r="AF60" s="12">
        <f t="shared" si="34"/>
        <v>176499.75</v>
      </c>
      <c r="AG60" s="11" t="s">
        <v>83</v>
      </c>
      <c r="AH60" s="11" t="s">
        <v>83</v>
      </c>
      <c r="AI60" s="11" t="s">
        <v>83</v>
      </c>
      <c r="AJ60" s="11" t="s">
        <v>83</v>
      </c>
      <c r="AK60" s="11" t="s">
        <v>83</v>
      </c>
      <c r="AL60" s="11" t="s">
        <v>83</v>
      </c>
      <c r="AM60" s="11"/>
      <c r="AN60" s="11"/>
      <c r="AO60" s="11"/>
      <c r="AP60" s="11"/>
      <c r="AQ60" s="11" t="s">
        <v>85</v>
      </c>
      <c r="AR60" s="11"/>
      <c r="AS60" s="11" t="b">
        <v>0</v>
      </c>
      <c r="AT60" s="36">
        <f t="shared" si="35"/>
        <v>2275020</v>
      </c>
      <c r="AU60" s="36">
        <f t="shared" si="36"/>
        <v>1137510</v>
      </c>
      <c r="AV60" s="36">
        <f t="shared" si="37"/>
        <v>284378</v>
      </c>
      <c r="AW60" s="36">
        <f t="shared" si="38"/>
        <v>113751</v>
      </c>
      <c r="AX60" s="96">
        <v>490206.99999999983</v>
      </c>
      <c r="AY60" s="36">
        <f t="shared" si="39"/>
        <v>2025845.9999999998</v>
      </c>
      <c r="AZ60" s="36">
        <f t="shared" si="40"/>
        <v>21600</v>
      </c>
      <c r="BA60" s="36">
        <f t="shared" si="41"/>
        <v>0</v>
      </c>
      <c r="BB60" s="11">
        <v>72</v>
      </c>
      <c r="BC60" s="11">
        <v>0</v>
      </c>
      <c r="BD60" s="11">
        <v>0</v>
      </c>
      <c r="BE60" s="38">
        <v>113751</v>
      </c>
      <c r="BF60" s="38">
        <v>113751</v>
      </c>
      <c r="BG60" s="39">
        <f t="shared" si="42"/>
        <v>2275020</v>
      </c>
      <c r="BH60" s="36">
        <f t="shared" si="43"/>
        <v>0</v>
      </c>
      <c r="BI60" s="39">
        <f t="shared" si="44"/>
        <v>0</v>
      </c>
      <c r="BJ60" s="39">
        <f t="shared" si="45"/>
        <v>2117997</v>
      </c>
      <c r="BK60" s="39">
        <f t="shared" si="46"/>
        <v>176499.75</v>
      </c>
      <c r="BL60" s="39">
        <f t="shared" si="47"/>
        <v>0</v>
      </c>
      <c r="BM60" s="39">
        <f t="shared" si="48"/>
        <v>0</v>
      </c>
      <c r="BN60" s="39">
        <f t="shared" si="49"/>
        <v>0</v>
      </c>
      <c r="BO60" s="11"/>
      <c r="BP60" s="11"/>
      <c r="BQ60" s="11"/>
      <c r="BR60" s="11"/>
      <c r="BS60" s="11"/>
    </row>
    <row r="61" spans="1:71">
      <c r="A61" s="45" t="s">
        <v>154</v>
      </c>
      <c r="B61" s="11" t="s">
        <v>119</v>
      </c>
      <c r="C61" s="11" t="s">
        <v>80</v>
      </c>
      <c r="D61" s="45" t="s">
        <v>298</v>
      </c>
      <c r="E61" s="11" t="s">
        <v>82</v>
      </c>
      <c r="F61" s="11" t="s">
        <v>95</v>
      </c>
      <c r="G61" s="34" t="s">
        <v>237</v>
      </c>
      <c r="H61" s="11" t="s">
        <v>347</v>
      </c>
      <c r="I61" s="11" t="s">
        <v>385</v>
      </c>
      <c r="J61" s="11"/>
      <c r="K61" s="11"/>
      <c r="L61" s="11"/>
      <c r="M61" s="34" t="s">
        <v>98</v>
      </c>
      <c r="N61" s="11" t="str">
        <f t="shared" si="29"/>
        <v>AC2</v>
      </c>
      <c r="O61" s="35">
        <v>425729</v>
      </c>
      <c r="P61" s="36">
        <f t="shared" si="28"/>
        <v>212870</v>
      </c>
      <c r="Q61" s="35">
        <v>53218</v>
      </c>
      <c r="R61" s="103">
        <v>21287</v>
      </c>
      <c r="S61" s="35">
        <v>108167</v>
      </c>
      <c r="T61" s="36">
        <f t="shared" si="27"/>
        <v>395542</v>
      </c>
      <c r="U61" s="36">
        <f t="shared" si="24"/>
        <v>21600</v>
      </c>
      <c r="V61" s="36">
        <v>0</v>
      </c>
      <c r="W61" s="11">
        <v>72</v>
      </c>
      <c r="X61" s="11">
        <v>0</v>
      </c>
      <c r="Y61" s="11">
        <v>0</v>
      </c>
      <c r="Z61" s="11">
        <v>0</v>
      </c>
      <c r="AA61" s="38">
        <v>8515</v>
      </c>
      <c r="AB61" s="39">
        <f t="shared" si="30"/>
        <v>425729</v>
      </c>
      <c r="AC61" s="40">
        <f t="shared" si="31"/>
        <v>0</v>
      </c>
      <c r="AD61" s="41">
        <f t="shared" si="32"/>
        <v>0</v>
      </c>
      <c r="AE61" s="12">
        <f t="shared" si="33"/>
        <v>373942</v>
      </c>
      <c r="AF61" s="12">
        <f t="shared" si="34"/>
        <v>31161.833333333332</v>
      </c>
      <c r="AG61" s="11" t="s">
        <v>83</v>
      </c>
      <c r="AH61" s="11" t="s">
        <v>83</v>
      </c>
      <c r="AI61" s="11" t="s">
        <v>83</v>
      </c>
      <c r="AJ61" s="11" t="s">
        <v>83</v>
      </c>
      <c r="AK61" s="11" t="s">
        <v>83</v>
      </c>
      <c r="AL61" s="11" t="s">
        <v>83</v>
      </c>
      <c r="AM61" s="11"/>
      <c r="AN61" s="11"/>
      <c r="AO61" s="11"/>
      <c r="AP61" s="11"/>
      <c r="AQ61" s="11" t="s">
        <v>85</v>
      </c>
      <c r="AR61" s="11"/>
      <c r="AS61" s="11" t="b">
        <v>0</v>
      </c>
      <c r="AT61" s="36">
        <f t="shared" si="35"/>
        <v>425729</v>
      </c>
      <c r="AU61" s="36">
        <f t="shared" si="36"/>
        <v>212865</v>
      </c>
      <c r="AV61" s="36">
        <f t="shared" si="37"/>
        <v>53216</v>
      </c>
      <c r="AW61" s="36">
        <f t="shared" si="38"/>
        <v>21287</v>
      </c>
      <c r="AX61" s="96">
        <v>108174</v>
      </c>
      <c r="AY61" s="36">
        <f t="shared" si="39"/>
        <v>395542</v>
      </c>
      <c r="AZ61" s="36">
        <f t="shared" si="40"/>
        <v>21600</v>
      </c>
      <c r="BA61" s="36">
        <f t="shared" si="41"/>
        <v>0</v>
      </c>
      <c r="BB61" s="11">
        <v>72</v>
      </c>
      <c r="BC61" s="11">
        <v>0</v>
      </c>
      <c r="BD61" s="11">
        <v>0</v>
      </c>
      <c r="BE61" s="38">
        <f>ROUND((IF(($AT61&lt;=700000),0,IF(((VLOOKUP($AR61,'Loyalty - Effec - 15July'!$B$5:$C$17,2,0)*$AT61)&lt;=120000),(VLOOKUP($AR61,'Loyalty - Effec - 15July'!$B$5:$C$17,2,0)*$AT61),120000))),0)</f>
        <v>0</v>
      </c>
      <c r="BF61" s="38">
        <v>8515</v>
      </c>
      <c r="BG61" s="39">
        <f t="shared" si="42"/>
        <v>425729</v>
      </c>
      <c r="BH61" s="36">
        <f t="shared" si="43"/>
        <v>0</v>
      </c>
      <c r="BI61" s="39">
        <f t="shared" si="44"/>
        <v>0</v>
      </c>
      <c r="BJ61" s="39">
        <f t="shared" si="45"/>
        <v>373942</v>
      </c>
      <c r="BK61" s="39">
        <f t="shared" si="46"/>
        <v>31161.833333333332</v>
      </c>
      <c r="BL61" s="39">
        <f t="shared" si="47"/>
        <v>0</v>
      </c>
      <c r="BM61" s="39">
        <f t="shared" si="48"/>
        <v>0</v>
      </c>
      <c r="BN61" s="39">
        <f t="shared" si="49"/>
        <v>0</v>
      </c>
      <c r="BO61" s="11"/>
      <c r="BP61" s="11"/>
      <c r="BQ61" s="11"/>
      <c r="BR61" s="11"/>
      <c r="BS61" s="11"/>
    </row>
    <row r="62" spans="1:71">
      <c r="A62" s="45" t="s">
        <v>171</v>
      </c>
      <c r="B62" s="11" t="s">
        <v>119</v>
      </c>
      <c r="C62" s="11" t="s">
        <v>80</v>
      </c>
      <c r="D62" s="45" t="s">
        <v>298</v>
      </c>
      <c r="E62" s="11" t="s">
        <v>82</v>
      </c>
      <c r="F62" s="11" t="s">
        <v>94</v>
      </c>
      <c r="G62" s="45" t="s">
        <v>254</v>
      </c>
      <c r="H62" s="11" t="s">
        <v>350</v>
      </c>
      <c r="I62" s="11" t="s">
        <v>393</v>
      </c>
      <c r="J62" s="11"/>
      <c r="K62" s="11"/>
      <c r="L62" s="11"/>
      <c r="M62" s="34" t="s">
        <v>103</v>
      </c>
      <c r="N62" s="11" t="str">
        <f t="shared" si="29"/>
        <v>C2</v>
      </c>
      <c r="O62" s="35">
        <v>3464670</v>
      </c>
      <c r="P62" s="36">
        <f t="shared" si="28"/>
        <v>1732340</v>
      </c>
      <c r="Q62" s="35">
        <v>433085</v>
      </c>
      <c r="R62" s="103">
        <v>173234</v>
      </c>
      <c r="S62" s="35">
        <v>954339.00000000023</v>
      </c>
      <c r="T62" s="36">
        <f t="shared" si="27"/>
        <v>3292998</v>
      </c>
      <c r="U62" s="36">
        <f t="shared" si="24"/>
        <v>21600</v>
      </c>
      <c r="V62" s="36">
        <v>0</v>
      </c>
      <c r="W62" s="11">
        <v>72</v>
      </c>
      <c r="X62" s="11">
        <v>0</v>
      </c>
      <c r="Y62" s="90">
        <v>30000</v>
      </c>
      <c r="Z62" s="11">
        <v>120000</v>
      </c>
      <c r="AA62" s="38">
        <v>0</v>
      </c>
      <c r="AB62" s="39">
        <f t="shared" si="30"/>
        <v>3464670</v>
      </c>
      <c r="AC62" s="40">
        <f t="shared" si="31"/>
        <v>0</v>
      </c>
      <c r="AD62" s="41">
        <f t="shared" si="32"/>
        <v>0</v>
      </c>
      <c r="AE62" s="12">
        <f t="shared" si="33"/>
        <v>3391398</v>
      </c>
      <c r="AF62" s="12">
        <f t="shared" si="34"/>
        <v>282616.5</v>
      </c>
      <c r="AG62" s="11" t="s">
        <v>83</v>
      </c>
      <c r="AH62" s="11" t="s">
        <v>83</v>
      </c>
      <c r="AI62" s="11" t="s">
        <v>83</v>
      </c>
      <c r="AJ62" s="11" t="s">
        <v>83</v>
      </c>
      <c r="AK62" s="11" t="s">
        <v>83</v>
      </c>
      <c r="AL62" s="11" t="s">
        <v>83</v>
      </c>
      <c r="AM62" s="11"/>
      <c r="AN62" s="11"/>
      <c r="AO62" s="11"/>
      <c r="AP62" s="11"/>
      <c r="AQ62" s="11" t="s">
        <v>85</v>
      </c>
      <c r="AR62" s="11"/>
      <c r="AS62" s="11" t="b">
        <v>0</v>
      </c>
      <c r="AT62" s="36">
        <f t="shared" si="35"/>
        <v>3464670</v>
      </c>
      <c r="AU62" s="36">
        <f t="shared" si="36"/>
        <v>1732335</v>
      </c>
      <c r="AV62" s="36">
        <f t="shared" si="37"/>
        <v>433084</v>
      </c>
      <c r="AW62" s="36">
        <f t="shared" si="38"/>
        <v>173234</v>
      </c>
      <c r="AX62" s="96">
        <v>984344.99999999988</v>
      </c>
      <c r="AY62" s="36">
        <f t="shared" si="39"/>
        <v>3322998</v>
      </c>
      <c r="AZ62" s="36">
        <f t="shared" si="40"/>
        <v>21600</v>
      </c>
      <c r="BA62" s="36">
        <f t="shared" si="41"/>
        <v>0</v>
      </c>
      <c r="BB62" s="11">
        <v>72</v>
      </c>
      <c r="BC62" s="11">
        <v>0</v>
      </c>
      <c r="BD62" s="11">
        <v>0</v>
      </c>
      <c r="BE62" s="38">
        <v>120000</v>
      </c>
      <c r="BF62" s="38">
        <v>0</v>
      </c>
      <c r="BG62" s="39">
        <f t="shared" si="42"/>
        <v>3464670</v>
      </c>
      <c r="BH62" s="36">
        <f t="shared" si="43"/>
        <v>0</v>
      </c>
      <c r="BI62" s="39">
        <f t="shared" si="44"/>
        <v>0</v>
      </c>
      <c r="BJ62" s="39">
        <f t="shared" si="45"/>
        <v>3421398</v>
      </c>
      <c r="BK62" s="39">
        <f t="shared" si="46"/>
        <v>285116.5</v>
      </c>
      <c r="BL62" s="39">
        <f t="shared" si="47"/>
        <v>0</v>
      </c>
      <c r="BM62" s="39">
        <f t="shared" si="48"/>
        <v>2500</v>
      </c>
      <c r="BN62" s="39">
        <f t="shared" si="49"/>
        <v>2500</v>
      </c>
      <c r="BO62" s="11"/>
      <c r="BP62" s="11"/>
      <c r="BQ62" s="11"/>
      <c r="BR62" s="11"/>
      <c r="BS62" s="11"/>
    </row>
    <row r="63" spans="1:71">
      <c r="A63" s="45" t="s">
        <v>182</v>
      </c>
      <c r="B63" s="11" t="s">
        <v>119</v>
      </c>
      <c r="C63" s="11" t="s">
        <v>80</v>
      </c>
      <c r="D63" s="45" t="s">
        <v>298</v>
      </c>
      <c r="E63" s="11" t="s">
        <v>82</v>
      </c>
      <c r="F63" s="11" t="s">
        <v>94</v>
      </c>
      <c r="G63" s="45" t="s">
        <v>265</v>
      </c>
      <c r="H63" s="11" t="s">
        <v>351</v>
      </c>
      <c r="I63" s="11" t="s">
        <v>396</v>
      </c>
      <c r="J63" s="11"/>
      <c r="K63" s="11"/>
      <c r="L63" s="11"/>
      <c r="M63" s="34" t="s">
        <v>98</v>
      </c>
      <c r="N63" s="11" t="str">
        <f t="shared" si="29"/>
        <v>AC2</v>
      </c>
      <c r="O63" s="35">
        <v>446333</v>
      </c>
      <c r="P63" s="36">
        <f t="shared" si="28"/>
        <v>223170</v>
      </c>
      <c r="Q63" s="35">
        <v>55793</v>
      </c>
      <c r="R63" s="103">
        <v>22317</v>
      </c>
      <c r="S63" s="35">
        <v>114454.00000000001</v>
      </c>
      <c r="T63" s="36">
        <f t="shared" si="27"/>
        <v>415734</v>
      </c>
      <c r="U63" s="36">
        <f t="shared" si="24"/>
        <v>21600</v>
      </c>
      <c r="V63" s="36">
        <v>0</v>
      </c>
      <c r="W63" s="11">
        <v>72</v>
      </c>
      <c r="X63" s="11">
        <v>0</v>
      </c>
      <c r="Y63" s="11">
        <v>0</v>
      </c>
      <c r="Z63" s="11">
        <v>0</v>
      </c>
      <c r="AA63" s="38">
        <v>8927</v>
      </c>
      <c r="AB63" s="39">
        <f t="shared" si="30"/>
        <v>446333</v>
      </c>
      <c r="AC63" s="40">
        <f t="shared" si="31"/>
        <v>0</v>
      </c>
      <c r="AD63" s="41">
        <f t="shared" si="32"/>
        <v>0</v>
      </c>
      <c r="AE63" s="12">
        <f t="shared" si="33"/>
        <v>394134</v>
      </c>
      <c r="AF63" s="12">
        <f t="shared" si="34"/>
        <v>32844.5</v>
      </c>
      <c r="AG63" s="11" t="s">
        <v>83</v>
      </c>
      <c r="AH63" s="11" t="s">
        <v>83</v>
      </c>
      <c r="AI63" s="11" t="s">
        <v>83</v>
      </c>
      <c r="AJ63" s="11" t="s">
        <v>83</v>
      </c>
      <c r="AK63" s="11" t="s">
        <v>83</v>
      </c>
      <c r="AL63" s="11" t="s">
        <v>83</v>
      </c>
      <c r="AM63" s="11"/>
      <c r="AN63" s="11"/>
      <c r="AO63" s="11"/>
      <c r="AP63" s="11"/>
      <c r="AQ63" s="11" t="s">
        <v>85</v>
      </c>
      <c r="AR63" s="11"/>
      <c r="AS63" s="11" t="b">
        <v>0</v>
      </c>
      <c r="AT63" s="36">
        <f t="shared" si="35"/>
        <v>446333</v>
      </c>
      <c r="AU63" s="36">
        <f t="shared" si="36"/>
        <v>223167</v>
      </c>
      <c r="AV63" s="36">
        <f t="shared" si="37"/>
        <v>55792</v>
      </c>
      <c r="AW63" s="36">
        <f t="shared" si="38"/>
        <v>22317</v>
      </c>
      <c r="AX63" s="96">
        <v>114458.00000000001</v>
      </c>
      <c r="AY63" s="36">
        <f t="shared" si="39"/>
        <v>415734</v>
      </c>
      <c r="AZ63" s="36">
        <f t="shared" si="40"/>
        <v>21600</v>
      </c>
      <c r="BA63" s="36">
        <f t="shared" si="41"/>
        <v>0</v>
      </c>
      <c r="BB63" s="11">
        <v>72</v>
      </c>
      <c r="BC63" s="11">
        <v>0</v>
      </c>
      <c r="BD63" s="11">
        <v>0</v>
      </c>
      <c r="BE63" s="38">
        <f>ROUND((IF(($AT63&lt;=700000),0,IF(((VLOOKUP($AR63,'Loyalty - Effec - 15July'!$B$5:$C$17,2,0)*$AT63)&lt;=120000),(VLOOKUP($AR63,'Loyalty - Effec - 15July'!$B$5:$C$17,2,0)*$AT63),120000))),0)</f>
        <v>0</v>
      </c>
      <c r="BF63" s="38">
        <v>8927</v>
      </c>
      <c r="BG63" s="39">
        <f t="shared" si="42"/>
        <v>446333</v>
      </c>
      <c r="BH63" s="36">
        <f t="shared" si="43"/>
        <v>0</v>
      </c>
      <c r="BI63" s="39">
        <f t="shared" si="44"/>
        <v>0</v>
      </c>
      <c r="BJ63" s="39">
        <f t="shared" si="45"/>
        <v>394134</v>
      </c>
      <c r="BK63" s="39">
        <f t="shared" si="46"/>
        <v>32844.5</v>
      </c>
      <c r="BL63" s="39">
        <f t="shared" si="47"/>
        <v>0</v>
      </c>
      <c r="BM63" s="39">
        <f t="shared" si="48"/>
        <v>0</v>
      </c>
      <c r="BN63" s="39">
        <f t="shared" si="49"/>
        <v>0</v>
      </c>
      <c r="BO63" s="11"/>
      <c r="BP63" s="11"/>
      <c r="BQ63" s="11"/>
      <c r="BR63" s="11"/>
      <c r="BS63" s="11"/>
    </row>
    <row r="64" spans="1:71">
      <c r="A64" s="45" t="s">
        <v>207</v>
      </c>
      <c r="B64" s="11" t="s">
        <v>119</v>
      </c>
      <c r="C64" s="11" t="s">
        <v>80</v>
      </c>
      <c r="D64" s="45" t="s">
        <v>298</v>
      </c>
      <c r="E64" s="11" t="s">
        <v>82</v>
      </c>
      <c r="F64" s="11" t="s">
        <v>94</v>
      </c>
      <c r="G64" s="45" t="s">
        <v>290</v>
      </c>
      <c r="H64" s="11" t="s">
        <v>352</v>
      </c>
      <c r="I64" s="11" t="s">
        <v>405</v>
      </c>
      <c r="J64" s="11"/>
      <c r="K64" s="11"/>
      <c r="L64" s="11"/>
      <c r="M64" s="34" t="s">
        <v>97</v>
      </c>
      <c r="N64" s="11" t="str">
        <f t="shared" si="29"/>
        <v>AC1</v>
      </c>
      <c r="O64" s="35">
        <v>240000</v>
      </c>
      <c r="P64" s="36">
        <f t="shared" si="28"/>
        <v>120000</v>
      </c>
      <c r="Q64" s="35">
        <v>30000</v>
      </c>
      <c r="R64" s="103">
        <v>12000</v>
      </c>
      <c r="S64" s="35">
        <v>49456</v>
      </c>
      <c r="T64" s="36">
        <f t="shared" si="27"/>
        <v>211456</v>
      </c>
      <c r="U64" s="36">
        <f t="shared" si="24"/>
        <v>21600</v>
      </c>
      <c r="V64" s="36">
        <v>6872</v>
      </c>
      <c r="W64" s="11">
        <v>72</v>
      </c>
      <c r="X64" s="11">
        <v>0</v>
      </c>
      <c r="Y64" s="11">
        <v>0</v>
      </c>
      <c r="Z64" s="11">
        <v>0</v>
      </c>
      <c r="AA64" s="38">
        <v>0</v>
      </c>
      <c r="AB64" s="39">
        <f t="shared" si="30"/>
        <v>240000</v>
      </c>
      <c r="AC64" s="40">
        <f t="shared" si="31"/>
        <v>1585.92</v>
      </c>
      <c r="AD64" s="41">
        <f t="shared" si="32"/>
        <v>0</v>
      </c>
      <c r="AE64" s="12">
        <f t="shared" si="33"/>
        <v>188270.08000000002</v>
      </c>
      <c r="AF64" s="12">
        <f t="shared" si="34"/>
        <v>15689.173333333334</v>
      </c>
      <c r="AG64" s="11" t="s">
        <v>83</v>
      </c>
      <c r="AH64" s="11" t="s">
        <v>83</v>
      </c>
      <c r="AI64" s="11" t="s">
        <v>83</v>
      </c>
      <c r="AJ64" s="11" t="s">
        <v>83</v>
      </c>
      <c r="AK64" s="11" t="s">
        <v>83</v>
      </c>
      <c r="AL64" s="11" t="s">
        <v>83</v>
      </c>
      <c r="AM64" s="11"/>
      <c r="AN64" s="11"/>
      <c r="AO64" s="11"/>
      <c r="AP64" s="11"/>
      <c r="AQ64" s="11" t="s">
        <v>85</v>
      </c>
      <c r="AR64" s="11"/>
      <c r="AS64" s="11" t="b">
        <v>0</v>
      </c>
      <c r="AT64" s="36">
        <f t="shared" si="35"/>
        <v>240000</v>
      </c>
      <c r="AU64" s="36">
        <f t="shared" si="36"/>
        <v>120000</v>
      </c>
      <c r="AV64" s="36">
        <f t="shared" si="37"/>
        <v>30000</v>
      </c>
      <c r="AW64" s="36">
        <f t="shared" si="38"/>
        <v>12000</v>
      </c>
      <c r="AX64" s="96">
        <v>49456</v>
      </c>
      <c r="AY64" s="36">
        <f t="shared" si="39"/>
        <v>211456</v>
      </c>
      <c r="AZ64" s="36">
        <f t="shared" si="40"/>
        <v>21600</v>
      </c>
      <c r="BA64" s="36">
        <f t="shared" si="41"/>
        <v>6872</v>
      </c>
      <c r="BB64" s="11">
        <v>72</v>
      </c>
      <c r="BC64" s="11">
        <v>0</v>
      </c>
      <c r="BD64" s="11">
        <v>0</v>
      </c>
      <c r="BE64" s="38">
        <f>ROUND((IF(($AT64&lt;=700000),0,IF(((VLOOKUP($AR64,'Loyalty - Effec - 15July'!$B$5:$C$17,2,0)*$AT64)&lt;=120000),(VLOOKUP($AR64,'Loyalty - Effec - 15July'!$B$5:$C$17,2,0)*$AT64),120000))),0)</f>
        <v>0</v>
      </c>
      <c r="BF64" s="38">
        <v>0</v>
      </c>
      <c r="BG64" s="39">
        <f t="shared" si="42"/>
        <v>240000</v>
      </c>
      <c r="BH64" s="36">
        <f t="shared" si="43"/>
        <v>1586</v>
      </c>
      <c r="BI64" s="39">
        <f t="shared" si="44"/>
        <v>0</v>
      </c>
      <c r="BJ64" s="39">
        <f t="shared" si="45"/>
        <v>188270</v>
      </c>
      <c r="BK64" s="39">
        <f t="shared" si="46"/>
        <v>15689.166666666666</v>
      </c>
      <c r="BL64" s="39">
        <f t="shared" si="47"/>
        <v>0</v>
      </c>
      <c r="BM64" s="39">
        <f t="shared" si="48"/>
        <v>-6.6666666680248454E-3</v>
      </c>
      <c r="BN64" s="39">
        <f t="shared" si="49"/>
        <v>-6.6666666680248454E-3</v>
      </c>
      <c r="BO64" s="11"/>
      <c r="BP64" s="11"/>
      <c r="BQ64" s="11"/>
      <c r="BR64" s="11"/>
      <c r="BS64" s="11"/>
    </row>
    <row r="65" spans="1:79">
      <c r="A65" s="45" t="s">
        <v>213</v>
      </c>
      <c r="B65" s="11" t="s">
        <v>119</v>
      </c>
      <c r="C65" s="11" t="s">
        <v>80</v>
      </c>
      <c r="D65" s="45" t="s">
        <v>298</v>
      </c>
      <c r="E65" s="11" t="s">
        <v>82</v>
      </c>
      <c r="F65" s="11" t="s">
        <v>95</v>
      </c>
      <c r="G65" s="45" t="s">
        <v>296</v>
      </c>
      <c r="H65" s="11" t="s">
        <v>327</v>
      </c>
      <c r="I65" s="11">
        <v>0</v>
      </c>
      <c r="J65" s="11"/>
      <c r="K65" s="11"/>
      <c r="L65" s="11"/>
      <c r="M65" s="34" t="s">
        <v>97</v>
      </c>
      <c r="N65" s="11" t="str">
        <f t="shared" si="29"/>
        <v>AC1</v>
      </c>
      <c r="O65" s="35">
        <v>240000</v>
      </c>
      <c r="P65" s="36">
        <f t="shared" si="28"/>
        <v>120000</v>
      </c>
      <c r="Q65" s="35">
        <v>30000</v>
      </c>
      <c r="R65" s="103">
        <v>12000</v>
      </c>
      <c r="S65" s="35">
        <v>49456.000000000007</v>
      </c>
      <c r="T65" s="36">
        <f t="shared" si="27"/>
        <v>211456</v>
      </c>
      <c r="U65" s="36">
        <f t="shared" si="24"/>
        <v>21600</v>
      </c>
      <c r="V65" s="36">
        <v>6872</v>
      </c>
      <c r="W65" s="11">
        <v>72</v>
      </c>
      <c r="X65" s="11">
        <v>0</v>
      </c>
      <c r="Y65" s="11">
        <v>0</v>
      </c>
      <c r="Z65" s="11">
        <v>0</v>
      </c>
      <c r="AA65" s="38">
        <v>0</v>
      </c>
      <c r="AB65" s="39">
        <f t="shared" si="30"/>
        <v>240000</v>
      </c>
      <c r="AC65" s="40">
        <f t="shared" si="31"/>
        <v>1585.92</v>
      </c>
      <c r="AD65" s="41">
        <f t="shared" si="32"/>
        <v>0</v>
      </c>
      <c r="AE65" s="12">
        <f t="shared" si="33"/>
        <v>188270.08000000002</v>
      </c>
      <c r="AF65" s="12">
        <f t="shared" si="34"/>
        <v>15689.173333333334</v>
      </c>
      <c r="AG65" s="11" t="s">
        <v>83</v>
      </c>
      <c r="AH65" s="11" t="s">
        <v>83</v>
      </c>
      <c r="AI65" s="11" t="s">
        <v>83</v>
      </c>
      <c r="AJ65" s="11" t="s">
        <v>83</v>
      </c>
      <c r="AK65" s="11" t="s">
        <v>83</v>
      </c>
      <c r="AL65" s="11" t="s">
        <v>83</v>
      </c>
      <c r="AM65" s="11"/>
      <c r="AN65" s="11"/>
      <c r="AO65" s="11"/>
      <c r="AP65" s="11"/>
      <c r="AQ65" s="11" t="s">
        <v>85</v>
      </c>
      <c r="AR65" s="11"/>
      <c r="AS65" s="11" t="b">
        <v>0</v>
      </c>
      <c r="AT65" s="36">
        <f t="shared" si="35"/>
        <v>240000</v>
      </c>
      <c r="AU65" s="36">
        <f t="shared" si="36"/>
        <v>120000</v>
      </c>
      <c r="AV65" s="36">
        <f t="shared" si="37"/>
        <v>30000</v>
      </c>
      <c r="AW65" s="36">
        <f t="shared" si="38"/>
        <v>12000</v>
      </c>
      <c r="AX65" s="96">
        <v>49456.000000000007</v>
      </c>
      <c r="AY65" s="36">
        <f t="shared" si="39"/>
        <v>211456</v>
      </c>
      <c r="AZ65" s="36">
        <f t="shared" si="40"/>
        <v>21600</v>
      </c>
      <c r="BA65" s="36">
        <f t="shared" si="41"/>
        <v>6872</v>
      </c>
      <c r="BB65" s="11">
        <v>72</v>
      </c>
      <c r="BC65" s="11">
        <v>0</v>
      </c>
      <c r="BD65" s="11">
        <v>0</v>
      </c>
      <c r="BE65" s="38">
        <f>ROUND((IF(($AT65&lt;=700000),0,IF(((VLOOKUP($AR65,'Loyalty - Effec - 15July'!$B$5:$C$17,2,0)*$AT65)&lt;=120000),(VLOOKUP($AR65,'Loyalty - Effec - 15July'!$B$5:$C$17,2,0)*$AT65),120000))),0)</f>
        <v>0</v>
      </c>
      <c r="BF65" s="38">
        <v>0</v>
      </c>
      <c r="BG65" s="39">
        <f t="shared" si="42"/>
        <v>240000</v>
      </c>
      <c r="BH65" s="36">
        <f t="shared" si="43"/>
        <v>1586</v>
      </c>
      <c r="BI65" s="39">
        <f t="shared" si="44"/>
        <v>0</v>
      </c>
      <c r="BJ65" s="39">
        <f t="shared" si="45"/>
        <v>188270</v>
      </c>
      <c r="BK65" s="39">
        <f t="shared" si="46"/>
        <v>15689.166666666666</v>
      </c>
      <c r="BL65" s="39">
        <f t="shared" si="47"/>
        <v>0</v>
      </c>
      <c r="BM65" s="39">
        <f t="shared" si="48"/>
        <v>-6.6666666680248454E-3</v>
      </c>
      <c r="BN65" s="39">
        <f t="shared" si="49"/>
        <v>-6.6666666680248454E-3</v>
      </c>
      <c r="BO65" s="11"/>
      <c r="BP65" s="11"/>
      <c r="BQ65" s="11"/>
      <c r="BR65" s="11"/>
      <c r="BS65" s="11"/>
    </row>
    <row r="66" spans="1:79">
      <c r="A66" s="45" t="s">
        <v>143</v>
      </c>
      <c r="B66" s="11" t="s">
        <v>119</v>
      </c>
      <c r="C66" s="11" t="s">
        <v>80</v>
      </c>
      <c r="D66" s="45" t="s">
        <v>298</v>
      </c>
      <c r="E66" s="11" t="s">
        <v>82</v>
      </c>
      <c r="F66" s="11" t="s">
        <v>94</v>
      </c>
      <c r="G66" s="34" t="s">
        <v>88</v>
      </c>
      <c r="H66" s="11" t="s">
        <v>353</v>
      </c>
      <c r="I66" s="11" t="s">
        <v>381</v>
      </c>
      <c r="J66" s="11"/>
      <c r="K66" s="11"/>
      <c r="L66" s="11"/>
      <c r="M66" s="34" t="s">
        <v>102</v>
      </c>
      <c r="N66" s="11" t="str">
        <f t="shared" si="29"/>
        <v>C1</v>
      </c>
      <c r="O66" s="35">
        <v>2300000</v>
      </c>
      <c r="P66" s="36">
        <f t="shared" si="28"/>
        <v>1150000</v>
      </c>
      <c r="Q66" s="35">
        <v>287500</v>
      </c>
      <c r="R66" s="103">
        <v>115000</v>
      </c>
      <c r="S66" s="35">
        <v>575827.99999999988</v>
      </c>
      <c r="T66" s="36">
        <f t="shared" si="27"/>
        <v>2128328</v>
      </c>
      <c r="U66" s="36">
        <f t="shared" si="24"/>
        <v>21600</v>
      </c>
      <c r="V66" s="36">
        <v>0</v>
      </c>
      <c r="W66" s="11">
        <v>72</v>
      </c>
      <c r="X66" s="11">
        <v>0</v>
      </c>
      <c r="Y66" s="90">
        <v>30000</v>
      </c>
      <c r="Z66" s="11">
        <v>120000</v>
      </c>
      <c r="AA66" s="38">
        <v>0</v>
      </c>
      <c r="AB66" s="39">
        <f t="shared" si="30"/>
        <v>2300000</v>
      </c>
      <c r="AC66" s="40">
        <f t="shared" si="31"/>
        <v>0</v>
      </c>
      <c r="AD66" s="41">
        <f t="shared" si="32"/>
        <v>0</v>
      </c>
      <c r="AE66" s="12">
        <f t="shared" si="33"/>
        <v>2226728</v>
      </c>
      <c r="AF66" s="12">
        <f t="shared" si="34"/>
        <v>185560.66666666666</v>
      </c>
      <c r="AG66" s="11" t="s">
        <v>83</v>
      </c>
      <c r="AH66" s="11" t="s">
        <v>83</v>
      </c>
      <c r="AI66" s="11" t="s">
        <v>83</v>
      </c>
      <c r="AJ66" s="11" t="s">
        <v>83</v>
      </c>
      <c r="AK66" s="11" t="s">
        <v>83</v>
      </c>
      <c r="AL66" s="11" t="s">
        <v>83</v>
      </c>
      <c r="AM66" s="11"/>
      <c r="AN66" s="11"/>
      <c r="AO66" s="11"/>
      <c r="AP66" s="11"/>
      <c r="AQ66" s="11" t="s">
        <v>85</v>
      </c>
      <c r="AR66" s="11"/>
      <c r="AS66" s="11" t="b">
        <v>0</v>
      </c>
      <c r="AT66" s="36">
        <f t="shared" si="35"/>
        <v>2300000</v>
      </c>
      <c r="AU66" s="36">
        <f t="shared" si="36"/>
        <v>1150000</v>
      </c>
      <c r="AV66" s="36">
        <f t="shared" si="37"/>
        <v>287500</v>
      </c>
      <c r="AW66" s="36">
        <f t="shared" si="38"/>
        <v>115000</v>
      </c>
      <c r="AX66" s="96">
        <v>575827.99999999895</v>
      </c>
      <c r="AY66" s="36">
        <f t="shared" si="39"/>
        <v>2128327.9999999991</v>
      </c>
      <c r="AZ66" s="36">
        <f t="shared" si="40"/>
        <v>21600</v>
      </c>
      <c r="BA66" s="36">
        <f t="shared" si="41"/>
        <v>0</v>
      </c>
      <c r="BB66" s="11">
        <v>72</v>
      </c>
      <c r="BC66" s="11">
        <v>0</v>
      </c>
      <c r="BD66" s="11">
        <v>0</v>
      </c>
      <c r="BE66" s="38">
        <v>120000</v>
      </c>
      <c r="BF66" s="38">
        <v>0</v>
      </c>
      <c r="BG66" s="39">
        <f t="shared" si="42"/>
        <v>2269999.9999999991</v>
      </c>
      <c r="BH66" s="36">
        <f t="shared" si="43"/>
        <v>0</v>
      </c>
      <c r="BI66" s="39">
        <f t="shared" si="44"/>
        <v>30000.000000000931</v>
      </c>
      <c r="BJ66" s="39">
        <f t="shared" si="45"/>
        <v>2226727.9999999991</v>
      </c>
      <c r="BK66" s="39">
        <f t="shared" si="46"/>
        <v>185560.6666666666</v>
      </c>
      <c r="BL66" s="39">
        <f t="shared" si="47"/>
        <v>-30000.000000000931</v>
      </c>
      <c r="BM66" s="39">
        <f t="shared" si="48"/>
        <v>0</v>
      </c>
      <c r="BN66" s="39">
        <f t="shared" si="49"/>
        <v>0</v>
      </c>
      <c r="BO66" s="11"/>
      <c r="BP66" s="11"/>
      <c r="BQ66" s="11"/>
      <c r="BR66" s="11"/>
      <c r="BS66" s="11"/>
    </row>
    <row r="67" spans="1:79">
      <c r="A67" s="45" t="s">
        <v>188</v>
      </c>
      <c r="B67" s="11" t="s">
        <v>119</v>
      </c>
      <c r="C67" s="11" t="s">
        <v>80</v>
      </c>
      <c r="D67" s="45" t="s">
        <v>298</v>
      </c>
      <c r="E67" s="11" t="s">
        <v>82</v>
      </c>
      <c r="F67" s="11" t="s">
        <v>95</v>
      </c>
      <c r="G67" s="45" t="s">
        <v>271</v>
      </c>
      <c r="H67" s="11" t="s">
        <v>354</v>
      </c>
      <c r="I67" s="11" t="s">
        <v>398</v>
      </c>
      <c r="J67" s="11"/>
      <c r="K67" s="11"/>
      <c r="L67" s="11"/>
      <c r="M67" s="34" t="s">
        <v>110</v>
      </c>
      <c r="N67" s="11" t="str">
        <f t="shared" si="29"/>
        <v>SAC2</v>
      </c>
      <c r="O67" s="35">
        <v>420000</v>
      </c>
      <c r="P67" s="36">
        <f t="shared" si="28"/>
        <v>210000</v>
      </c>
      <c r="Q67" s="35">
        <v>52500</v>
      </c>
      <c r="R67" s="103">
        <v>21000</v>
      </c>
      <c r="S67" s="35">
        <v>106428.00000000001</v>
      </c>
      <c r="T67" s="36">
        <f t="shared" si="27"/>
        <v>389928</v>
      </c>
      <c r="U67" s="36">
        <f t="shared" si="24"/>
        <v>21600</v>
      </c>
      <c r="V67" s="36">
        <v>0</v>
      </c>
      <c r="W67" s="11">
        <v>72</v>
      </c>
      <c r="X67" s="11">
        <v>0</v>
      </c>
      <c r="Y67" s="11">
        <v>0</v>
      </c>
      <c r="Z67" s="11">
        <v>0</v>
      </c>
      <c r="AA67" s="38">
        <v>8400</v>
      </c>
      <c r="AB67" s="39">
        <f t="shared" si="30"/>
        <v>420000</v>
      </c>
      <c r="AC67" s="40">
        <f t="shared" si="31"/>
        <v>0</v>
      </c>
      <c r="AD67" s="41">
        <f t="shared" si="32"/>
        <v>0</v>
      </c>
      <c r="AE67" s="12">
        <f t="shared" si="33"/>
        <v>368328</v>
      </c>
      <c r="AF67" s="12">
        <f t="shared" si="34"/>
        <v>30694</v>
      </c>
      <c r="AG67" s="11" t="s">
        <v>83</v>
      </c>
      <c r="AH67" s="11" t="s">
        <v>83</v>
      </c>
      <c r="AI67" s="11" t="s">
        <v>83</v>
      </c>
      <c r="AJ67" s="11" t="s">
        <v>83</v>
      </c>
      <c r="AK67" s="11" t="s">
        <v>83</v>
      </c>
      <c r="AL67" s="11" t="s">
        <v>83</v>
      </c>
      <c r="AM67" s="11"/>
      <c r="AN67" s="11"/>
      <c r="AO67" s="11"/>
      <c r="AP67" s="11"/>
      <c r="AQ67" s="11" t="s">
        <v>85</v>
      </c>
      <c r="AR67" s="11"/>
      <c r="AS67" s="11" t="b">
        <v>0</v>
      </c>
      <c r="AT67" s="36">
        <f t="shared" si="35"/>
        <v>420000</v>
      </c>
      <c r="AU67" s="36">
        <f t="shared" si="36"/>
        <v>210000</v>
      </c>
      <c r="AV67" s="36">
        <f t="shared" si="37"/>
        <v>52500</v>
      </c>
      <c r="AW67" s="36">
        <f t="shared" si="38"/>
        <v>21000</v>
      </c>
      <c r="AX67" s="96">
        <v>106428.00000000001</v>
      </c>
      <c r="AY67" s="36">
        <f t="shared" si="39"/>
        <v>389928</v>
      </c>
      <c r="AZ67" s="36">
        <f t="shared" si="40"/>
        <v>21600</v>
      </c>
      <c r="BA67" s="36">
        <f t="shared" si="41"/>
        <v>0</v>
      </c>
      <c r="BB67" s="11">
        <v>72</v>
      </c>
      <c r="BC67" s="11">
        <v>0</v>
      </c>
      <c r="BD67" s="11">
        <v>0</v>
      </c>
      <c r="BE67" s="38">
        <f>ROUND((IF(($AT67&lt;=700000),0,IF(((VLOOKUP($AR67,'Loyalty - Effec - 15July'!$B$5:$C$17,2,0)*$AT67)&lt;=120000),(VLOOKUP($AR67,'Loyalty - Effec - 15July'!$B$5:$C$17,2,0)*$AT67),120000))),0)</f>
        <v>0</v>
      </c>
      <c r="BF67" s="38">
        <v>8400</v>
      </c>
      <c r="BG67" s="39">
        <f t="shared" si="42"/>
        <v>420000</v>
      </c>
      <c r="BH67" s="36">
        <f t="shared" si="43"/>
        <v>0</v>
      </c>
      <c r="BI67" s="39">
        <f t="shared" si="44"/>
        <v>0</v>
      </c>
      <c r="BJ67" s="39">
        <f t="shared" si="45"/>
        <v>368328</v>
      </c>
      <c r="BK67" s="39">
        <f t="shared" si="46"/>
        <v>30694</v>
      </c>
      <c r="BL67" s="39">
        <f t="shared" si="47"/>
        <v>0</v>
      </c>
      <c r="BM67" s="39">
        <f t="shared" si="48"/>
        <v>0</v>
      </c>
      <c r="BN67" s="39">
        <f t="shared" si="49"/>
        <v>0</v>
      </c>
      <c r="BO67" s="11"/>
      <c r="BP67" s="11"/>
      <c r="BQ67" s="11"/>
      <c r="BR67" s="11"/>
      <c r="BS67" s="11"/>
    </row>
    <row r="68" spans="1:79">
      <c r="A68" s="45" t="s">
        <v>148</v>
      </c>
      <c r="B68" s="11" t="s">
        <v>119</v>
      </c>
      <c r="C68" s="11" t="s">
        <v>80</v>
      </c>
      <c r="D68" s="45" t="s">
        <v>298</v>
      </c>
      <c r="E68" s="11" t="s">
        <v>82</v>
      </c>
      <c r="F68" s="11" t="s">
        <v>94</v>
      </c>
      <c r="G68" s="34" t="s">
        <v>231</v>
      </c>
      <c r="H68" s="11" t="s">
        <v>355</v>
      </c>
      <c r="I68" s="11" t="s">
        <v>415</v>
      </c>
      <c r="J68" s="11"/>
      <c r="K68" s="11"/>
      <c r="L68" s="11"/>
      <c r="M68" s="34" t="s">
        <v>99</v>
      </c>
      <c r="N68" s="11" t="str">
        <f t="shared" si="29"/>
        <v>AC3</v>
      </c>
      <c r="O68" s="35">
        <v>1574100</v>
      </c>
      <c r="P68" s="36">
        <f t="shared" si="28"/>
        <v>787050</v>
      </c>
      <c r="Q68" s="35">
        <v>196763</v>
      </c>
      <c r="R68" s="103">
        <v>78705</v>
      </c>
      <c r="S68" s="35">
        <v>395464</v>
      </c>
      <c r="T68" s="36">
        <f t="shared" si="27"/>
        <v>1457982</v>
      </c>
      <c r="U68" s="36">
        <f t="shared" si="24"/>
        <v>21600</v>
      </c>
      <c r="V68" s="36">
        <v>0</v>
      </c>
      <c r="W68" s="11">
        <v>72</v>
      </c>
      <c r="X68" s="11">
        <v>0</v>
      </c>
      <c r="Y68" s="11">
        <v>0</v>
      </c>
      <c r="Z68" s="11">
        <v>47223</v>
      </c>
      <c r="AA68" s="38">
        <v>47223</v>
      </c>
      <c r="AB68" s="39">
        <f t="shared" si="30"/>
        <v>1574100</v>
      </c>
      <c r="AC68" s="40">
        <f t="shared" si="31"/>
        <v>0</v>
      </c>
      <c r="AD68" s="41">
        <f t="shared" si="32"/>
        <v>0</v>
      </c>
      <c r="AE68" s="12">
        <f t="shared" si="33"/>
        <v>1483605</v>
      </c>
      <c r="AF68" s="12">
        <f t="shared" si="34"/>
        <v>123633.75</v>
      </c>
      <c r="AG68" s="11" t="s">
        <v>83</v>
      </c>
      <c r="AH68" s="11" t="s">
        <v>83</v>
      </c>
      <c r="AI68" s="11" t="s">
        <v>83</v>
      </c>
      <c r="AJ68" s="11" t="s">
        <v>83</v>
      </c>
      <c r="AK68" s="11" t="s">
        <v>83</v>
      </c>
      <c r="AL68" s="11" t="s">
        <v>83</v>
      </c>
      <c r="AM68" s="11"/>
      <c r="AN68" s="11"/>
      <c r="AO68" s="11"/>
      <c r="AP68" s="11"/>
      <c r="AQ68" s="11" t="s">
        <v>85</v>
      </c>
      <c r="AR68" s="11"/>
      <c r="AS68" s="11" t="b">
        <v>0</v>
      </c>
      <c r="AT68" s="36">
        <f t="shared" si="35"/>
        <v>1574100</v>
      </c>
      <c r="AU68" s="36">
        <f t="shared" si="36"/>
        <v>787050</v>
      </c>
      <c r="AV68" s="36">
        <f t="shared" si="37"/>
        <v>196763</v>
      </c>
      <c r="AW68" s="36">
        <f t="shared" si="38"/>
        <v>78705</v>
      </c>
      <c r="AX68" s="96">
        <v>395464</v>
      </c>
      <c r="AY68" s="36">
        <f t="shared" si="39"/>
        <v>1457982</v>
      </c>
      <c r="AZ68" s="36">
        <f t="shared" si="40"/>
        <v>21600</v>
      </c>
      <c r="BA68" s="36">
        <f t="shared" si="41"/>
        <v>0</v>
      </c>
      <c r="BB68" s="11">
        <v>72</v>
      </c>
      <c r="BC68" s="11">
        <v>0</v>
      </c>
      <c r="BD68" s="11">
        <v>0</v>
      </c>
      <c r="BE68" s="38">
        <v>47223</v>
      </c>
      <c r="BF68" s="38">
        <v>47223</v>
      </c>
      <c r="BG68" s="39">
        <f t="shared" si="42"/>
        <v>1574100</v>
      </c>
      <c r="BH68" s="36">
        <f t="shared" si="43"/>
        <v>0</v>
      </c>
      <c r="BI68" s="39">
        <f t="shared" si="44"/>
        <v>0</v>
      </c>
      <c r="BJ68" s="39">
        <f t="shared" si="45"/>
        <v>1483605</v>
      </c>
      <c r="BK68" s="39">
        <f t="shared" si="46"/>
        <v>123633.75</v>
      </c>
      <c r="BL68" s="39">
        <f t="shared" si="47"/>
        <v>0</v>
      </c>
      <c r="BM68" s="39">
        <f t="shared" si="48"/>
        <v>0</v>
      </c>
      <c r="BN68" s="39">
        <f t="shared" si="49"/>
        <v>0</v>
      </c>
      <c r="BO68" s="11"/>
      <c r="BP68" s="11"/>
      <c r="BQ68" s="11"/>
      <c r="BR68" s="11"/>
      <c r="BS68" s="11"/>
    </row>
    <row r="69" spans="1:79">
      <c r="A69" s="45" t="s">
        <v>177</v>
      </c>
      <c r="B69" s="11" t="s">
        <v>119</v>
      </c>
      <c r="C69" s="11" t="s">
        <v>80</v>
      </c>
      <c r="D69" s="45" t="s">
        <v>298</v>
      </c>
      <c r="E69" s="11" t="s">
        <v>82</v>
      </c>
      <c r="F69" s="11" t="s">
        <v>94</v>
      </c>
      <c r="G69" s="45" t="s">
        <v>260</v>
      </c>
      <c r="H69" s="11" t="s">
        <v>356</v>
      </c>
      <c r="I69" s="11" t="s">
        <v>417</v>
      </c>
      <c r="J69" s="11"/>
      <c r="K69" s="11"/>
      <c r="L69" s="11"/>
      <c r="M69" s="34" t="s">
        <v>97</v>
      </c>
      <c r="N69" s="11" t="str">
        <f t="shared" ref="N69:N93" si="50">M69</f>
        <v>AC1</v>
      </c>
      <c r="O69" s="35">
        <v>265368</v>
      </c>
      <c r="P69" s="36">
        <f t="shared" si="28"/>
        <v>132690</v>
      </c>
      <c r="Q69" s="35">
        <v>33173</v>
      </c>
      <c r="R69" s="103">
        <v>13269</v>
      </c>
      <c r="S69" s="35">
        <v>56892.999999999993</v>
      </c>
      <c r="T69" s="36">
        <f t="shared" si="27"/>
        <v>236025</v>
      </c>
      <c r="U69" s="36">
        <f t="shared" si="24"/>
        <v>21600</v>
      </c>
      <c r="V69" s="36">
        <v>7671</v>
      </c>
      <c r="W69" s="11">
        <v>72</v>
      </c>
      <c r="X69" s="11">
        <v>0</v>
      </c>
      <c r="Y69" s="11">
        <v>0</v>
      </c>
      <c r="Z69" s="11">
        <v>0</v>
      </c>
      <c r="AA69" s="38">
        <v>0</v>
      </c>
      <c r="AB69" s="39">
        <f t="shared" ref="AB69:AB93" si="51">SUM(T69:AA69)</f>
        <v>265368</v>
      </c>
      <c r="AC69" s="40">
        <f t="shared" ref="AC69:AC93" si="52">ROUND(IF(($T69&lt;=252000),($T69*0.75%),0),2)</f>
        <v>1770.19</v>
      </c>
      <c r="AD69" s="41">
        <f t="shared" ref="AD69:AD93" si="53">O69-AB69</f>
        <v>0</v>
      </c>
      <c r="AE69" s="12">
        <f t="shared" ref="AE69:AE93" si="54">(T69+Z69)-(U69+AC69)</f>
        <v>212654.81</v>
      </c>
      <c r="AF69" s="12">
        <f t="shared" ref="AF69:AF93" si="55">AE69/12</f>
        <v>17721.234166666665</v>
      </c>
      <c r="AG69" s="11" t="s">
        <v>83</v>
      </c>
      <c r="AH69" s="11" t="s">
        <v>83</v>
      </c>
      <c r="AI69" s="11" t="s">
        <v>83</v>
      </c>
      <c r="AJ69" s="11" t="s">
        <v>83</v>
      </c>
      <c r="AK69" s="11" t="s">
        <v>83</v>
      </c>
      <c r="AL69" s="11" t="s">
        <v>83</v>
      </c>
      <c r="AM69" s="11"/>
      <c r="AN69" s="11"/>
      <c r="AO69" s="11"/>
      <c r="AP69" s="11"/>
      <c r="AQ69" s="11" t="s">
        <v>85</v>
      </c>
      <c r="AR69" s="11"/>
      <c r="AS69" s="11" t="b">
        <v>0</v>
      </c>
      <c r="AT69" s="36">
        <f t="shared" ref="AT69:AT93" si="56">O69+(O69*AP69)</f>
        <v>265368</v>
      </c>
      <c r="AU69" s="36">
        <f t="shared" ref="AU69:AU93" si="57">ROUND(AT69*$AU$3,0)</f>
        <v>132684</v>
      </c>
      <c r="AV69" s="36">
        <f t="shared" ref="AV69:AV93" si="58">ROUND(AU69*$AV$3,0)</f>
        <v>33171</v>
      </c>
      <c r="AW69" s="36">
        <f t="shared" ref="AW69:AW93" si="59">ROUND(AU69*$AW$3,0)</f>
        <v>13268</v>
      </c>
      <c r="AX69" s="96">
        <v>56902.000000000029</v>
      </c>
      <c r="AY69" s="36">
        <f t="shared" ref="AY69:AY93" si="60">SUM(AU69:AX69)</f>
        <v>236025.00000000003</v>
      </c>
      <c r="AZ69" s="36">
        <f t="shared" ref="AZ69:AZ93" si="61">ROUND(IF((AY69-AV69)&gt;180000,21600,(AY69-AV69)*12%),0)</f>
        <v>21600</v>
      </c>
      <c r="BA69" s="36">
        <f t="shared" ref="BA69:BA93" si="62">ROUND(IF(AY69&lt;252001,AY69*0.0325,0),0)</f>
        <v>7671</v>
      </c>
      <c r="BB69" s="11">
        <v>72</v>
      </c>
      <c r="BC69" s="11">
        <v>0</v>
      </c>
      <c r="BD69" s="11">
        <v>0</v>
      </c>
      <c r="BE69" s="38">
        <f>ROUND((IF(($AT69&lt;=700000),0,IF(((VLOOKUP($AR69,'Loyalty - Effec - 15July'!$B$5:$C$17,2,0)*$AT69)&lt;=120000),(VLOOKUP($AR69,'Loyalty - Effec - 15July'!$B$5:$C$17,2,0)*$AT69),120000))),0)</f>
        <v>0</v>
      </c>
      <c r="BF69" s="38">
        <v>0</v>
      </c>
      <c r="BG69" s="39">
        <f t="shared" ref="BG69:BG93" si="63">SUM(AY69:BF69)</f>
        <v>265368</v>
      </c>
      <c r="BH69" s="36">
        <f t="shared" ref="BH69:BH93" si="64">ROUND(IF(AY69&lt;252001,AY69*0.0075,0),0)</f>
        <v>1770</v>
      </c>
      <c r="BI69" s="39">
        <f t="shared" ref="BI69:BI93" si="65">AT69-BG69</f>
        <v>0</v>
      </c>
      <c r="BJ69" s="39">
        <f t="shared" ref="BJ69:BJ93" si="66">(AY69+BE69)-(AZ69+BH69)</f>
        <v>212655.00000000003</v>
      </c>
      <c r="BK69" s="39">
        <f t="shared" ref="BK69:BK93" si="67">BJ69/12</f>
        <v>17721.250000000004</v>
      </c>
      <c r="BL69" s="39">
        <f t="shared" ref="BL69:BL93" si="68">BG69-AB69</f>
        <v>0</v>
      </c>
      <c r="BM69" s="39">
        <f t="shared" ref="BM69:BM93" si="69">BK69-AF69</f>
        <v>1.5833333338377997E-2</v>
      </c>
      <c r="BN69" s="39">
        <f t="shared" ref="BN69:BN93" si="70">BK69-AF69</f>
        <v>1.5833333338377997E-2</v>
      </c>
      <c r="BO69" s="11"/>
      <c r="BP69" s="11"/>
      <c r="BQ69" s="11"/>
      <c r="BR69" s="11"/>
      <c r="BS69" s="11"/>
    </row>
    <row r="70" spans="1:79">
      <c r="A70" s="45" t="s">
        <v>170</v>
      </c>
      <c r="B70" s="11" t="s">
        <v>119</v>
      </c>
      <c r="C70" s="11" t="s">
        <v>80</v>
      </c>
      <c r="D70" s="45" t="s">
        <v>298</v>
      </c>
      <c r="E70" s="11" t="s">
        <v>82</v>
      </c>
      <c r="F70" s="11" t="s">
        <v>95</v>
      </c>
      <c r="G70" s="45" t="s">
        <v>253</v>
      </c>
      <c r="H70" s="11" t="s">
        <v>357</v>
      </c>
      <c r="I70" s="11" t="s">
        <v>392</v>
      </c>
      <c r="J70" s="11"/>
      <c r="K70" s="11"/>
      <c r="L70" s="11"/>
      <c r="M70" s="34" t="s">
        <v>98</v>
      </c>
      <c r="N70" s="11" t="str">
        <f t="shared" si="50"/>
        <v>AC2</v>
      </c>
      <c r="O70" s="35">
        <v>487600</v>
      </c>
      <c r="P70" s="36">
        <f t="shared" si="28"/>
        <v>243800</v>
      </c>
      <c r="Q70" s="35">
        <v>60950</v>
      </c>
      <c r="R70" s="103">
        <v>24380</v>
      </c>
      <c r="S70" s="35">
        <v>127045.99999999999</v>
      </c>
      <c r="T70" s="36">
        <f t="shared" si="27"/>
        <v>456176</v>
      </c>
      <c r="U70" s="36">
        <f t="shared" ref="U70:U93" si="71">ROUND(IF(($T70-$Q70)&lt;=180000,($T70-$Q70)*12%,(180000*12%)),2)</f>
        <v>21600</v>
      </c>
      <c r="V70" s="36">
        <v>0</v>
      </c>
      <c r="W70" s="11">
        <v>72</v>
      </c>
      <c r="X70" s="11">
        <v>0</v>
      </c>
      <c r="Y70" s="11">
        <v>0</v>
      </c>
      <c r="Z70" s="11">
        <v>0</v>
      </c>
      <c r="AA70" s="38">
        <v>9752</v>
      </c>
      <c r="AB70" s="39">
        <f t="shared" si="51"/>
        <v>487600</v>
      </c>
      <c r="AC70" s="40">
        <f t="shared" si="52"/>
        <v>0</v>
      </c>
      <c r="AD70" s="41">
        <f t="shared" si="53"/>
        <v>0</v>
      </c>
      <c r="AE70" s="12">
        <f t="shared" si="54"/>
        <v>434576</v>
      </c>
      <c r="AF70" s="12">
        <f t="shared" si="55"/>
        <v>36214.666666666664</v>
      </c>
      <c r="AG70" s="11" t="s">
        <v>83</v>
      </c>
      <c r="AH70" s="11" t="s">
        <v>83</v>
      </c>
      <c r="AI70" s="11" t="s">
        <v>83</v>
      </c>
      <c r="AJ70" s="11" t="s">
        <v>83</v>
      </c>
      <c r="AK70" s="11" t="s">
        <v>83</v>
      </c>
      <c r="AL70" s="11" t="s">
        <v>83</v>
      </c>
      <c r="AM70" s="11"/>
      <c r="AN70" s="11"/>
      <c r="AO70" s="11"/>
      <c r="AP70" s="11"/>
      <c r="AQ70" s="11" t="s">
        <v>85</v>
      </c>
      <c r="AR70" s="11"/>
      <c r="AS70" s="11" t="b">
        <v>0</v>
      </c>
      <c r="AT70" s="36">
        <f t="shared" si="56"/>
        <v>487600</v>
      </c>
      <c r="AU70" s="36">
        <f t="shared" si="57"/>
        <v>243800</v>
      </c>
      <c r="AV70" s="36">
        <f t="shared" si="58"/>
        <v>60950</v>
      </c>
      <c r="AW70" s="36">
        <f t="shared" si="59"/>
        <v>24380</v>
      </c>
      <c r="AX70" s="96">
        <v>127045.99999999999</v>
      </c>
      <c r="AY70" s="36">
        <f t="shared" si="60"/>
        <v>456176</v>
      </c>
      <c r="AZ70" s="36">
        <f t="shared" si="61"/>
        <v>21600</v>
      </c>
      <c r="BA70" s="36">
        <f t="shared" si="62"/>
        <v>0</v>
      </c>
      <c r="BB70" s="11">
        <v>72</v>
      </c>
      <c r="BC70" s="11">
        <v>0</v>
      </c>
      <c r="BD70" s="11">
        <v>0</v>
      </c>
      <c r="BE70" s="38">
        <f>ROUND((IF(($AT70&lt;=700000),0,IF(((VLOOKUP($AR70,'Loyalty - Effec - 15July'!$B$5:$C$17,2,0)*$AT70)&lt;=120000),(VLOOKUP($AR70,'Loyalty - Effec - 15July'!$B$5:$C$17,2,0)*$AT70),120000))),0)</f>
        <v>0</v>
      </c>
      <c r="BF70" s="38">
        <v>9752</v>
      </c>
      <c r="BG70" s="39">
        <f t="shared" si="63"/>
        <v>487600</v>
      </c>
      <c r="BH70" s="36">
        <f t="shared" si="64"/>
        <v>0</v>
      </c>
      <c r="BI70" s="39">
        <f t="shared" si="65"/>
        <v>0</v>
      </c>
      <c r="BJ70" s="39">
        <f t="shared" si="66"/>
        <v>434576</v>
      </c>
      <c r="BK70" s="39">
        <f t="shared" si="67"/>
        <v>36214.666666666664</v>
      </c>
      <c r="BL70" s="39">
        <f t="shared" si="68"/>
        <v>0</v>
      </c>
      <c r="BM70" s="39">
        <f t="shared" si="69"/>
        <v>0</v>
      </c>
      <c r="BN70" s="39">
        <f t="shared" si="70"/>
        <v>0</v>
      </c>
      <c r="BO70" s="11"/>
      <c r="BP70" s="11"/>
      <c r="BQ70" s="11"/>
      <c r="BR70" s="11"/>
      <c r="BS70" s="11"/>
    </row>
    <row r="71" spans="1:79">
      <c r="A71" s="45" t="s">
        <v>205</v>
      </c>
      <c r="B71" s="11" t="s">
        <v>119</v>
      </c>
      <c r="C71" s="11" t="s">
        <v>80</v>
      </c>
      <c r="D71" s="45" t="s">
        <v>298</v>
      </c>
      <c r="E71" s="11" t="s">
        <v>82</v>
      </c>
      <c r="F71" s="11" t="s">
        <v>94</v>
      </c>
      <c r="G71" s="45" t="s">
        <v>288</v>
      </c>
      <c r="H71" s="11" t="s">
        <v>358</v>
      </c>
      <c r="I71" s="11" t="s">
        <v>404</v>
      </c>
      <c r="J71" s="11"/>
      <c r="K71" s="11"/>
      <c r="L71" s="11"/>
      <c r="M71" s="34" t="s">
        <v>102</v>
      </c>
      <c r="N71" s="11" t="str">
        <f t="shared" si="50"/>
        <v>C1</v>
      </c>
      <c r="O71" s="35">
        <v>2750000</v>
      </c>
      <c r="P71" s="36">
        <f t="shared" si="28"/>
        <v>1375000</v>
      </c>
      <c r="Q71" s="35">
        <v>343750</v>
      </c>
      <c r="R71" s="103">
        <v>137500</v>
      </c>
      <c r="S71" s="35">
        <v>587078.00000000012</v>
      </c>
      <c r="T71" s="36">
        <f t="shared" si="27"/>
        <v>2443328</v>
      </c>
      <c r="U71" s="36">
        <f t="shared" si="71"/>
        <v>21600</v>
      </c>
      <c r="V71" s="36">
        <v>0</v>
      </c>
      <c r="W71" s="11">
        <v>72</v>
      </c>
      <c r="X71" s="11">
        <v>0</v>
      </c>
      <c r="Y71" s="11">
        <v>0</v>
      </c>
      <c r="Z71" s="11">
        <v>120000</v>
      </c>
      <c r="AA71" s="38">
        <v>165000</v>
      </c>
      <c r="AB71" s="39">
        <f t="shared" si="51"/>
        <v>2750000</v>
      </c>
      <c r="AC71" s="40">
        <f t="shared" si="52"/>
        <v>0</v>
      </c>
      <c r="AD71" s="41">
        <f t="shared" si="53"/>
        <v>0</v>
      </c>
      <c r="AE71" s="12">
        <f t="shared" si="54"/>
        <v>2541728</v>
      </c>
      <c r="AF71" s="12">
        <f t="shared" si="55"/>
        <v>211810.66666666666</v>
      </c>
      <c r="AG71" s="11" t="s">
        <v>83</v>
      </c>
      <c r="AH71" s="11" t="s">
        <v>83</v>
      </c>
      <c r="AI71" s="11" t="s">
        <v>83</v>
      </c>
      <c r="AJ71" s="11" t="s">
        <v>83</v>
      </c>
      <c r="AK71" s="11" t="s">
        <v>83</v>
      </c>
      <c r="AL71" s="11" t="s">
        <v>83</v>
      </c>
      <c r="AM71" s="11"/>
      <c r="AN71" s="11"/>
      <c r="AO71" s="11"/>
      <c r="AP71" s="11"/>
      <c r="AQ71" s="11" t="s">
        <v>85</v>
      </c>
      <c r="AR71" s="11"/>
      <c r="AS71" s="11" t="b">
        <v>0</v>
      </c>
      <c r="AT71" s="36">
        <f t="shared" si="56"/>
        <v>2750000</v>
      </c>
      <c r="AU71" s="36">
        <f t="shared" si="57"/>
        <v>1375000</v>
      </c>
      <c r="AV71" s="36">
        <f t="shared" si="58"/>
        <v>343750</v>
      </c>
      <c r="AW71" s="36">
        <f t="shared" si="59"/>
        <v>137500</v>
      </c>
      <c r="AX71" s="96">
        <v>587078.00000000012</v>
      </c>
      <c r="AY71" s="36">
        <f t="shared" si="60"/>
        <v>2443328</v>
      </c>
      <c r="AZ71" s="36">
        <f t="shared" si="61"/>
        <v>21600</v>
      </c>
      <c r="BA71" s="36">
        <f t="shared" si="62"/>
        <v>0</v>
      </c>
      <c r="BB71" s="11">
        <v>72</v>
      </c>
      <c r="BC71" s="11">
        <v>0</v>
      </c>
      <c r="BD71" s="11">
        <v>0</v>
      </c>
      <c r="BE71" s="38">
        <v>120000</v>
      </c>
      <c r="BF71" s="38">
        <v>165000</v>
      </c>
      <c r="BG71" s="39">
        <f t="shared" si="63"/>
        <v>2750000</v>
      </c>
      <c r="BH71" s="36">
        <f t="shared" si="64"/>
        <v>0</v>
      </c>
      <c r="BI71" s="39">
        <f t="shared" si="65"/>
        <v>0</v>
      </c>
      <c r="BJ71" s="39">
        <f t="shared" si="66"/>
        <v>2541728</v>
      </c>
      <c r="BK71" s="39">
        <f t="shared" si="67"/>
        <v>211810.66666666666</v>
      </c>
      <c r="BL71" s="39">
        <f t="shared" si="68"/>
        <v>0</v>
      </c>
      <c r="BM71" s="39">
        <f t="shared" si="69"/>
        <v>0</v>
      </c>
      <c r="BN71" s="39">
        <f t="shared" si="70"/>
        <v>0</v>
      </c>
      <c r="BO71" s="11"/>
      <c r="BP71" s="11"/>
      <c r="BQ71" s="11"/>
      <c r="BR71" s="11"/>
      <c r="BS71" s="11"/>
    </row>
    <row r="72" spans="1:79">
      <c r="A72" s="45" t="s">
        <v>169</v>
      </c>
      <c r="B72" s="11" t="s">
        <v>119</v>
      </c>
      <c r="C72" s="11" t="s">
        <v>80</v>
      </c>
      <c r="D72" s="45" t="s">
        <v>298</v>
      </c>
      <c r="E72" s="11" t="s">
        <v>82</v>
      </c>
      <c r="F72" s="11" t="s">
        <v>94</v>
      </c>
      <c r="G72" s="45" t="s">
        <v>252</v>
      </c>
      <c r="H72" s="11" t="s">
        <v>359</v>
      </c>
      <c r="I72" s="11" t="s">
        <v>422</v>
      </c>
      <c r="J72" s="11"/>
      <c r="K72" s="11"/>
      <c r="L72" s="11"/>
      <c r="M72" s="34" t="s">
        <v>98</v>
      </c>
      <c r="N72" s="11" t="str">
        <f t="shared" si="50"/>
        <v>AC2</v>
      </c>
      <c r="O72" s="35">
        <v>554608</v>
      </c>
      <c r="P72" s="36">
        <f t="shared" si="28"/>
        <v>277310</v>
      </c>
      <c r="Q72" s="35">
        <v>69328</v>
      </c>
      <c r="R72" s="103">
        <v>27731</v>
      </c>
      <c r="S72" s="35">
        <v>147475</v>
      </c>
      <c r="T72" s="36">
        <f t="shared" si="27"/>
        <v>521844</v>
      </c>
      <c r="U72" s="36">
        <f t="shared" si="71"/>
        <v>21600</v>
      </c>
      <c r="V72" s="36">
        <v>0</v>
      </c>
      <c r="W72" s="11">
        <v>72</v>
      </c>
      <c r="X72" s="11">
        <v>0</v>
      </c>
      <c r="Y72" s="11">
        <v>0</v>
      </c>
      <c r="Z72" s="11">
        <v>0</v>
      </c>
      <c r="AA72" s="38">
        <v>11092</v>
      </c>
      <c r="AB72" s="39">
        <f t="shared" si="51"/>
        <v>554608</v>
      </c>
      <c r="AC72" s="40">
        <f t="shared" si="52"/>
        <v>0</v>
      </c>
      <c r="AD72" s="41">
        <f t="shared" si="53"/>
        <v>0</v>
      </c>
      <c r="AE72" s="12">
        <f t="shared" si="54"/>
        <v>500244</v>
      </c>
      <c r="AF72" s="12">
        <f t="shared" si="55"/>
        <v>41687</v>
      </c>
      <c r="AG72" s="11" t="s">
        <v>83</v>
      </c>
      <c r="AH72" s="11" t="s">
        <v>83</v>
      </c>
      <c r="AI72" s="11" t="s">
        <v>83</v>
      </c>
      <c r="AJ72" s="11" t="s">
        <v>83</v>
      </c>
      <c r="AK72" s="11" t="s">
        <v>83</v>
      </c>
      <c r="AL72" s="11" t="s">
        <v>83</v>
      </c>
      <c r="AM72" s="11"/>
      <c r="AN72" s="11"/>
      <c r="AO72" s="11"/>
      <c r="AP72" s="11"/>
      <c r="AQ72" s="11" t="s">
        <v>85</v>
      </c>
      <c r="AR72" s="11"/>
      <c r="AS72" s="11" t="b">
        <v>0</v>
      </c>
      <c r="AT72" s="36">
        <f t="shared" si="56"/>
        <v>554608</v>
      </c>
      <c r="AU72" s="36">
        <f t="shared" si="57"/>
        <v>277304</v>
      </c>
      <c r="AV72" s="36">
        <f t="shared" si="58"/>
        <v>69326</v>
      </c>
      <c r="AW72" s="36">
        <f t="shared" si="59"/>
        <v>27730</v>
      </c>
      <c r="AX72" s="96">
        <v>147484</v>
      </c>
      <c r="AY72" s="36">
        <f t="shared" si="60"/>
        <v>521844</v>
      </c>
      <c r="AZ72" s="36">
        <f t="shared" si="61"/>
        <v>21600</v>
      </c>
      <c r="BA72" s="36">
        <f t="shared" si="62"/>
        <v>0</v>
      </c>
      <c r="BB72" s="11">
        <v>72</v>
      </c>
      <c r="BC72" s="11">
        <v>0</v>
      </c>
      <c r="BD72" s="11">
        <v>0</v>
      </c>
      <c r="BE72" s="38">
        <f>ROUND((IF(($AT72&lt;=700000),0,IF(((VLOOKUP($AR72,'Loyalty - Effec - 15July'!$B$5:$C$17,2,0)*$AT72)&lt;=120000),(VLOOKUP($AR72,'Loyalty - Effec - 15July'!$B$5:$C$17,2,0)*$AT72),120000))),0)</f>
        <v>0</v>
      </c>
      <c r="BF72" s="38">
        <v>11092</v>
      </c>
      <c r="BG72" s="39">
        <f t="shared" si="63"/>
        <v>554608</v>
      </c>
      <c r="BH72" s="36">
        <f t="shared" si="64"/>
        <v>0</v>
      </c>
      <c r="BI72" s="39">
        <f t="shared" si="65"/>
        <v>0</v>
      </c>
      <c r="BJ72" s="39">
        <f t="shared" si="66"/>
        <v>500244</v>
      </c>
      <c r="BK72" s="39">
        <f t="shared" si="67"/>
        <v>41687</v>
      </c>
      <c r="BL72" s="39">
        <f t="shared" si="68"/>
        <v>0</v>
      </c>
      <c r="BM72" s="39">
        <f t="shared" si="69"/>
        <v>0</v>
      </c>
      <c r="BN72" s="39">
        <f t="shared" si="70"/>
        <v>0</v>
      </c>
      <c r="BO72" s="11"/>
      <c r="BP72" s="11"/>
      <c r="BQ72" s="11"/>
      <c r="BR72" s="11"/>
      <c r="BS72" s="11"/>
    </row>
    <row r="73" spans="1:79">
      <c r="A73" s="45" t="s">
        <v>192</v>
      </c>
      <c r="B73" s="11" t="s">
        <v>119</v>
      </c>
      <c r="C73" s="11" t="s">
        <v>80</v>
      </c>
      <c r="D73" s="45" t="s">
        <v>298</v>
      </c>
      <c r="E73" s="11" t="s">
        <v>82</v>
      </c>
      <c r="F73" s="11" t="s">
        <v>94</v>
      </c>
      <c r="G73" s="45" t="s">
        <v>275</v>
      </c>
      <c r="H73" s="11" t="s">
        <v>360</v>
      </c>
      <c r="I73" s="11" t="s">
        <v>400</v>
      </c>
      <c r="J73" s="11"/>
      <c r="K73" s="11"/>
      <c r="L73" s="11"/>
      <c r="M73" s="34" t="s">
        <v>102</v>
      </c>
      <c r="N73" s="11" t="str">
        <f t="shared" si="50"/>
        <v>C1</v>
      </c>
      <c r="O73" s="35">
        <v>3300000</v>
      </c>
      <c r="P73" s="36">
        <f t="shared" si="28"/>
        <v>1650000</v>
      </c>
      <c r="Q73" s="35">
        <v>412500</v>
      </c>
      <c r="R73" s="103">
        <v>165000</v>
      </c>
      <c r="S73" s="35">
        <v>732828</v>
      </c>
      <c r="T73" s="36">
        <f t="shared" ref="T73:T93" si="72">SUM(P73:S73)</f>
        <v>2960328</v>
      </c>
      <c r="U73" s="36">
        <f t="shared" si="71"/>
        <v>21600</v>
      </c>
      <c r="V73" s="36">
        <v>0</v>
      </c>
      <c r="W73" s="11">
        <v>72</v>
      </c>
      <c r="X73" s="11">
        <v>0</v>
      </c>
      <c r="Y73" s="11">
        <v>0</v>
      </c>
      <c r="Z73" s="11">
        <v>120000</v>
      </c>
      <c r="AA73" s="38">
        <v>198000</v>
      </c>
      <c r="AB73" s="39">
        <f t="shared" si="51"/>
        <v>3300000</v>
      </c>
      <c r="AC73" s="40">
        <f t="shared" si="52"/>
        <v>0</v>
      </c>
      <c r="AD73" s="41">
        <f t="shared" si="53"/>
        <v>0</v>
      </c>
      <c r="AE73" s="12">
        <f t="shared" si="54"/>
        <v>3058728</v>
      </c>
      <c r="AF73" s="12">
        <f t="shared" si="55"/>
        <v>254894</v>
      </c>
      <c r="AG73" s="11" t="s">
        <v>83</v>
      </c>
      <c r="AH73" s="11" t="s">
        <v>83</v>
      </c>
      <c r="AI73" s="11" t="s">
        <v>83</v>
      </c>
      <c r="AJ73" s="11" t="s">
        <v>83</v>
      </c>
      <c r="AK73" s="11" t="s">
        <v>83</v>
      </c>
      <c r="AL73" s="11" t="s">
        <v>83</v>
      </c>
      <c r="AM73" s="11"/>
      <c r="AN73" s="11"/>
      <c r="AO73" s="11"/>
      <c r="AP73" s="11"/>
      <c r="AQ73" s="11" t="s">
        <v>85</v>
      </c>
      <c r="AR73" s="11"/>
      <c r="AS73" s="11" t="b">
        <v>0</v>
      </c>
      <c r="AT73" s="36">
        <f t="shared" si="56"/>
        <v>3300000</v>
      </c>
      <c r="AU73" s="36">
        <f t="shared" si="57"/>
        <v>1650000</v>
      </c>
      <c r="AV73" s="36">
        <f t="shared" si="58"/>
        <v>412500</v>
      </c>
      <c r="AW73" s="36">
        <f t="shared" si="59"/>
        <v>165000</v>
      </c>
      <c r="AX73" s="96">
        <v>732828</v>
      </c>
      <c r="AY73" s="36">
        <f t="shared" si="60"/>
        <v>2960328</v>
      </c>
      <c r="AZ73" s="36">
        <f t="shared" si="61"/>
        <v>21600</v>
      </c>
      <c r="BA73" s="36">
        <f t="shared" si="62"/>
        <v>0</v>
      </c>
      <c r="BB73" s="11">
        <v>72</v>
      </c>
      <c r="BC73" s="11">
        <v>0</v>
      </c>
      <c r="BD73" s="11">
        <v>0</v>
      </c>
      <c r="BE73" s="38">
        <v>120000</v>
      </c>
      <c r="BF73" s="38">
        <v>198000</v>
      </c>
      <c r="BG73" s="39">
        <f t="shared" si="63"/>
        <v>3300000</v>
      </c>
      <c r="BH73" s="36">
        <f t="shared" si="64"/>
        <v>0</v>
      </c>
      <c r="BI73" s="39">
        <f t="shared" si="65"/>
        <v>0</v>
      </c>
      <c r="BJ73" s="39">
        <f t="shared" si="66"/>
        <v>3058728</v>
      </c>
      <c r="BK73" s="39">
        <f t="shared" si="67"/>
        <v>254894</v>
      </c>
      <c r="BL73" s="39">
        <f t="shared" si="68"/>
        <v>0</v>
      </c>
      <c r="BM73" s="39">
        <f t="shared" si="69"/>
        <v>0</v>
      </c>
      <c r="BN73" s="39">
        <f t="shared" si="70"/>
        <v>0</v>
      </c>
      <c r="BO73" s="11"/>
      <c r="BP73" s="11"/>
      <c r="BQ73" s="11"/>
      <c r="BR73" s="11"/>
      <c r="BS73" s="11"/>
    </row>
    <row r="74" spans="1:79">
      <c r="A74" s="98" t="s">
        <v>123</v>
      </c>
      <c r="B74" s="11" t="s">
        <v>119</v>
      </c>
      <c r="C74" s="11" t="s">
        <v>80</v>
      </c>
      <c r="D74" s="45" t="s">
        <v>81</v>
      </c>
      <c r="E74" s="11" t="s">
        <v>82</v>
      </c>
      <c r="F74" s="11" t="s">
        <v>94</v>
      </c>
      <c r="G74" s="98" t="s">
        <v>124</v>
      </c>
      <c r="H74" s="11" t="s">
        <v>361</v>
      </c>
      <c r="I74" s="11" t="s">
        <v>394</v>
      </c>
      <c r="J74" s="11"/>
      <c r="K74" s="11"/>
      <c r="L74" s="11"/>
      <c r="M74" s="34" t="s">
        <v>97</v>
      </c>
      <c r="N74" s="11" t="str">
        <f t="shared" si="50"/>
        <v>AC1</v>
      </c>
      <c r="O74" s="85">
        <v>270912</v>
      </c>
      <c r="P74" s="36">
        <f t="shared" si="28"/>
        <v>135460</v>
      </c>
      <c r="Q74" s="36">
        <v>33865</v>
      </c>
      <c r="R74" s="103">
        <v>13546</v>
      </c>
      <c r="S74" s="85">
        <v>58524.000000000029</v>
      </c>
      <c r="T74" s="36">
        <f t="shared" si="72"/>
        <v>241395.00000000003</v>
      </c>
      <c r="U74" s="36">
        <f t="shared" si="71"/>
        <v>21600</v>
      </c>
      <c r="V74" s="36">
        <v>7845</v>
      </c>
      <c r="W74" s="11">
        <v>72</v>
      </c>
      <c r="X74" s="11">
        <v>0</v>
      </c>
      <c r="Y74" s="11">
        <v>0</v>
      </c>
      <c r="Z74" s="11">
        <v>0</v>
      </c>
      <c r="AA74" s="38">
        <v>0</v>
      </c>
      <c r="AB74" s="39">
        <f t="shared" si="51"/>
        <v>270912</v>
      </c>
      <c r="AC74" s="40">
        <f t="shared" si="52"/>
        <v>1810.46</v>
      </c>
      <c r="AD74" s="41">
        <f t="shared" si="53"/>
        <v>0</v>
      </c>
      <c r="AE74" s="12">
        <f t="shared" si="54"/>
        <v>217984.54000000004</v>
      </c>
      <c r="AF74" s="12">
        <f t="shared" si="55"/>
        <v>18165.378333333338</v>
      </c>
      <c r="AG74" s="102" t="s">
        <v>126</v>
      </c>
      <c r="AH74" s="102" t="s">
        <v>127</v>
      </c>
      <c r="AI74" s="42">
        <v>2.83</v>
      </c>
      <c r="AJ74" s="11">
        <v>1.9</v>
      </c>
      <c r="AK74" s="11">
        <v>2.1800000000000002</v>
      </c>
      <c r="AL74" s="11">
        <v>3</v>
      </c>
      <c r="AM74" s="65">
        <f>IF($AL74=4,VLOOKUP($AR74,'Loyalty Incentive v1'!$L$3:$Q$15,2,FALSE),
IF($AL74=3,VLOOKUP($AR74,'Loyalty Incentive v1'!$L$3:$Q$15,3,FALSE),
IF($AL74=2,VLOOKUP($AR74,'Loyalty Incentive v1'!$L$3:$Q$15,4,FALSE),
IF($AL74=1,VLOOKUP($AR74,'Loyalty Incentive v1'!$L$3:$Q$15,5,FALSE),
IF($AL74=0,VLOOKUP($AR74,'Loyalty Incentive v1'!$L$3:$Q$15,6,FALSE),0)))))</f>
        <v>0.161</v>
      </c>
      <c r="AN74" s="65">
        <f>IFERROR(IF(I74&gt;="1",AM74,VLOOKUP(VALUE(I74),'Loyalty - Effec - 15July'!$I$5:$J$16,2,0)*AM74),0)</f>
        <v>0.161</v>
      </c>
      <c r="AO74" s="65">
        <v>-5.2999999999999999E-2</v>
      </c>
      <c r="AP74" s="65">
        <f>AN74+AO74</f>
        <v>0.10800000000000001</v>
      </c>
      <c r="AQ74" s="11" t="str">
        <f>IF((N74=AR74),"No","Yes")</f>
        <v>No</v>
      </c>
      <c r="AR74" s="11" t="str">
        <f>N74</f>
        <v>AC1</v>
      </c>
      <c r="AS74" s="11" t="b">
        <f>AR74=M74</f>
        <v>1</v>
      </c>
      <c r="AT74" s="36">
        <f t="shared" si="56"/>
        <v>300170.49599999998</v>
      </c>
      <c r="AU74" s="36">
        <f t="shared" si="57"/>
        <v>150085</v>
      </c>
      <c r="AV74" s="36">
        <f t="shared" si="58"/>
        <v>37521</v>
      </c>
      <c r="AW74" s="36">
        <f t="shared" si="59"/>
        <v>15009</v>
      </c>
      <c r="AX74" s="96">
        <v>75883.49599999997</v>
      </c>
      <c r="AY74" s="36">
        <f t="shared" si="60"/>
        <v>278498.49599999998</v>
      </c>
      <c r="AZ74" s="36">
        <f t="shared" si="61"/>
        <v>21600</v>
      </c>
      <c r="BA74" s="36">
        <f t="shared" si="62"/>
        <v>0</v>
      </c>
      <c r="BB74" s="11">
        <v>72</v>
      </c>
      <c r="BC74" s="11">
        <v>0</v>
      </c>
      <c r="BD74" s="11">
        <v>0</v>
      </c>
      <c r="BE74" s="38">
        <f>ROUND((IF(($AT74&lt;=700000),0,IF(((VLOOKUP($AR74,'Loyalty - Effec - 15July'!$B$5:$C$17,2,0)*$AT74)&lt;=120000),(VLOOKUP($AR74,'Loyalty - Effec - 15July'!$B$5:$C$17,2,0)*$AT74),120000))),0)</f>
        <v>0</v>
      </c>
      <c r="BF74" s="38">
        <v>0</v>
      </c>
      <c r="BG74" s="39">
        <f t="shared" si="63"/>
        <v>300170.49599999998</v>
      </c>
      <c r="BH74" s="36">
        <f t="shared" si="64"/>
        <v>0</v>
      </c>
      <c r="BI74" s="39">
        <f t="shared" si="65"/>
        <v>0</v>
      </c>
      <c r="BJ74" s="39">
        <f t="shared" si="66"/>
        <v>256898.49599999998</v>
      </c>
      <c r="BK74" s="39">
        <f t="shared" si="67"/>
        <v>21408.207999999999</v>
      </c>
      <c r="BL74" s="39">
        <f t="shared" si="68"/>
        <v>29258.495999999985</v>
      </c>
      <c r="BM74" s="39">
        <f t="shared" si="69"/>
        <v>3242.8296666666611</v>
      </c>
      <c r="BN74" s="39">
        <f t="shared" si="70"/>
        <v>3242.8296666666611</v>
      </c>
      <c r="BO74" s="11"/>
      <c r="BP74" s="11"/>
      <c r="BQ74" s="11"/>
      <c r="BR74" s="11"/>
      <c r="BS74" s="11"/>
      <c r="BW74" s="66"/>
      <c r="CA74" s="66"/>
    </row>
    <row r="75" spans="1:79">
      <c r="A75" s="45" t="s">
        <v>196</v>
      </c>
      <c r="B75" s="11" t="s">
        <v>119</v>
      </c>
      <c r="C75" s="11" t="s">
        <v>80</v>
      </c>
      <c r="D75" s="45" t="s">
        <v>298</v>
      </c>
      <c r="E75" s="11" t="s">
        <v>82</v>
      </c>
      <c r="F75" s="11" t="s">
        <v>95</v>
      </c>
      <c r="G75" s="45" t="s">
        <v>279</v>
      </c>
      <c r="H75" s="11" t="s">
        <v>362</v>
      </c>
      <c r="I75" s="11" t="s">
        <v>400</v>
      </c>
      <c r="J75" s="11"/>
      <c r="K75" s="11"/>
      <c r="L75" s="11"/>
      <c r="M75" s="34" t="s">
        <v>111</v>
      </c>
      <c r="N75" s="11" t="str">
        <f t="shared" si="50"/>
        <v>SAC3</v>
      </c>
      <c r="O75" s="35">
        <v>420000</v>
      </c>
      <c r="P75" s="36">
        <f t="shared" si="28"/>
        <v>210000</v>
      </c>
      <c r="Q75" s="35">
        <v>52500</v>
      </c>
      <c r="R75" s="103">
        <v>21000</v>
      </c>
      <c r="S75" s="35">
        <v>102228</v>
      </c>
      <c r="T75" s="36">
        <f t="shared" si="72"/>
        <v>385728</v>
      </c>
      <c r="U75" s="36">
        <f t="shared" si="71"/>
        <v>21600</v>
      </c>
      <c r="V75" s="36">
        <v>0</v>
      </c>
      <c r="W75" s="11">
        <v>72</v>
      </c>
      <c r="X75" s="11">
        <v>0</v>
      </c>
      <c r="Y75" s="11">
        <v>0</v>
      </c>
      <c r="Z75" s="11">
        <v>0</v>
      </c>
      <c r="AA75" s="38">
        <v>12600</v>
      </c>
      <c r="AB75" s="39">
        <f t="shared" si="51"/>
        <v>420000</v>
      </c>
      <c r="AC75" s="40">
        <f t="shared" si="52"/>
        <v>0</v>
      </c>
      <c r="AD75" s="41">
        <f t="shared" si="53"/>
        <v>0</v>
      </c>
      <c r="AE75" s="12">
        <f t="shared" si="54"/>
        <v>364128</v>
      </c>
      <c r="AF75" s="12">
        <f t="shared" si="55"/>
        <v>30344</v>
      </c>
      <c r="AG75" s="11" t="s">
        <v>83</v>
      </c>
      <c r="AH75" s="11" t="s">
        <v>83</v>
      </c>
      <c r="AI75" s="11" t="s">
        <v>83</v>
      </c>
      <c r="AJ75" s="11" t="s">
        <v>83</v>
      </c>
      <c r="AK75" s="11" t="s">
        <v>83</v>
      </c>
      <c r="AL75" s="11" t="s">
        <v>83</v>
      </c>
      <c r="AM75" s="11"/>
      <c r="AN75" s="11"/>
      <c r="AO75" s="11"/>
      <c r="AP75" s="11"/>
      <c r="AQ75" s="11" t="s">
        <v>85</v>
      </c>
      <c r="AR75" s="11"/>
      <c r="AS75" s="11" t="b">
        <v>0</v>
      </c>
      <c r="AT75" s="36">
        <f t="shared" si="56"/>
        <v>420000</v>
      </c>
      <c r="AU75" s="36">
        <f t="shared" si="57"/>
        <v>210000</v>
      </c>
      <c r="AV75" s="36">
        <f t="shared" si="58"/>
        <v>52500</v>
      </c>
      <c r="AW75" s="36">
        <f t="shared" si="59"/>
        <v>21000</v>
      </c>
      <c r="AX75" s="96">
        <v>102228</v>
      </c>
      <c r="AY75" s="36">
        <f t="shared" si="60"/>
        <v>385728</v>
      </c>
      <c r="AZ75" s="36">
        <f t="shared" si="61"/>
        <v>21600</v>
      </c>
      <c r="BA75" s="36">
        <f t="shared" si="62"/>
        <v>0</v>
      </c>
      <c r="BB75" s="11">
        <v>72</v>
      </c>
      <c r="BC75" s="11">
        <v>0</v>
      </c>
      <c r="BD75" s="11">
        <v>0</v>
      </c>
      <c r="BE75" s="38">
        <f>ROUND((IF(($AT75&lt;=700000),0,IF(((VLOOKUP($AR75,'Loyalty - Effec - 15July'!$B$5:$C$17,2,0)*$AT75)&lt;=120000),(VLOOKUP($AR75,'Loyalty - Effec - 15July'!$B$5:$C$17,2,0)*$AT75),120000))),0)</f>
        <v>0</v>
      </c>
      <c r="BF75" s="38">
        <v>12600</v>
      </c>
      <c r="BG75" s="39">
        <f t="shared" si="63"/>
        <v>420000</v>
      </c>
      <c r="BH75" s="36">
        <f t="shared" si="64"/>
        <v>0</v>
      </c>
      <c r="BI75" s="39">
        <f t="shared" si="65"/>
        <v>0</v>
      </c>
      <c r="BJ75" s="39">
        <f t="shared" si="66"/>
        <v>364128</v>
      </c>
      <c r="BK75" s="39">
        <f t="shared" si="67"/>
        <v>30344</v>
      </c>
      <c r="BL75" s="39">
        <f t="shared" si="68"/>
        <v>0</v>
      </c>
      <c r="BM75" s="39">
        <f t="shared" si="69"/>
        <v>0</v>
      </c>
      <c r="BN75" s="39">
        <f t="shared" si="70"/>
        <v>0</v>
      </c>
      <c r="BO75" s="11"/>
      <c r="BP75" s="11"/>
      <c r="BQ75" s="11"/>
      <c r="BR75" s="11"/>
      <c r="BS75" s="11"/>
    </row>
    <row r="76" spans="1:79">
      <c r="A76" s="45" t="s">
        <v>172</v>
      </c>
      <c r="B76" s="11" t="s">
        <v>119</v>
      </c>
      <c r="C76" s="11" t="s">
        <v>80</v>
      </c>
      <c r="D76" s="45" t="s">
        <v>298</v>
      </c>
      <c r="E76" s="11" t="s">
        <v>82</v>
      </c>
      <c r="F76" s="11" t="s">
        <v>95</v>
      </c>
      <c r="G76" s="45" t="s">
        <v>255</v>
      </c>
      <c r="H76" s="11" t="s">
        <v>363</v>
      </c>
      <c r="I76" s="11" t="s">
        <v>394</v>
      </c>
      <c r="J76" s="11"/>
      <c r="K76" s="11"/>
      <c r="L76" s="11"/>
      <c r="M76" s="34" t="s">
        <v>103</v>
      </c>
      <c r="N76" s="11" t="str">
        <f t="shared" si="50"/>
        <v>C2</v>
      </c>
      <c r="O76" s="35">
        <v>3639650</v>
      </c>
      <c r="P76" s="36">
        <f t="shared" si="28"/>
        <v>1819830</v>
      </c>
      <c r="Q76" s="35">
        <v>454958</v>
      </c>
      <c r="R76" s="103">
        <v>181983</v>
      </c>
      <c r="S76" s="35">
        <v>1011207.0000000002</v>
      </c>
      <c r="T76" s="36">
        <f t="shared" si="72"/>
        <v>3467978</v>
      </c>
      <c r="U76" s="36">
        <f t="shared" si="71"/>
        <v>21600</v>
      </c>
      <c r="V76" s="36">
        <v>0</v>
      </c>
      <c r="W76" s="11">
        <v>72</v>
      </c>
      <c r="X76" s="11">
        <v>0</v>
      </c>
      <c r="Y76" s="90">
        <v>30000</v>
      </c>
      <c r="Z76" s="11">
        <v>120000</v>
      </c>
      <c r="AA76" s="38">
        <v>0</v>
      </c>
      <c r="AB76" s="39">
        <f t="shared" si="51"/>
        <v>3639650</v>
      </c>
      <c r="AC76" s="40">
        <f t="shared" si="52"/>
        <v>0</v>
      </c>
      <c r="AD76" s="41">
        <f t="shared" si="53"/>
        <v>0</v>
      </c>
      <c r="AE76" s="12">
        <f t="shared" si="54"/>
        <v>3566378</v>
      </c>
      <c r="AF76" s="12">
        <f t="shared" si="55"/>
        <v>297198.16666666669</v>
      </c>
      <c r="AG76" s="11" t="s">
        <v>83</v>
      </c>
      <c r="AH76" s="11" t="s">
        <v>83</v>
      </c>
      <c r="AI76" s="11" t="s">
        <v>83</v>
      </c>
      <c r="AJ76" s="11" t="s">
        <v>83</v>
      </c>
      <c r="AK76" s="11" t="s">
        <v>83</v>
      </c>
      <c r="AL76" s="11" t="s">
        <v>83</v>
      </c>
      <c r="AM76" s="11"/>
      <c r="AN76" s="11"/>
      <c r="AO76" s="11"/>
      <c r="AP76" s="11"/>
      <c r="AQ76" s="11" t="s">
        <v>85</v>
      </c>
      <c r="AR76" s="11"/>
      <c r="AS76" s="11" t="b">
        <v>0</v>
      </c>
      <c r="AT76" s="36">
        <f t="shared" si="56"/>
        <v>3639650</v>
      </c>
      <c r="AU76" s="36">
        <f t="shared" si="57"/>
        <v>1819825</v>
      </c>
      <c r="AV76" s="36">
        <f t="shared" si="58"/>
        <v>454956</v>
      </c>
      <c r="AW76" s="36">
        <f t="shared" si="59"/>
        <v>181983</v>
      </c>
      <c r="AX76" s="96">
        <v>1041213.9999999997</v>
      </c>
      <c r="AY76" s="36">
        <f t="shared" si="60"/>
        <v>3497977.9999999995</v>
      </c>
      <c r="AZ76" s="36">
        <f t="shared" si="61"/>
        <v>21600</v>
      </c>
      <c r="BA76" s="36">
        <f t="shared" si="62"/>
        <v>0</v>
      </c>
      <c r="BB76" s="11">
        <v>72</v>
      </c>
      <c r="BC76" s="11">
        <v>0</v>
      </c>
      <c r="BD76" s="11">
        <v>0</v>
      </c>
      <c r="BE76" s="38">
        <v>120000</v>
      </c>
      <c r="BF76" s="38">
        <v>0</v>
      </c>
      <c r="BG76" s="39">
        <f t="shared" si="63"/>
        <v>3639649.9999999995</v>
      </c>
      <c r="BH76" s="36">
        <f t="shared" si="64"/>
        <v>0</v>
      </c>
      <c r="BI76" s="39">
        <f t="shared" si="65"/>
        <v>0</v>
      </c>
      <c r="BJ76" s="39">
        <f t="shared" si="66"/>
        <v>3596377.9999999995</v>
      </c>
      <c r="BK76" s="39">
        <f t="shared" si="67"/>
        <v>299698.16666666663</v>
      </c>
      <c r="BL76" s="39">
        <f t="shared" si="68"/>
        <v>0</v>
      </c>
      <c r="BM76" s="39">
        <f t="shared" si="69"/>
        <v>2499.9999999999418</v>
      </c>
      <c r="BN76" s="39">
        <f t="shared" si="70"/>
        <v>2499.9999999999418</v>
      </c>
      <c r="BO76" s="11"/>
      <c r="BP76" s="11"/>
      <c r="BQ76" s="11"/>
      <c r="BR76" s="11"/>
      <c r="BS76" s="11"/>
    </row>
    <row r="77" spans="1:79">
      <c r="A77" s="45" t="s">
        <v>185</v>
      </c>
      <c r="B77" s="11" t="s">
        <v>119</v>
      </c>
      <c r="C77" s="11" t="s">
        <v>80</v>
      </c>
      <c r="D77" s="45" t="s">
        <v>298</v>
      </c>
      <c r="E77" s="11" t="s">
        <v>82</v>
      </c>
      <c r="F77" s="11" t="s">
        <v>94</v>
      </c>
      <c r="G77" s="45" t="s">
        <v>268</v>
      </c>
      <c r="H77" s="11" t="s">
        <v>364</v>
      </c>
      <c r="I77" s="11" t="s">
        <v>397</v>
      </c>
      <c r="J77" s="11"/>
      <c r="K77" s="11"/>
      <c r="L77" s="11"/>
      <c r="M77" s="34" t="s">
        <v>97</v>
      </c>
      <c r="N77" s="11" t="str">
        <f t="shared" si="50"/>
        <v>AC1</v>
      </c>
      <c r="O77" s="35">
        <v>275000</v>
      </c>
      <c r="P77" s="36">
        <f t="shared" si="28"/>
        <v>137500</v>
      </c>
      <c r="Q77" s="35">
        <v>34375</v>
      </c>
      <c r="R77" s="103">
        <v>13750</v>
      </c>
      <c r="S77" s="35">
        <v>59729</v>
      </c>
      <c r="T77" s="36">
        <f t="shared" si="72"/>
        <v>245354</v>
      </c>
      <c r="U77" s="36">
        <f t="shared" si="71"/>
        <v>21600</v>
      </c>
      <c r="V77" s="36">
        <v>7974</v>
      </c>
      <c r="W77" s="11">
        <v>72</v>
      </c>
      <c r="X77" s="11">
        <v>0</v>
      </c>
      <c r="Y77" s="11">
        <v>0</v>
      </c>
      <c r="Z77" s="11">
        <v>0</v>
      </c>
      <c r="AA77" s="38">
        <v>0</v>
      </c>
      <c r="AB77" s="39">
        <f t="shared" si="51"/>
        <v>275000</v>
      </c>
      <c r="AC77" s="40">
        <f t="shared" si="52"/>
        <v>1840.16</v>
      </c>
      <c r="AD77" s="41">
        <f t="shared" si="53"/>
        <v>0</v>
      </c>
      <c r="AE77" s="12">
        <f t="shared" si="54"/>
        <v>221913.84</v>
      </c>
      <c r="AF77" s="12">
        <f t="shared" si="55"/>
        <v>18492.82</v>
      </c>
      <c r="AG77" s="11" t="s">
        <v>83</v>
      </c>
      <c r="AH77" s="11" t="s">
        <v>83</v>
      </c>
      <c r="AI77" s="11" t="s">
        <v>83</v>
      </c>
      <c r="AJ77" s="11" t="s">
        <v>83</v>
      </c>
      <c r="AK77" s="11" t="s">
        <v>83</v>
      </c>
      <c r="AL77" s="11" t="s">
        <v>83</v>
      </c>
      <c r="AM77" s="11"/>
      <c r="AN77" s="11"/>
      <c r="AO77" s="11"/>
      <c r="AP77" s="11"/>
      <c r="AQ77" s="11" t="s">
        <v>85</v>
      </c>
      <c r="AR77" s="11"/>
      <c r="AS77" s="11" t="b">
        <v>0</v>
      </c>
      <c r="AT77" s="36">
        <f t="shared" si="56"/>
        <v>275000</v>
      </c>
      <c r="AU77" s="36">
        <f t="shared" si="57"/>
        <v>137500</v>
      </c>
      <c r="AV77" s="36">
        <f t="shared" si="58"/>
        <v>34375</v>
      </c>
      <c r="AW77" s="36">
        <f t="shared" si="59"/>
        <v>13750</v>
      </c>
      <c r="AX77" s="96">
        <v>59729</v>
      </c>
      <c r="AY77" s="36">
        <f t="shared" si="60"/>
        <v>245354</v>
      </c>
      <c r="AZ77" s="36">
        <f t="shared" si="61"/>
        <v>21600</v>
      </c>
      <c r="BA77" s="36">
        <f t="shared" si="62"/>
        <v>7974</v>
      </c>
      <c r="BB77" s="11">
        <v>72</v>
      </c>
      <c r="BC77" s="11">
        <v>0</v>
      </c>
      <c r="BD77" s="11">
        <v>0</v>
      </c>
      <c r="BE77" s="38">
        <f>ROUND((IF(($AT77&lt;=700000),0,IF(((VLOOKUP($AR77,'Loyalty - Effec - 15July'!$B$5:$C$17,2,0)*$AT77)&lt;=120000),(VLOOKUP($AR77,'Loyalty - Effec - 15July'!$B$5:$C$17,2,0)*$AT77),120000))),0)</f>
        <v>0</v>
      </c>
      <c r="BF77" s="38">
        <v>0</v>
      </c>
      <c r="BG77" s="39">
        <f t="shared" si="63"/>
        <v>275000</v>
      </c>
      <c r="BH77" s="36">
        <f t="shared" si="64"/>
        <v>1840</v>
      </c>
      <c r="BI77" s="39">
        <f t="shared" si="65"/>
        <v>0</v>
      </c>
      <c r="BJ77" s="39">
        <f t="shared" si="66"/>
        <v>221914</v>
      </c>
      <c r="BK77" s="39">
        <f t="shared" si="67"/>
        <v>18492.833333333332</v>
      </c>
      <c r="BL77" s="39">
        <f t="shared" si="68"/>
        <v>0</v>
      </c>
      <c r="BM77" s="39">
        <f t="shared" si="69"/>
        <v>1.3333333332411712E-2</v>
      </c>
      <c r="BN77" s="39">
        <f t="shared" si="70"/>
        <v>1.3333333332411712E-2</v>
      </c>
      <c r="BO77" s="11"/>
      <c r="BP77" s="11"/>
      <c r="BQ77" s="11"/>
      <c r="BR77" s="11"/>
      <c r="BS77" s="11"/>
    </row>
    <row r="78" spans="1:79">
      <c r="A78" s="45" t="s">
        <v>175</v>
      </c>
      <c r="B78" s="11" t="s">
        <v>119</v>
      </c>
      <c r="C78" s="11" t="s">
        <v>80</v>
      </c>
      <c r="D78" s="45" t="s">
        <v>298</v>
      </c>
      <c r="E78" s="11" t="s">
        <v>82</v>
      </c>
      <c r="F78" s="11" t="s">
        <v>94</v>
      </c>
      <c r="G78" s="45" t="s">
        <v>258</v>
      </c>
      <c r="H78" s="11" t="s">
        <v>335</v>
      </c>
      <c r="I78" s="11" t="s">
        <v>417</v>
      </c>
      <c r="J78" s="11"/>
      <c r="K78" s="11"/>
      <c r="L78" s="11"/>
      <c r="M78" s="34" t="s">
        <v>97</v>
      </c>
      <c r="N78" s="11" t="str">
        <f t="shared" si="50"/>
        <v>AC1</v>
      </c>
      <c r="O78" s="35">
        <v>306504</v>
      </c>
      <c r="P78" s="36">
        <f t="shared" si="28"/>
        <v>153260</v>
      </c>
      <c r="Q78" s="35">
        <v>38315</v>
      </c>
      <c r="R78" s="103">
        <v>15326</v>
      </c>
      <c r="S78" s="35">
        <v>77931</v>
      </c>
      <c r="T78" s="36">
        <f t="shared" si="72"/>
        <v>284832</v>
      </c>
      <c r="U78" s="36">
        <f t="shared" si="71"/>
        <v>21600</v>
      </c>
      <c r="V78" s="36">
        <v>0</v>
      </c>
      <c r="W78" s="11">
        <v>72</v>
      </c>
      <c r="X78" s="11">
        <v>0</v>
      </c>
      <c r="Y78" s="11">
        <v>0</v>
      </c>
      <c r="Z78" s="11">
        <v>0</v>
      </c>
      <c r="AA78" s="38">
        <v>0</v>
      </c>
      <c r="AB78" s="39">
        <f t="shared" si="51"/>
        <v>306504</v>
      </c>
      <c r="AC78" s="40">
        <f t="shared" si="52"/>
        <v>0</v>
      </c>
      <c r="AD78" s="41">
        <f t="shared" si="53"/>
        <v>0</v>
      </c>
      <c r="AE78" s="12">
        <f t="shared" si="54"/>
        <v>263232</v>
      </c>
      <c r="AF78" s="12">
        <f t="shared" si="55"/>
        <v>21936</v>
      </c>
      <c r="AG78" s="11" t="s">
        <v>83</v>
      </c>
      <c r="AH78" s="11" t="s">
        <v>83</v>
      </c>
      <c r="AI78" s="11" t="s">
        <v>83</v>
      </c>
      <c r="AJ78" s="11" t="s">
        <v>83</v>
      </c>
      <c r="AK78" s="11" t="s">
        <v>83</v>
      </c>
      <c r="AL78" s="11" t="s">
        <v>83</v>
      </c>
      <c r="AM78" s="11"/>
      <c r="AN78" s="11"/>
      <c r="AO78" s="11"/>
      <c r="AP78" s="11"/>
      <c r="AQ78" s="11" t="s">
        <v>85</v>
      </c>
      <c r="AR78" s="11"/>
      <c r="AS78" s="11" t="b">
        <v>0</v>
      </c>
      <c r="AT78" s="36">
        <f t="shared" si="56"/>
        <v>306504</v>
      </c>
      <c r="AU78" s="36">
        <f t="shared" si="57"/>
        <v>153252</v>
      </c>
      <c r="AV78" s="36">
        <f t="shared" si="58"/>
        <v>38313</v>
      </c>
      <c r="AW78" s="36">
        <f t="shared" si="59"/>
        <v>15325</v>
      </c>
      <c r="AX78" s="96">
        <v>77942</v>
      </c>
      <c r="AY78" s="36">
        <f t="shared" si="60"/>
        <v>284832</v>
      </c>
      <c r="AZ78" s="36">
        <f t="shared" si="61"/>
        <v>21600</v>
      </c>
      <c r="BA78" s="36">
        <f t="shared" si="62"/>
        <v>0</v>
      </c>
      <c r="BB78" s="11">
        <v>72</v>
      </c>
      <c r="BC78" s="11">
        <v>0</v>
      </c>
      <c r="BD78" s="11">
        <v>0</v>
      </c>
      <c r="BE78" s="38">
        <f>ROUND((IF(($AT78&lt;=700000),0,IF(((VLOOKUP($AR78,'Loyalty - Effec - 15July'!$B$5:$C$17,2,0)*$AT78)&lt;=120000),(VLOOKUP($AR78,'Loyalty - Effec - 15July'!$B$5:$C$17,2,0)*$AT78),120000))),0)</f>
        <v>0</v>
      </c>
      <c r="BF78" s="38">
        <v>0</v>
      </c>
      <c r="BG78" s="39">
        <f t="shared" si="63"/>
        <v>306504</v>
      </c>
      <c r="BH78" s="36">
        <f t="shared" si="64"/>
        <v>0</v>
      </c>
      <c r="BI78" s="39">
        <f t="shared" si="65"/>
        <v>0</v>
      </c>
      <c r="BJ78" s="39">
        <f t="shared" si="66"/>
        <v>263232</v>
      </c>
      <c r="BK78" s="39">
        <f t="shared" si="67"/>
        <v>21936</v>
      </c>
      <c r="BL78" s="39">
        <f t="shared" si="68"/>
        <v>0</v>
      </c>
      <c r="BM78" s="39">
        <f t="shared" si="69"/>
        <v>0</v>
      </c>
      <c r="BN78" s="39">
        <f t="shared" si="70"/>
        <v>0</v>
      </c>
      <c r="BO78" s="11"/>
      <c r="BP78" s="11"/>
      <c r="BQ78" s="11"/>
      <c r="BR78" s="11"/>
      <c r="BS78" s="11"/>
    </row>
    <row r="79" spans="1:79">
      <c r="A79" s="45" t="s">
        <v>158</v>
      </c>
      <c r="B79" s="11" t="s">
        <v>119</v>
      </c>
      <c r="C79" s="11" t="s">
        <v>80</v>
      </c>
      <c r="D79" s="45" t="s">
        <v>298</v>
      </c>
      <c r="E79" s="11" t="s">
        <v>82</v>
      </c>
      <c r="F79" s="11" t="s">
        <v>94</v>
      </c>
      <c r="G79" s="34" t="s">
        <v>241</v>
      </c>
      <c r="H79" s="11" t="s">
        <v>365</v>
      </c>
      <c r="I79" s="11" t="s">
        <v>386</v>
      </c>
      <c r="J79" s="11"/>
      <c r="K79" s="11"/>
      <c r="L79" s="11"/>
      <c r="M79" s="34" t="s">
        <v>97</v>
      </c>
      <c r="N79" s="11" t="str">
        <f t="shared" si="50"/>
        <v>AC1</v>
      </c>
      <c r="O79" s="35">
        <v>364348</v>
      </c>
      <c r="P79" s="36">
        <f t="shared" si="28"/>
        <v>182180</v>
      </c>
      <c r="Q79" s="35">
        <v>45545</v>
      </c>
      <c r="R79" s="103">
        <v>18218</v>
      </c>
      <c r="S79" s="35">
        <v>96733</v>
      </c>
      <c r="T79" s="36">
        <f t="shared" si="72"/>
        <v>342676</v>
      </c>
      <c r="U79" s="36">
        <f t="shared" si="71"/>
        <v>21600</v>
      </c>
      <c r="V79" s="36">
        <v>0</v>
      </c>
      <c r="W79" s="11">
        <v>72</v>
      </c>
      <c r="X79" s="11">
        <v>0</v>
      </c>
      <c r="Y79" s="11">
        <v>0</v>
      </c>
      <c r="Z79" s="11">
        <v>0</v>
      </c>
      <c r="AA79" s="38">
        <v>0</v>
      </c>
      <c r="AB79" s="39">
        <f t="shared" si="51"/>
        <v>364348</v>
      </c>
      <c r="AC79" s="40">
        <f t="shared" si="52"/>
        <v>0</v>
      </c>
      <c r="AD79" s="41">
        <f t="shared" si="53"/>
        <v>0</v>
      </c>
      <c r="AE79" s="12">
        <f t="shared" si="54"/>
        <v>321076</v>
      </c>
      <c r="AF79" s="12">
        <f t="shared" si="55"/>
        <v>26756.333333333332</v>
      </c>
      <c r="AG79" s="11" t="s">
        <v>83</v>
      </c>
      <c r="AH79" s="11" t="s">
        <v>83</v>
      </c>
      <c r="AI79" s="11" t="s">
        <v>83</v>
      </c>
      <c r="AJ79" s="11" t="s">
        <v>83</v>
      </c>
      <c r="AK79" s="11" t="s">
        <v>83</v>
      </c>
      <c r="AL79" s="11" t="s">
        <v>83</v>
      </c>
      <c r="AM79" s="11"/>
      <c r="AN79" s="11"/>
      <c r="AO79" s="11"/>
      <c r="AP79" s="11"/>
      <c r="AQ79" s="11" t="s">
        <v>85</v>
      </c>
      <c r="AR79" s="11"/>
      <c r="AS79" s="11" t="b">
        <v>0</v>
      </c>
      <c r="AT79" s="36">
        <f t="shared" si="56"/>
        <v>364348</v>
      </c>
      <c r="AU79" s="36">
        <f t="shared" si="57"/>
        <v>182174</v>
      </c>
      <c r="AV79" s="36">
        <f t="shared" si="58"/>
        <v>45544</v>
      </c>
      <c r="AW79" s="36">
        <f t="shared" si="59"/>
        <v>18217</v>
      </c>
      <c r="AX79" s="96">
        <v>96741</v>
      </c>
      <c r="AY79" s="36">
        <f t="shared" si="60"/>
        <v>342676</v>
      </c>
      <c r="AZ79" s="36">
        <f t="shared" si="61"/>
        <v>21600</v>
      </c>
      <c r="BA79" s="36">
        <f t="shared" si="62"/>
        <v>0</v>
      </c>
      <c r="BB79" s="11">
        <v>72</v>
      </c>
      <c r="BC79" s="11">
        <v>0</v>
      </c>
      <c r="BD79" s="11">
        <v>0</v>
      </c>
      <c r="BE79" s="38">
        <f>ROUND((IF(($AT79&lt;=700000),0,IF(((VLOOKUP($AR79,'Loyalty - Effec - 15July'!$B$5:$C$17,2,0)*$AT79)&lt;=120000),(VLOOKUP($AR79,'Loyalty - Effec - 15July'!$B$5:$C$17,2,0)*$AT79),120000))),0)</f>
        <v>0</v>
      </c>
      <c r="BF79" s="38">
        <v>0</v>
      </c>
      <c r="BG79" s="39">
        <f t="shared" si="63"/>
        <v>364348</v>
      </c>
      <c r="BH79" s="36">
        <f t="shared" si="64"/>
        <v>0</v>
      </c>
      <c r="BI79" s="39">
        <f t="shared" si="65"/>
        <v>0</v>
      </c>
      <c r="BJ79" s="39">
        <f t="shared" si="66"/>
        <v>321076</v>
      </c>
      <c r="BK79" s="39">
        <f t="shared" si="67"/>
        <v>26756.333333333332</v>
      </c>
      <c r="BL79" s="39">
        <f t="shared" si="68"/>
        <v>0</v>
      </c>
      <c r="BM79" s="39">
        <f t="shared" si="69"/>
        <v>0</v>
      </c>
      <c r="BN79" s="39">
        <f t="shared" si="70"/>
        <v>0</v>
      </c>
      <c r="BO79" s="11"/>
      <c r="BP79" s="11"/>
      <c r="BQ79" s="11"/>
      <c r="BR79" s="11"/>
      <c r="BS79" s="11"/>
    </row>
    <row r="80" spans="1:79">
      <c r="A80" s="45" t="s">
        <v>208</v>
      </c>
      <c r="B80" s="11" t="s">
        <v>119</v>
      </c>
      <c r="C80" s="11" t="s">
        <v>80</v>
      </c>
      <c r="D80" s="45" t="s">
        <v>298</v>
      </c>
      <c r="E80" s="11" t="s">
        <v>82</v>
      </c>
      <c r="F80" s="11" t="s">
        <v>94</v>
      </c>
      <c r="G80" s="45" t="s">
        <v>291</v>
      </c>
      <c r="H80" s="11" t="s">
        <v>366</v>
      </c>
      <c r="I80" s="11" t="s">
        <v>404</v>
      </c>
      <c r="J80" s="11"/>
      <c r="K80" s="11"/>
      <c r="L80" s="11"/>
      <c r="M80" s="34" t="s">
        <v>111</v>
      </c>
      <c r="N80" s="11" t="str">
        <f t="shared" si="50"/>
        <v>SAC3</v>
      </c>
      <c r="O80" s="35">
        <v>530000</v>
      </c>
      <c r="P80" s="36">
        <f t="shared" si="28"/>
        <v>265000</v>
      </c>
      <c r="Q80" s="35">
        <v>66250</v>
      </c>
      <c r="R80" s="103">
        <v>26500</v>
      </c>
      <c r="S80" s="35">
        <v>134678</v>
      </c>
      <c r="T80" s="36">
        <f t="shared" si="72"/>
        <v>492428</v>
      </c>
      <c r="U80" s="36">
        <f t="shared" si="71"/>
        <v>21600</v>
      </c>
      <c r="V80" s="36">
        <v>0</v>
      </c>
      <c r="W80" s="11">
        <v>72</v>
      </c>
      <c r="X80" s="11">
        <v>0</v>
      </c>
      <c r="Y80" s="11">
        <v>0</v>
      </c>
      <c r="Z80" s="11">
        <v>0</v>
      </c>
      <c r="AA80" s="38">
        <v>15900</v>
      </c>
      <c r="AB80" s="39">
        <f t="shared" si="51"/>
        <v>530000</v>
      </c>
      <c r="AC80" s="40">
        <f t="shared" si="52"/>
        <v>0</v>
      </c>
      <c r="AD80" s="41">
        <f t="shared" si="53"/>
        <v>0</v>
      </c>
      <c r="AE80" s="12">
        <f t="shared" si="54"/>
        <v>470828</v>
      </c>
      <c r="AF80" s="12">
        <f t="shared" si="55"/>
        <v>39235.666666666664</v>
      </c>
      <c r="AG80" s="11" t="s">
        <v>83</v>
      </c>
      <c r="AH80" s="11" t="s">
        <v>83</v>
      </c>
      <c r="AI80" s="11" t="s">
        <v>83</v>
      </c>
      <c r="AJ80" s="11" t="s">
        <v>83</v>
      </c>
      <c r="AK80" s="11" t="s">
        <v>83</v>
      </c>
      <c r="AL80" s="11" t="s">
        <v>83</v>
      </c>
      <c r="AM80" s="11"/>
      <c r="AN80" s="11"/>
      <c r="AO80" s="11"/>
      <c r="AP80" s="11"/>
      <c r="AQ80" s="11" t="s">
        <v>85</v>
      </c>
      <c r="AR80" s="11"/>
      <c r="AS80" s="11" t="b">
        <v>0</v>
      </c>
      <c r="AT80" s="36">
        <f t="shared" si="56"/>
        <v>530000</v>
      </c>
      <c r="AU80" s="36">
        <f t="shared" si="57"/>
        <v>265000</v>
      </c>
      <c r="AV80" s="36">
        <f t="shared" si="58"/>
        <v>66250</v>
      </c>
      <c r="AW80" s="36">
        <f t="shared" si="59"/>
        <v>26500</v>
      </c>
      <c r="AX80" s="96">
        <v>134678</v>
      </c>
      <c r="AY80" s="36">
        <f t="shared" si="60"/>
        <v>492428</v>
      </c>
      <c r="AZ80" s="36">
        <f t="shared" si="61"/>
        <v>21600</v>
      </c>
      <c r="BA80" s="36">
        <f t="shared" si="62"/>
        <v>0</v>
      </c>
      <c r="BB80" s="11">
        <v>72</v>
      </c>
      <c r="BC80" s="11">
        <v>0</v>
      </c>
      <c r="BD80" s="11">
        <v>0</v>
      </c>
      <c r="BE80" s="38">
        <f>ROUND((IF(($AT80&lt;=700000),0,IF(((VLOOKUP($AR80,'Loyalty - Effec - 15July'!$B$5:$C$17,2,0)*$AT80)&lt;=120000),(VLOOKUP($AR80,'Loyalty - Effec - 15July'!$B$5:$C$17,2,0)*$AT80),120000))),0)</f>
        <v>0</v>
      </c>
      <c r="BF80" s="38">
        <v>15900</v>
      </c>
      <c r="BG80" s="39">
        <f t="shared" si="63"/>
        <v>530000</v>
      </c>
      <c r="BH80" s="36">
        <f t="shared" si="64"/>
        <v>0</v>
      </c>
      <c r="BI80" s="39">
        <f t="shared" si="65"/>
        <v>0</v>
      </c>
      <c r="BJ80" s="39">
        <f t="shared" si="66"/>
        <v>470828</v>
      </c>
      <c r="BK80" s="39">
        <f t="shared" si="67"/>
        <v>39235.666666666664</v>
      </c>
      <c r="BL80" s="39">
        <f t="shared" si="68"/>
        <v>0</v>
      </c>
      <c r="BM80" s="39">
        <f t="shared" si="69"/>
        <v>0</v>
      </c>
      <c r="BN80" s="39">
        <f t="shared" si="70"/>
        <v>0</v>
      </c>
      <c r="BO80" s="11"/>
      <c r="BP80" s="11"/>
      <c r="BQ80" s="11"/>
      <c r="BR80" s="11"/>
      <c r="BS80" s="11"/>
    </row>
    <row r="81" spans="1:71">
      <c r="A81" s="45" t="s">
        <v>202</v>
      </c>
      <c r="B81" s="11" t="s">
        <v>119</v>
      </c>
      <c r="C81" s="11" t="s">
        <v>80</v>
      </c>
      <c r="D81" s="45" t="s">
        <v>298</v>
      </c>
      <c r="E81" s="11" t="s">
        <v>82</v>
      </c>
      <c r="F81" s="11" t="s">
        <v>94</v>
      </c>
      <c r="G81" s="45" t="s">
        <v>285</v>
      </c>
      <c r="H81" s="11" t="s">
        <v>367</v>
      </c>
      <c r="I81" s="11" t="s">
        <v>403</v>
      </c>
      <c r="J81" s="11"/>
      <c r="K81" s="11"/>
      <c r="L81" s="11"/>
      <c r="M81" s="34" t="s">
        <v>101</v>
      </c>
      <c r="N81" s="11" t="str">
        <f t="shared" si="50"/>
        <v>AC5</v>
      </c>
      <c r="O81" s="35">
        <v>2600000</v>
      </c>
      <c r="P81" s="36">
        <f t="shared" si="28"/>
        <v>1300000</v>
      </c>
      <c r="Q81" s="35">
        <v>325000</v>
      </c>
      <c r="R81" s="103">
        <v>130000</v>
      </c>
      <c r="S81" s="35">
        <v>573328</v>
      </c>
      <c r="T81" s="36">
        <f t="shared" si="72"/>
        <v>2328328</v>
      </c>
      <c r="U81" s="36">
        <f t="shared" si="71"/>
        <v>21600</v>
      </c>
      <c r="V81" s="36">
        <v>0</v>
      </c>
      <c r="W81" s="11">
        <v>72</v>
      </c>
      <c r="X81" s="11">
        <v>0</v>
      </c>
      <c r="Y81" s="11">
        <v>0</v>
      </c>
      <c r="Z81" s="11">
        <v>120000</v>
      </c>
      <c r="AA81" s="38">
        <v>130000</v>
      </c>
      <c r="AB81" s="39">
        <f t="shared" si="51"/>
        <v>2600000</v>
      </c>
      <c r="AC81" s="40">
        <f t="shared" si="52"/>
        <v>0</v>
      </c>
      <c r="AD81" s="41">
        <f t="shared" si="53"/>
        <v>0</v>
      </c>
      <c r="AE81" s="12">
        <f t="shared" si="54"/>
        <v>2426728</v>
      </c>
      <c r="AF81" s="12">
        <f t="shared" si="55"/>
        <v>202227.33333333334</v>
      </c>
      <c r="AG81" s="11" t="s">
        <v>83</v>
      </c>
      <c r="AH81" s="11" t="s">
        <v>83</v>
      </c>
      <c r="AI81" s="11" t="s">
        <v>83</v>
      </c>
      <c r="AJ81" s="11" t="s">
        <v>83</v>
      </c>
      <c r="AK81" s="11" t="s">
        <v>83</v>
      </c>
      <c r="AL81" s="11" t="s">
        <v>83</v>
      </c>
      <c r="AM81" s="11"/>
      <c r="AN81" s="11"/>
      <c r="AO81" s="11"/>
      <c r="AP81" s="11"/>
      <c r="AQ81" s="11" t="s">
        <v>85</v>
      </c>
      <c r="AR81" s="11"/>
      <c r="AS81" s="11" t="b">
        <v>0</v>
      </c>
      <c r="AT81" s="36">
        <f t="shared" si="56"/>
        <v>2600000</v>
      </c>
      <c r="AU81" s="36">
        <f t="shared" si="57"/>
        <v>1300000</v>
      </c>
      <c r="AV81" s="36">
        <f t="shared" si="58"/>
        <v>325000</v>
      </c>
      <c r="AW81" s="36">
        <f t="shared" si="59"/>
        <v>130000</v>
      </c>
      <c r="AX81" s="96">
        <v>573328</v>
      </c>
      <c r="AY81" s="36">
        <f t="shared" si="60"/>
        <v>2328328</v>
      </c>
      <c r="AZ81" s="36">
        <f t="shared" si="61"/>
        <v>21600</v>
      </c>
      <c r="BA81" s="36">
        <f t="shared" si="62"/>
        <v>0</v>
      </c>
      <c r="BB81" s="11">
        <v>72</v>
      </c>
      <c r="BC81" s="11">
        <v>0</v>
      </c>
      <c r="BD81" s="11">
        <v>0</v>
      </c>
      <c r="BE81" s="38">
        <v>120000</v>
      </c>
      <c r="BF81" s="38">
        <v>130000</v>
      </c>
      <c r="BG81" s="39">
        <f t="shared" si="63"/>
        <v>2600000</v>
      </c>
      <c r="BH81" s="36">
        <f t="shared" si="64"/>
        <v>0</v>
      </c>
      <c r="BI81" s="39">
        <f t="shared" si="65"/>
        <v>0</v>
      </c>
      <c r="BJ81" s="39">
        <f t="shared" si="66"/>
        <v>2426728</v>
      </c>
      <c r="BK81" s="39">
        <f t="shared" si="67"/>
        <v>202227.33333333334</v>
      </c>
      <c r="BL81" s="39">
        <f t="shared" si="68"/>
        <v>0</v>
      </c>
      <c r="BM81" s="39">
        <f t="shared" si="69"/>
        <v>0</v>
      </c>
      <c r="BN81" s="39">
        <f t="shared" si="70"/>
        <v>0</v>
      </c>
      <c r="BO81" s="11"/>
      <c r="BP81" s="11"/>
      <c r="BQ81" s="11"/>
      <c r="BR81" s="11"/>
      <c r="BS81" s="11"/>
    </row>
    <row r="82" spans="1:71">
      <c r="A82" s="45" t="s">
        <v>214</v>
      </c>
      <c r="B82" s="11" t="s">
        <v>119</v>
      </c>
      <c r="C82" s="11" t="s">
        <v>80</v>
      </c>
      <c r="D82" s="45" t="s">
        <v>298</v>
      </c>
      <c r="E82" s="11" t="s">
        <v>82</v>
      </c>
      <c r="F82" s="11" t="s">
        <v>299</v>
      </c>
      <c r="G82" s="45" t="s">
        <v>297</v>
      </c>
      <c r="H82" s="11" t="s">
        <v>368</v>
      </c>
      <c r="I82" s="11">
        <v>0</v>
      </c>
      <c r="J82" s="11"/>
      <c r="K82" s="11"/>
      <c r="L82" s="11"/>
      <c r="M82" s="34" t="s">
        <v>102</v>
      </c>
      <c r="N82" s="11" t="str">
        <f t="shared" si="50"/>
        <v>C1</v>
      </c>
      <c r="O82" s="35">
        <v>3350000</v>
      </c>
      <c r="P82" s="36">
        <f t="shared" si="28"/>
        <v>1675000</v>
      </c>
      <c r="Q82" s="35">
        <v>418750</v>
      </c>
      <c r="R82" s="103">
        <v>167500</v>
      </c>
      <c r="S82" s="35">
        <v>746077.99999999977</v>
      </c>
      <c r="T82" s="36">
        <f t="shared" si="72"/>
        <v>3007328</v>
      </c>
      <c r="U82" s="36">
        <f t="shared" si="71"/>
        <v>21600</v>
      </c>
      <c r="V82" s="36">
        <v>0</v>
      </c>
      <c r="W82" s="11">
        <v>72</v>
      </c>
      <c r="X82" s="11">
        <v>0</v>
      </c>
      <c r="Y82" s="11">
        <v>0</v>
      </c>
      <c r="Z82" s="11">
        <v>120000</v>
      </c>
      <c r="AA82" s="38">
        <v>201000</v>
      </c>
      <c r="AB82" s="39">
        <f t="shared" si="51"/>
        <v>3350000</v>
      </c>
      <c r="AC82" s="40">
        <f t="shared" si="52"/>
        <v>0</v>
      </c>
      <c r="AD82" s="41">
        <f t="shared" si="53"/>
        <v>0</v>
      </c>
      <c r="AE82" s="12">
        <f t="shared" si="54"/>
        <v>3105728</v>
      </c>
      <c r="AF82" s="12">
        <f t="shared" si="55"/>
        <v>258810.66666666666</v>
      </c>
      <c r="AG82" s="11" t="s">
        <v>83</v>
      </c>
      <c r="AH82" s="11" t="s">
        <v>83</v>
      </c>
      <c r="AI82" s="11" t="s">
        <v>83</v>
      </c>
      <c r="AJ82" s="11" t="s">
        <v>83</v>
      </c>
      <c r="AK82" s="11" t="s">
        <v>83</v>
      </c>
      <c r="AL82" s="11" t="s">
        <v>83</v>
      </c>
      <c r="AM82" s="11"/>
      <c r="AN82" s="11"/>
      <c r="AO82" s="11"/>
      <c r="AP82" s="11"/>
      <c r="AQ82" s="11" t="s">
        <v>85</v>
      </c>
      <c r="AR82" s="11"/>
      <c r="AS82" s="11" t="b">
        <v>0</v>
      </c>
      <c r="AT82" s="36">
        <f t="shared" si="56"/>
        <v>3350000</v>
      </c>
      <c r="AU82" s="36">
        <f t="shared" si="57"/>
        <v>1675000</v>
      </c>
      <c r="AV82" s="36">
        <f t="shared" si="58"/>
        <v>418750</v>
      </c>
      <c r="AW82" s="36">
        <f t="shared" si="59"/>
        <v>167500</v>
      </c>
      <c r="AX82" s="96">
        <v>746077.99999999977</v>
      </c>
      <c r="AY82" s="36">
        <f t="shared" si="60"/>
        <v>3007328</v>
      </c>
      <c r="AZ82" s="36">
        <f t="shared" si="61"/>
        <v>21600</v>
      </c>
      <c r="BA82" s="36">
        <f t="shared" si="62"/>
        <v>0</v>
      </c>
      <c r="BB82" s="11">
        <v>72</v>
      </c>
      <c r="BC82" s="11">
        <v>0</v>
      </c>
      <c r="BD82" s="11">
        <v>0</v>
      </c>
      <c r="BE82" s="38">
        <v>120000</v>
      </c>
      <c r="BF82" s="38">
        <v>201000</v>
      </c>
      <c r="BG82" s="39">
        <f t="shared" si="63"/>
        <v>3350000</v>
      </c>
      <c r="BH82" s="36">
        <f t="shared" si="64"/>
        <v>0</v>
      </c>
      <c r="BI82" s="39">
        <f t="shared" si="65"/>
        <v>0</v>
      </c>
      <c r="BJ82" s="39">
        <f t="shared" si="66"/>
        <v>3105728</v>
      </c>
      <c r="BK82" s="39">
        <f t="shared" si="67"/>
        <v>258810.66666666666</v>
      </c>
      <c r="BL82" s="39">
        <f t="shared" si="68"/>
        <v>0</v>
      </c>
      <c r="BM82" s="39">
        <f t="shared" si="69"/>
        <v>0</v>
      </c>
      <c r="BN82" s="39">
        <f t="shared" si="70"/>
        <v>0</v>
      </c>
      <c r="BO82" s="11"/>
      <c r="BP82" s="11"/>
      <c r="BQ82" s="11"/>
      <c r="BR82" s="11"/>
      <c r="BS82" s="11"/>
    </row>
    <row r="83" spans="1:71">
      <c r="A83" s="45" t="s">
        <v>159</v>
      </c>
      <c r="B83" s="11" t="s">
        <v>119</v>
      </c>
      <c r="C83" s="11" t="s">
        <v>80</v>
      </c>
      <c r="D83" s="45" t="s">
        <v>298</v>
      </c>
      <c r="E83" s="11" t="s">
        <v>82</v>
      </c>
      <c r="F83" s="11" t="s">
        <v>94</v>
      </c>
      <c r="G83" s="34" t="s">
        <v>242</v>
      </c>
      <c r="H83" s="11" t="s">
        <v>365</v>
      </c>
      <c r="I83" s="11" t="s">
        <v>386</v>
      </c>
      <c r="J83" s="11"/>
      <c r="K83" s="11"/>
      <c r="L83" s="11"/>
      <c r="M83" s="34" t="s">
        <v>98</v>
      </c>
      <c r="N83" s="11" t="str">
        <f t="shared" si="50"/>
        <v>AC2</v>
      </c>
      <c r="O83" s="35">
        <v>601998</v>
      </c>
      <c r="P83" s="36">
        <f t="shared" si="28"/>
        <v>301000</v>
      </c>
      <c r="Q83" s="35">
        <v>75250</v>
      </c>
      <c r="R83" s="103">
        <v>30100</v>
      </c>
      <c r="S83" s="35">
        <v>161936</v>
      </c>
      <c r="T83" s="36">
        <f t="shared" si="72"/>
        <v>568286</v>
      </c>
      <c r="U83" s="36">
        <f t="shared" si="71"/>
        <v>21600</v>
      </c>
      <c r="V83" s="36">
        <v>0</v>
      </c>
      <c r="W83" s="11">
        <v>72</v>
      </c>
      <c r="X83" s="11">
        <v>0</v>
      </c>
      <c r="Y83" s="11">
        <v>0</v>
      </c>
      <c r="Z83" s="11">
        <v>0</v>
      </c>
      <c r="AA83" s="38">
        <v>12040</v>
      </c>
      <c r="AB83" s="39">
        <f t="shared" si="51"/>
        <v>601998</v>
      </c>
      <c r="AC83" s="40">
        <f t="shared" si="52"/>
        <v>0</v>
      </c>
      <c r="AD83" s="41">
        <f t="shared" si="53"/>
        <v>0</v>
      </c>
      <c r="AE83" s="12">
        <f t="shared" si="54"/>
        <v>546686</v>
      </c>
      <c r="AF83" s="12">
        <f t="shared" si="55"/>
        <v>45557.166666666664</v>
      </c>
      <c r="AG83" s="11" t="s">
        <v>83</v>
      </c>
      <c r="AH83" s="11" t="s">
        <v>83</v>
      </c>
      <c r="AI83" s="11" t="s">
        <v>83</v>
      </c>
      <c r="AJ83" s="11" t="s">
        <v>83</v>
      </c>
      <c r="AK83" s="11" t="s">
        <v>83</v>
      </c>
      <c r="AL83" s="11" t="s">
        <v>83</v>
      </c>
      <c r="AM83" s="11"/>
      <c r="AN83" s="11"/>
      <c r="AO83" s="11"/>
      <c r="AP83" s="11"/>
      <c r="AQ83" s="11" t="s">
        <v>85</v>
      </c>
      <c r="AR83" s="11"/>
      <c r="AS83" s="11" t="b">
        <v>0</v>
      </c>
      <c r="AT83" s="36">
        <f t="shared" si="56"/>
        <v>601998</v>
      </c>
      <c r="AU83" s="36">
        <f t="shared" si="57"/>
        <v>300999</v>
      </c>
      <c r="AV83" s="36">
        <f t="shared" si="58"/>
        <v>75250</v>
      </c>
      <c r="AW83" s="36">
        <f t="shared" si="59"/>
        <v>30100</v>
      </c>
      <c r="AX83" s="96">
        <v>161937</v>
      </c>
      <c r="AY83" s="36">
        <f t="shared" si="60"/>
        <v>568286</v>
      </c>
      <c r="AZ83" s="36">
        <f t="shared" si="61"/>
        <v>21600</v>
      </c>
      <c r="BA83" s="36">
        <f t="shared" si="62"/>
        <v>0</v>
      </c>
      <c r="BB83" s="11">
        <v>72</v>
      </c>
      <c r="BC83" s="11">
        <v>0</v>
      </c>
      <c r="BD83" s="11">
        <v>0</v>
      </c>
      <c r="BE83" s="38">
        <f>ROUND((IF(($AT83&lt;=700000),0,IF(((VLOOKUP($AR83,'Loyalty - Effec - 15July'!$B$5:$C$17,2,0)*$AT83)&lt;=120000),(VLOOKUP($AR83,'Loyalty - Effec - 15July'!$B$5:$C$17,2,0)*$AT83),120000))),0)</f>
        <v>0</v>
      </c>
      <c r="BF83" s="38">
        <v>12040</v>
      </c>
      <c r="BG83" s="39">
        <f t="shared" si="63"/>
        <v>601998</v>
      </c>
      <c r="BH83" s="36">
        <f t="shared" si="64"/>
        <v>0</v>
      </c>
      <c r="BI83" s="39">
        <f t="shared" si="65"/>
        <v>0</v>
      </c>
      <c r="BJ83" s="39">
        <f t="shared" si="66"/>
        <v>546686</v>
      </c>
      <c r="BK83" s="39">
        <f t="shared" si="67"/>
        <v>45557.166666666664</v>
      </c>
      <c r="BL83" s="39">
        <f t="shared" si="68"/>
        <v>0</v>
      </c>
      <c r="BM83" s="39">
        <f t="shared" si="69"/>
        <v>0</v>
      </c>
      <c r="BN83" s="39">
        <f t="shared" si="70"/>
        <v>0</v>
      </c>
      <c r="BO83" s="11"/>
      <c r="BP83" s="11"/>
      <c r="BQ83" s="11"/>
      <c r="BR83" s="11"/>
      <c r="BS83" s="11"/>
    </row>
    <row r="84" spans="1:71">
      <c r="A84" s="45" t="s">
        <v>187</v>
      </c>
      <c r="B84" s="11" t="s">
        <v>119</v>
      </c>
      <c r="C84" s="11" t="s">
        <v>80</v>
      </c>
      <c r="D84" s="45" t="s">
        <v>298</v>
      </c>
      <c r="E84" s="11" t="s">
        <v>82</v>
      </c>
      <c r="F84" s="11" t="s">
        <v>94</v>
      </c>
      <c r="G84" s="45" t="s">
        <v>270</v>
      </c>
      <c r="H84" s="11" t="s">
        <v>369</v>
      </c>
      <c r="I84" s="11" t="s">
        <v>398</v>
      </c>
      <c r="J84" s="11"/>
      <c r="K84" s="11"/>
      <c r="L84" s="11"/>
      <c r="M84" s="34" t="s">
        <v>102</v>
      </c>
      <c r="N84" s="11" t="str">
        <f t="shared" si="50"/>
        <v>C1</v>
      </c>
      <c r="O84" s="35">
        <v>3400000</v>
      </c>
      <c r="P84" s="36">
        <f t="shared" ref="P84:P93" si="73">CEILING(ROUND(($O84*50%),2),10)</f>
        <v>1700000</v>
      </c>
      <c r="Q84" s="35">
        <v>425000</v>
      </c>
      <c r="R84" s="103">
        <v>170000</v>
      </c>
      <c r="S84" s="35">
        <v>759327.99999999977</v>
      </c>
      <c r="T84" s="36">
        <f t="shared" si="72"/>
        <v>3054328</v>
      </c>
      <c r="U84" s="36">
        <f t="shared" si="71"/>
        <v>21600</v>
      </c>
      <c r="V84" s="36">
        <v>0</v>
      </c>
      <c r="W84" s="11">
        <v>72</v>
      </c>
      <c r="X84" s="11">
        <v>0</v>
      </c>
      <c r="Y84" s="11">
        <v>0</v>
      </c>
      <c r="Z84" s="11">
        <v>120000</v>
      </c>
      <c r="AA84" s="38">
        <v>204000</v>
      </c>
      <c r="AB84" s="39">
        <f t="shared" si="51"/>
        <v>3400000</v>
      </c>
      <c r="AC84" s="40">
        <f t="shared" si="52"/>
        <v>0</v>
      </c>
      <c r="AD84" s="41">
        <f t="shared" si="53"/>
        <v>0</v>
      </c>
      <c r="AE84" s="12">
        <f t="shared" si="54"/>
        <v>3152728</v>
      </c>
      <c r="AF84" s="12">
        <f t="shared" si="55"/>
        <v>262727.33333333331</v>
      </c>
      <c r="AG84" s="11" t="s">
        <v>83</v>
      </c>
      <c r="AH84" s="11" t="s">
        <v>83</v>
      </c>
      <c r="AI84" s="11" t="s">
        <v>83</v>
      </c>
      <c r="AJ84" s="11" t="s">
        <v>83</v>
      </c>
      <c r="AK84" s="11" t="s">
        <v>83</v>
      </c>
      <c r="AL84" s="11" t="s">
        <v>83</v>
      </c>
      <c r="AM84" s="11"/>
      <c r="AN84" s="11"/>
      <c r="AO84" s="11"/>
      <c r="AP84" s="11"/>
      <c r="AQ84" s="11" t="s">
        <v>85</v>
      </c>
      <c r="AR84" s="11"/>
      <c r="AS84" s="11" t="b">
        <v>0</v>
      </c>
      <c r="AT84" s="36">
        <f t="shared" si="56"/>
        <v>3400000</v>
      </c>
      <c r="AU84" s="36">
        <f t="shared" si="57"/>
        <v>1700000</v>
      </c>
      <c r="AV84" s="36">
        <f t="shared" si="58"/>
        <v>425000</v>
      </c>
      <c r="AW84" s="36">
        <f t="shared" si="59"/>
        <v>170000</v>
      </c>
      <c r="AX84" s="96">
        <v>759327.99999999977</v>
      </c>
      <c r="AY84" s="36">
        <f t="shared" si="60"/>
        <v>3054328</v>
      </c>
      <c r="AZ84" s="36">
        <f t="shared" si="61"/>
        <v>21600</v>
      </c>
      <c r="BA84" s="36">
        <f t="shared" si="62"/>
        <v>0</v>
      </c>
      <c r="BB84" s="11">
        <v>72</v>
      </c>
      <c r="BC84" s="11">
        <v>0</v>
      </c>
      <c r="BD84" s="11">
        <v>0</v>
      </c>
      <c r="BE84" s="38">
        <v>120000</v>
      </c>
      <c r="BF84" s="38">
        <v>204000</v>
      </c>
      <c r="BG84" s="39">
        <f t="shared" si="63"/>
        <v>3400000</v>
      </c>
      <c r="BH84" s="36">
        <f t="shared" si="64"/>
        <v>0</v>
      </c>
      <c r="BI84" s="39">
        <f t="shared" si="65"/>
        <v>0</v>
      </c>
      <c r="BJ84" s="39">
        <f t="shared" si="66"/>
        <v>3152728</v>
      </c>
      <c r="BK84" s="39">
        <f t="shared" si="67"/>
        <v>262727.33333333331</v>
      </c>
      <c r="BL84" s="39">
        <f t="shared" si="68"/>
        <v>0</v>
      </c>
      <c r="BM84" s="39">
        <f t="shared" si="69"/>
        <v>0</v>
      </c>
      <c r="BN84" s="39">
        <f t="shared" si="70"/>
        <v>0</v>
      </c>
      <c r="BO84" s="11"/>
      <c r="BP84" s="11"/>
      <c r="BQ84" s="11"/>
      <c r="BR84" s="11"/>
      <c r="BS84" s="11"/>
    </row>
    <row r="85" spans="1:71">
      <c r="A85" s="45" t="s">
        <v>206</v>
      </c>
      <c r="B85" s="11" t="s">
        <v>119</v>
      </c>
      <c r="C85" s="11" t="s">
        <v>80</v>
      </c>
      <c r="D85" s="45" t="s">
        <v>298</v>
      </c>
      <c r="E85" s="11" t="s">
        <v>82</v>
      </c>
      <c r="F85" s="11" t="s">
        <v>95</v>
      </c>
      <c r="G85" s="45" t="s">
        <v>289</v>
      </c>
      <c r="H85" s="11" t="s">
        <v>366</v>
      </c>
      <c r="I85" s="11" t="s">
        <v>404</v>
      </c>
      <c r="J85" s="11"/>
      <c r="K85" s="11"/>
      <c r="L85" s="11"/>
      <c r="M85" s="34" t="s">
        <v>102</v>
      </c>
      <c r="N85" s="11" t="str">
        <f t="shared" si="50"/>
        <v>C1</v>
      </c>
      <c r="O85" s="35">
        <v>3450000</v>
      </c>
      <c r="P85" s="36">
        <f t="shared" si="73"/>
        <v>1725000</v>
      </c>
      <c r="Q85" s="35">
        <v>431250</v>
      </c>
      <c r="R85" s="103">
        <v>172500</v>
      </c>
      <c r="S85" s="35">
        <v>772578</v>
      </c>
      <c r="T85" s="36">
        <f t="shared" si="72"/>
        <v>3101328</v>
      </c>
      <c r="U85" s="36">
        <f t="shared" si="71"/>
        <v>21600</v>
      </c>
      <c r="V85" s="36">
        <v>0</v>
      </c>
      <c r="W85" s="11">
        <v>72</v>
      </c>
      <c r="X85" s="11">
        <v>0</v>
      </c>
      <c r="Y85" s="11">
        <v>0</v>
      </c>
      <c r="Z85" s="11">
        <v>120000</v>
      </c>
      <c r="AA85" s="38">
        <v>207000</v>
      </c>
      <c r="AB85" s="39">
        <f t="shared" si="51"/>
        <v>3450000</v>
      </c>
      <c r="AC85" s="40">
        <f t="shared" si="52"/>
        <v>0</v>
      </c>
      <c r="AD85" s="41">
        <f t="shared" si="53"/>
        <v>0</v>
      </c>
      <c r="AE85" s="12">
        <f t="shared" si="54"/>
        <v>3199728</v>
      </c>
      <c r="AF85" s="12">
        <f t="shared" si="55"/>
        <v>266644</v>
      </c>
      <c r="AG85" s="11" t="s">
        <v>83</v>
      </c>
      <c r="AH85" s="11" t="s">
        <v>83</v>
      </c>
      <c r="AI85" s="11" t="s">
        <v>83</v>
      </c>
      <c r="AJ85" s="11" t="s">
        <v>83</v>
      </c>
      <c r="AK85" s="11" t="s">
        <v>83</v>
      </c>
      <c r="AL85" s="11" t="s">
        <v>83</v>
      </c>
      <c r="AM85" s="11"/>
      <c r="AN85" s="11"/>
      <c r="AO85" s="11"/>
      <c r="AP85" s="11"/>
      <c r="AQ85" s="11" t="s">
        <v>85</v>
      </c>
      <c r="AR85" s="11"/>
      <c r="AS85" s="11" t="b">
        <v>0</v>
      </c>
      <c r="AT85" s="36">
        <f t="shared" si="56"/>
        <v>3450000</v>
      </c>
      <c r="AU85" s="36">
        <f t="shared" si="57"/>
        <v>1725000</v>
      </c>
      <c r="AV85" s="36">
        <f t="shared" si="58"/>
        <v>431250</v>
      </c>
      <c r="AW85" s="36">
        <f t="shared" si="59"/>
        <v>172500</v>
      </c>
      <c r="AX85" s="96">
        <v>772578</v>
      </c>
      <c r="AY85" s="36">
        <f t="shared" si="60"/>
        <v>3101328</v>
      </c>
      <c r="AZ85" s="36">
        <f t="shared" si="61"/>
        <v>21600</v>
      </c>
      <c r="BA85" s="36">
        <f t="shared" si="62"/>
        <v>0</v>
      </c>
      <c r="BB85" s="11">
        <v>72</v>
      </c>
      <c r="BC85" s="11">
        <v>0</v>
      </c>
      <c r="BD85" s="11">
        <v>0</v>
      </c>
      <c r="BE85" s="38">
        <v>120000</v>
      </c>
      <c r="BF85" s="38">
        <v>207000</v>
      </c>
      <c r="BG85" s="39">
        <f t="shared" si="63"/>
        <v>3450000</v>
      </c>
      <c r="BH85" s="36">
        <f t="shared" si="64"/>
        <v>0</v>
      </c>
      <c r="BI85" s="39">
        <f t="shared" si="65"/>
        <v>0</v>
      </c>
      <c r="BJ85" s="39">
        <f t="shared" si="66"/>
        <v>3199728</v>
      </c>
      <c r="BK85" s="39">
        <f t="shared" si="67"/>
        <v>266644</v>
      </c>
      <c r="BL85" s="39">
        <f t="shared" si="68"/>
        <v>0</v>
      </c>
      <c r="BM85" s="39">
        <f t="shared" si="69"/>
        <v>0</v>
      </c>
      <c r="BN85" s="39">
        <f t="shared" si="70"/>
        <v>0</v>
      </c>
      <c r="BO85" s="11"/>
      <c r="BP85" s="11"/>
      <c r="BQ85" s="11"/>
      <c r="BR85" s="11"/>
      <c r="BS85" s="11"/>
    </row>
    <row r="86" spans="1:71">
      <c r="A86" s="45" t="s">
        <v>162</v>
      </c>
      <c r="B86" s="11" t="s">
        <v>119</v>
      </c>
      <c r="C86" s="11" t="s">
        <v>80</v>
      </c>
      <c r="D86" s="45" t="s">
        <v>298</v>
      </c>
      <c r="E86" s="11" t="s">
        <v>82</v>
      </c>
      <c r="F86" s="11" t="s">
        <v>95</v>
      </c>
      <c r="G86" s="45" t="s">
        <v>245</v>
      </c>
      <c r="H86" s="11" t="s">
        <v>370</v>
      </c>
      <c r="I86" s="11" t="s">
        <v>388</v>
      </c>
      <c r="J86" s="11"/>
      <c r="K86" s="11"/>
      <c r="L86" s="11"/>
      <c r="M86" s="34" t="s">
        <v>97</v>
      </c>
      <c r="N86" s="11" t="str">
        <f t="shared" si="50"/>
        <v>AC1</v>
      </c>
      <c r="O86" s="35">
        <v>383041</v>
      </c>
      <c r="P86" s="36">
        <f t="shared" si="73"/>
        <v>191530</v>
      </c>
      <c r="Q86" s="35">
        <v>47883</v>
      </c>
      <c r="R86" s="103">
        <v>19153</v>
      </c>
      <c r="S86" s="35">
        <v>102803.00000000003</v>
      </c>
      <c r="T86" s="36">
        <f t="shared" si="72"/>
        <v>361369</v>
      </c>
      <c r="U86" s="36">
        <f t="shared" si="71"/>
        <v>21600</v>
      </c>
      <c r="V86" s="36">
        <v>0</v>
      </c>
      <c r="W86" s="11">
        <v>72</v>
      </c>
      <c r="X86" s="11">
        <v>0</v>
      </c>
      <c r="Y86" s="11">
        <v>0</v>
      </c>
      <c r="Z86" s="11">
        <v>0</v>
      </c>
      <c r="AA86" s="38">
        <v>0</v>
      </c>
      <c r="AB86" s="39">
        <f t="shared" si="51"/>
        <v>383041</v>
      </c>
      <c r="AC86" s="40">
        <f t="shared" si="52"/>
        <v>0</v>
      </c>
      <c r="AD86" s="41">
        <f t="shared" si="53"/>
        <v>0</v>
      </c>
      <c r="AE86" s="12">
        <f t="shared" si="54"/>
        <v>339769</v>
      </c>
      <c r="AF86" s="12">
        <f t="shared" si="55"/>
        <v>28314.083333333332</v>
      </c>
      <c r="AG86" s="11" t="s">
        <v>83</v>
      </c>
      <c r="AH86" s="11" t="s">
        <v>83</v>
      </c>
      <c r="AI86" s="11" t="s">
        <v>83</v>
      </c>
      <c r="AJ86" s="11" t="s">
        <v>83</v>
      </c>
      <c r="AK86" s="11" t="s">
        <v>83</v>
      </c>
      <c r="AL86" s="11" t="s">
        <v>83</v>
      </c>
      <c r="AM86" s="11"/>
      <c r="AN86" s="11"/>
      <c r="AO86" s="11"/>
      <c r="AP86" s="11"/>
      <c r="AQ86" s="11" t="s">
        <v>85</v>
      </c>
      <c r="AR86" s="11"/>
      <c r="AS86" s="11" t="b">
        <v>0</v>
      </c>
      <c r="AT86" s="36">
        <f t="shared" si="56"/>
        <v>383041</v>
      </c>
      <c r="AU86" s="36">
        <f t="shared" si="57"/>
        <v>191521</v>
      </c>
      <c r="AV86" s="36">
        <f t="shared" si="58"/>
        <v>47880</v>
      </c>
      <c r="AW86" s="36">
        <f t="shared" si="59"/>
        <v>19152</v>
      </c>
      <c r="AX86" s="96">
        <v>102816.00000000003</v>
      </c>
      <c r="AY86" s="36">
        <f t="shared" si="60"/>
        <v>361369</v>
      </c>
      <c r="AZ86" s="36">
        <f t="shared" si="61"/>
        <v>21600</v>
      </c>
      <c r="BA86" s="36">
        <f t="shared" si="62"/>
        <v>0</v>
      </c>
      <c r="BB86" s="11">
        <v>72</v>
      </c>
      <c r="BC86" s="11">
        <v>0</v>
      </c>
      <c r="BD86" s="11">
        <v>0</v>
      </c>
      <c r="BE86" s="38">
        <f>ROUND((IF(($AT86&lt;=700000),0,IF(((VLOOKUP($AR86,'Loyalty - Effec - 15July'!$B$5:$C$17,2,0)*$AT86)&lt;=120000),(VLOOKUP($AR86,'Loyalty - Effec - 15July'!$B$5:$C$17,2,0)*$AT86),120000))),0)</f>
        <v>0</v>
      </c>
      <c r="BF86" s="38">
        <v>0</v>
      </c>
      <c r="BG86" s="39">
        <f t="shared" si="63"/>
        <v>383041</v>
      </c>
      <c r="BH86" s="36">
        <f t="shared" si="64"/>
        <v>0</v>
      </c>
      <c r="BI86" s="39">
        <f t="shared" si="65"/>
        <v>0</v>
      </c>
      <c r="BJ86" s="39">
        <f t="shared" si="66"/>
        <v>339769</v>
      </c>
      <c r="BK86" s="39">
        <f t="shared" si="67"/>
        <v>28314.083333333332</v>
      </c>
      <c r="BL86" s="39">
        <f t="shared" si="68"/>
        <v>0</v>
      </c>
      <c r="BM86" s="39">
        <f t="shared" si="69"/>
        <v>0</v>
      </c>
      <c r="BN86" s="39">
        <f t="shared" si="70"/>
        <v>0</v>
      </c>
      <c r="BO86" s="11"/>
      <c r="BP86" s="11"/>
      <c r="BQ86" s="11"/>
      <c r="BR86" s="11"/>
      <c r="BS86" s="11"/>
    </row>
    <row r="87" spans="1:71">
      <c r="A87" s="45" t="s">
        <v>201</v>
      </c>
      <c r="B87" s="11" t="s">
        <v>119</v>
      </c>
      <c r="C87" s="11" t="s">
        <v>80</v>
      </c>
      <c r="D87" s="45" t="s">
        <v>298</v>
      </c>
      <c r="E87" s="11" t="s">
        <v>82</v>
      </c>
      <c r="F87" s="11" t="s">
        <v>95</v>
      </c>
      <c r="G87" s="45" t="s">
        <v>284</v>
      </c>
      <c r="H87" s="11" t="s">
        <v>371</v>
      </c>
      <c r="I87" s="11" t="s">
        <v>402</v>
      </c>
      <c r="J87" s="11"/>
      <c r="K87" s="11"/>
      <c r="L87" s="11"/>
      <c r="M87" s="34" t="s">
        <v>111</v>
      </c>
      <c r="N87" s="11" t="str">
        <f t="shared" si="50"/>
        <v>SAC3</v>
      </c>
      <c r="O87" s="35">
        <v>850000</v>
      </c>
      <c r="P87" s="36">
        <f t="shared" si="73"/>
        <v>425000</v>
      </c>
      <c r="Q87" s="35">
        <v>106250</v>
      </c>
      <c r="R87" s="103">
        <v>42500</v>
      </c>
      <c r="S87" s="35">
        <v>203577.99999999991</v>
      </c>
      <c r="T87" s="36">
        <f t="shared" si="72"/>
        <v>777327.99999999988</v>
      </c>
      <c r="U87" s="36">
        <f t="shared" si="71"/>
        <v>21600</v>
      </c>
      <c r="V87" s="36">
        <v>0</v>
      </c>
      <c r="W87" s="11">
        <v>72</v>
      </c>
      <c r="X87" s="11">
        <v>0</v>
      </c>
      <c r="Y87" s="11">
        <v>0</v>
      </c>
      <c r="Z87" s="11">
        <v>25500</v>
      </c>
      <c r="AA87" s="38">
        <v>25500</v>
      </c>
      <c r="AB87" s="39">
        <f t="shared" si="51"/>
        <v>849999.99999999988</v>
      </c>
      <c r="AC87" s="40">
        <f t="shared" si="52"/>
        <v>0</v>
      </c>
      <c r="AD87" s="41">
        <f t="shared" si="53"/>
        <v>0</v>
      </c>
      <c r="AE87" s="12">
        <f t="shared" si="54"/>
        <v>781227.99999999988</v>
      </c>
      <c r="AF87" s="12">
        <f t="shared" si="55"/>
        <v>65102.333333333321</v>
      </c>
      <c r="AG87" s="11" t="s">
        <v>83</v>
      </c>
      <c r="AH87" s="11" t="s">
        <v>83</v>
      </c>
      <c r="AI87" s="11" t="s">
        <v>83</v>
      </c>
      <c r="AJ87" s="11" t="s">
        <v>83</v>
      </c>
      <c r="AK87" s="11" t="s">
        <v>83</v>
      </c>
      <c r="AL87" s="11" t="s">
        <v>83</v>
      </c>
      <c r="AM87" s="11"/>
      <c r="AN87" s="11"/>
      <c r="AO87" s="11"/>
      <c r="AP87" s="11"/>
      <c r="AQ87" s="11" t="s">
        <v>85</v>
      </c>
      <c r="AR87" s="11"/>
      <c r="AS87" s="11" t="b">
        <v>0</v>
      </c>
      <c r="AT87" s="36">
        <f t="shared" si="56"/>
        <v>850000</v>
      </c>
      <c r="AU87" s="36">
        <f t="shared" si="57"/>
        <v>425000</v>
      </c>
      <c r="AV87" s="36">
        <f t="shared" si="58"/>
        <v>106250</v>
      </c>
      <c r="AW87" s="36">
        <f t="shared" si="59"/>
        <v>42500</v>
      </c>
      <c r="AX87" s="96">
        <v>203577.99999999991</v>
      </c>
      <c r="AY87" s="36">
        <f t="shared" si="60"/>
        <v>777327.99999999988</v>
      </c>
      <c r="AZ87" s="36">
        <f t="shared" si="61"/>
        <v>21600</v>
      </c>
      <c r="BA87" s="36">
        <f t="shared" si="62"/>
        <v>0</v>
      </c>
      <c r="BB87" s="11">
        <v>72</v>
      </c>
      <c r="BC87" s="11">
        <v>0</v>
      </c>
      <c r="BD87" s="11">
        <v>0</v>
      </c>
      <c r="BE87" s="38">
        <v>25500</v>
      </c>
      <c r="BF87" s="38">
        <v>25500</v>
      </c>
      <c r="BG87" s="39">
        <f t="shared" si="63"/>
        <v>849999.99999999988</v>
      </c>
      <c r="BH87" s="36">
        <f t="shared" si="64"/>
        <v>0</v>
      </c>
      <c r="BI87" s="39">
        <f t="shared" si="65"/>
        <v>0</v>
      </c>
      <c r="BJ87" s="39">
        <f t="shared" si="66"/>
        <v>781227.99999999988</v>
      </c>
      <c r="BK87" s="39">
        <f t="shared" si="67"/>
        <v>65102.333333333321</v>
      </c>
      <c r="BL87" s="39">
        <f t="shared" si="68"/>
        <v>0</v>
      </c>
      <c r="BM87" s="39">
        <f t="shared" si="69"/>
        <v>0</v>
      </c>
      <c r="BN87" s="39">
        <f t="shared" si="70"/>
        <v>0</v>
      </c>
      <c r="BO87" s="11"/>
      <c r="BP87" s="11"/>
      <c r="BQ87" s="11"/>
      <c r="BR87" s="11"/>
      <c r="BS87" s="11"/>
    </row>
    <row r="88" spans="1:71">
      <c r="A88" s="45" t="s">
        <v>210</v>
      </c>
      <c r="B88" s="11" t="s">
        <v>119</v>
      </c>
      <c r="C88" s="11" t="s">
        <v>80</v>
      </c>
      <c r="D88" s="45" t="s">
        <v>298</v>
      </c>
      <c r="E88" s="11" t="s">
        <v>82</v>
      </c>
      <c r="F88" s="11" t="s">
        <v>94</v>
      </c>
      <c r="G88" s="45" t="s">
        <v>293</v>
      </c>
      <c r="H88" s="11" t="s">
        <v>372</v>
      </c>
      <c r="I88" s="11">
        <v>0</v>
      </c>
      <c r="J88" s="11"/>
      <c r="K88" s="11"/>
      <c r="L88" s="11"/>
      <c r="M88" s="34" t="s">
        <v>100</v>
      </c>
      <c r="N88" s="11" t="str">
        <f t="shared" si="50"/>
        <v>AC4</v>
      </c>
      <c r="O88" s="35">
        <v>2200000</v>
      </c>
      <c r="P88" s="36">
        <f t="shared" si="73"/>
        <v>1100000</v>
      </c>
      <c r="Q88" s="35">
        <v>275000</v>
      </c>
      <c r="R88" s="103">
        <v>110000</v>
      </c>
      <c r="S88" s="35">
        <v>517328</v>
      </c>
      <c r="T88" s="36">
        <f t="shared" si="72"/>
        <v>2002328</v>
      </c>
      <c r="U88" s="36">
        <f t="shared" si="71"/>
        <v>21600</v>
      </c>
      <c r="V88" s="36">
        <v>0</v>
      </c>
      <c r="W88" s="11">
        <v>72</v>
      </c>
      <c r="X88" s="11">
        <v>0</v>
      </c>
      <c r="Y88" s="11">
        <v>0</v>
      </c>
      <c r="Z88" s="11">
        <v>88000</v>
      </c>
      <c r="AA88" s="38">
        <v>88000</v>
      </c>
      <c r="AB88" s="39">
        <f t="shared" si="51"/>
        <v>2200000</v>
      </c>
      <c r="AC88" s="40">
        <f t="shared" si="52"/>
        <v>0</v>
      </c>
      <c r="AD88" s="41">
        <f t="shared" si="53"/>
        <v>0</v>
      </c>
      <c r="AE88" s="12">
        <f t="shared" si="54"/>
        <v>2068728</v>
      </c>
      <c r="AF88" s="12">
        <f t="shared" si="55"/>
        <v>172394</v>
      </c>
      <c r="AG88" s="11" t="s">
        <v>83</v>
      </c>
      <c r="AH88" s="11" t="s">
        <v>83</v>
      </c>
      <c r="AI88" s="11" t="s">
        <v>83</v>
      </c>
      <c r="AJ88" s="11" t="s">
        <v>83</v>
      </c>
      <c r="AK88" s="11" t="s">
        <v>83</v>
      </c>
      <c r="AL88" s="11" t="s">
        <v>83</v>
      </c>
      <c r="AM88" s="11"/>
      <c r="AN88" s="11"/>
      <c r="AO88" s="11"/>
      <c r="AP88" s="11"/>
      <c r="AQ88" s="11" t="s">
        <v>85</v>
      </c>
      <c r="AR88" s="11"/>
      <c r="AS88" s="11" t="b">
        <v>0</v>
      </c>
      <c r="AT88" s="36">
        <f t="shared" si="56"/>
        <v>2200000</v>
      </c>
      <c r="AU88" s="36">
        <f t="shared" si="57"/>
        <v>1100000</v>
      </c>
      <c r="AV88" s="36">
        <f t="shared" si="58"/>
        <v>275000</v>
      </c>
      <c r="AW88" s="36">
        <f t="shared" si="59"/>
        <v>110000</v>
      </c>
      <c r="AX88" s="96">
        <v>517328</v>
      </c>
      <c r="AY88" s="36">
        <f t="shared" si="60"/>
        <v>2002328</v>
      </c>
      <c r="AZ88" s="36">
        <f t="shared" si="61"/>
        <v>21600</v>
      </c>
      <c r="BA88" s="36">
        <f t="shared" si="62"/>
        <v>0</v>
      </c>
      <c r="BB88" s="11">
        <v>72</v>
      </c>
      <c r="BC88" s="11">
        <v>0</v>
      </c>
      <c r="BD88" s="11">
        <v>0</v>
      </c>
      <c r="BE88" s="38">
        <v>88000</v>
      </c>
      <c r="BF88" s="38">
        <v>88000</v>
      </c>
      <c r="BG88" s="39">
        <f t="shared" si="63"/>
        <v>2200000</v>
      </c>
      <c r="BH88" s="36">
        <f t="shared" si="64"/>
        <v>0</v>
      </c>
      <c r="BI88" s="39">
        <f t="shared" si="65"/>
        <v>0</v>
      </c>
      <c r="BJ88" s="39">
        <f t="shared" si="66"/>
        <v>2068728</v>
      </c>
      <c r="BK88" s="39">
        <f t="shared" si="67"/>
        <v>172394</v>
      </c>
      <c r="BL88" s="39">
        <f t="shared" si="68"/>
        <v>0</v>
      </c>
      <c r="BM88" s="39">
        <f t="shared" si="69"/>
        <v>0</v>
      </c>
      <c r="BN88" s="39">
        <f t="shared" si="70"/>
        <v>0</v>
      </c>
      <c r="BO88" s="11"/>
      <c r="BP88" s="11"/>
      <c r="BQ88" s="11"/>
      <c r="BR88" s="11"/>
      <c r="BS88" s="11"/>
    </row>
    <row r="89" spans="1:71">
      <c r="A89" s="45" t="s">
        <v>209</v>
      </c>
      <c r="B89" s="11" t="s">
        <v>119</v>
      </c>
      <c r="C89" s="11" t="s">
        <v>80</v>
      </c>
      <c r="D89" s="45" t="s">
        <v>298</v>
      </c>
      <c r="E89" s="11" t="s">
        <v>82</v>
      </c>
      <c r="F89" s="11" t="s">
        <v>94</v>
      </c>
      <c r="G89" s="45" t="s">
        <v>292</v>
      </c>
      <c r="H89" s="11" t="s">
        <v>373</v>
      </c>
      <c r="I89" s="11" t="s">
        <v>405</v>
      </c>
      <c r="J89" s="11"/>
      <c r="K89" s="11"/>
      <c r="L89" s="11"/>
      <c r="M89" s="34" t="s">
        <v>100</v>
      </c>
      <c r="N89" s="11" t="str">
        <f t="shared" si="50"/>
        <v>AC4</v>
      </c>
      <c r="O89" s="35">
        <v>3200000</v>
      </c>
      <c r="P89" s="36">
        <f t="shared" si="73"/>
        <v>1600000</v>
      </c>
      <c r="Q89" s="35">
        <v>400000</v>
      </c>
      <c r="R89" s="103">
        <v>160000</v>
      </c>
      <c r="S89" s="35">
        <v>770328</v>
      </c>
      <c r="T89" s="36">
        <f t="shared" si="72"/>
        <v>2930328</v>
      </c>
      <c r="U89" s="36">
        <f t="shared" si="71"/>
        <v>21600</v>
      </c>
      <c r="V89" s="36">
        <v>0</v>
      </c>
      <c r="W89" s="11">
        <v>72</v>
      </c>
      <c r="X89" s="11">
        <v>0</v>
      </c>
      <c r="Y89" s="11">
        <v>0</v>
      </c>
      <c r="Z89" s="11">
        <v>120000</v>
      </c>
      <c r="AA89" s="38">
        <v>128000</v>
      </c>
      <c r="AB89" s="39">
        <f t="shared" si="51"/>
        <v>3200000</v>
      </c>
      <c r="AC89" s="40">
        <f t="shared" si="52"/>
        <v>0</v>
      </c>
      <c r="AD89" s="41">
        <f t="shared" si="53"/>
        <v>0</v>
      </c>
      <c r="AE89" s="12">
        <f t="shared" si="54"/>
        <v>3028728</v>
      </c>
      <c r="AF89" s="12">
        <f t="shared" si="55"/>
        <v>252394</v>
      </c>
      <c r="AG89" s="11" t="s">
        <v>83</v>
      </c>
      <c r="AH89" s="11" t="s">
        <v>83</v>
      </c>
      <c r="AI89" s="11" t="s">
        <v>83</v>
      </c>
      <c r="AJ89" s="11" t="s">
        <v>83</v>
      </c>
      <c r="AK89" s="11" t="s">
        <v>83</v>
      </c>
      <c r="AL89" s="11" t="s">
        <v>83</v>
      </c>
      <c r="AM89" s="11"/>
      <c r="AN89" s="11"/>
      <c r="AO89" s="11"/>
      <c r="AP89" s="11"/>
      <c r="AQ89" s="11" t="s">
        <v>85</v>
      </c>
      <c r="AR89" s="11"/>
      <c r="AS89" s="11" t="b">
        <v>0</v>
      </c>
      <c r="AT89" s="36">
        <f t="shared" si="56"/>
        <v>3200000</v>
      </c>
      <c r="AU89" s="36">
        <f t="shared" si="57"/>
        <v>1600000</v>
      </c>
      <c r="AV89" s="36">
        <f t="shared" si="58"/>
        <v>400000</v>
      </c>
      <c r="AW89" s="36">
        <f t="shared" si="59"/>
        <v>160000</v>
      </c>
      <c r="AX89" s="96">
        <v>770328</v>
      </c>
      <c r="AY89" s="36">
        <f t="shared" si="60"/>
        <v>2930328</v>
      </c>
      <c r="AZ89" s="36">
        <f t="shared" si="61"/>
        <v>21600</v>
      </c>
      <c r="BA89" s="36">
        <f t="shared" si="62"/>
        <v>0</v>
      </c>
      <c r="BB89" s="11">
        <v>72</v>
      </c>
      <c r="BC89" s="11">
        <v>0</v>
      </c>
      <c r="BD89" s="11">
        <v>0</v>
      </c>
      <c r="BE89" s="38">
        <v>120000</v>
      </c>
      <c r="BF89" s="38">
        <v>128000</v>
      </c>
      <c r="BG89" s="39">
        <f t="shared" si="63"/>
        <v>3200000</v>
      </c>
      <c r="BH89" s="36">
        <f t="shared" si="64"/>
        <v>0</v>
      </c>
      <c r="BI89" s="39">
        <f t="shared" si="65"/>
        <v>0</v>
      </c>
      <c r="BJ89" s="39">
        <f t="shared" si="66"/>
        <v>3028728</v>
      </c>
      <c r="BK89" s="39">
        <f t="shared" si="67"/>
        <v>252394</v>
      </c>
      <c r="BL89" s="39">
        <f t="shared" si="68"/>
        <v>0</v>
      </c>
      <c r="BM89" s="39">
        <f t="shared" si="69"/>
        <v>0</v>
      </c>
      <c r="BN89" s="39">
        <f t="shared" si="70"/>
        <v>0</v>
      </c>
      <c r="BO89" s="11"/>
      <c r="BP89" s="11"/>
      <c r="BQ89" s="11"/>
      <c r="BR89" s="11"/>
      <c r="BS89" s="11"/>
    </row>
    <row r="90" spans="1:71">
      <c r="A90" s="45" t="s">
        <v>194</v>
      </c>
      <c r="B90" s="11" t="s">
        <v>119</v>
      </c>
      <c r="C90" s="11" t="s">
        <v>80</v>
      </c>
      <c r="D90" s="45" t="s">
        <v>298</v>
      </c>
      <c r="E90" s="11" t="s">
        <v>82</v>
      </c>
      <c r="F90" s="11" t="s">
        <v>94</v>
      </c>
      <c r="G90" s="45" t="s">
        <v>277</v>
      </c>
      <c r="H90" s="11" t="s">
        <v>374</v>
      </c>
      <c r="I90" s="11" t="s">
        <v>400</v>
      </c>
      <c r="J90" s="11"/>
      <c r="K90" s="11"/>
      <c r="L90" s="11"/>
      <c r="M90" s="34" t="s">
        <v>102</v>
      </c>
      <c r="N90" s="11" t="str">
        <f t="shared" si="50"/>
        <v>C1</v>
      </c>
      <c r="O90" s="35">
        <v>3600000</v>
      </c>
      <c r="P90" s="36">
        <f t="shared" si="73"/>
        <v>1800000</v>
      </c>
      <c r="Q90" s="35">
        <v>450000</v>
      </c>
      <c r="R90" s="103">
        <v>180000</v>
      </c>
      <c r="S90" s="35">
        <v>812328</v>
      </c>
      <c r="T90" s="36">
        <f t="shared" si="72"/>
        <v>3242328</v>
      </c>
      <c r="U90" s="36">
        <f t="shared" si="71"/>
        <v>21600</v>
      </c>
      <c r="V90" s="36">
        <v>0</v>
      </c>
      <c r="W90" s="11">
        <v>72</v>
      </c>
      <c r="X90" s="11">
        <v>0</v>
      </c>
      <c r="Y90" s="11">
        <v>0</v>
      </c>
      <c r="Z90" s="11">
        <v>120000</v>
      </c>
      <c r="AA90" s="38">
        <v>216000</v>
      </c>
      <c r="AB90" s="39">
        <f t="shared" si="51"/>
        <v>3600000</v>
      </c>
      <c r="AC90" s="40">
        <f t="shared" si="52"/>
        <v>0</v>
      </c>
      <c r="AD90" s="41">
        <f t="shared" si="53"/>
        <v>0</v>
      </c>
      <c r="AE90" s="12">
        <f t="shared" si="54"/>
        <v>3340728</v>
      </c>
      <c r="AF90" s="12">
        <f t="shared" si="55"/>
        <v>278394</v>
      </c>
      <c r="AG90" s="11" t="s">
        <v>83</v>
      </c>
      <c r="AH90" s="11" t="s">
        <v>83</v>
      </c>
      <c r="AI90" s="11" t="s">
        <v>83</v>
      </c>
      <c r="AJ90" s="11" t="s">
        <v>83</v>
      </c>
      <c r="AK90" s="11" t="s">
        <v>83</v>
      </c>
      <c r="AL90" s="11" t="s">
        <v>83</v>
      </c>
      <c r="AM90" s="11"/>
      <c r="AN90" s="11"/>
      <c r="AO90" s="11"/>
      <c r="AP90" s="11"/>
      <c r="AQ90" s="11" t="s">
        <v>85</v>
      </c>
      <c r="AR90" s="11"/>
      <c r="AS90" s="11" t="b">
        <v>0</v>
      </c>
      <c r="AT90" s="36">
        <f t="shared" si="56"/>
        <v>3600000</v>
      </c>
      <c r="AU90" s="36">
        <f t="shared" si="57"/>
        <v>1800000</v>
      </c>
      <c r="AV90" s="36">
        <f t="shared" si="58"/>
        <v>450000</v>
      </c>
      <c r="AW90" s="36">
        <f t="shared" si="59"/>
        <v>180000</v>
      </c>
      <c r="AX90" s="96">
        <v>812328</v>
      </c>
      <c r="AY90" s="36">
        <f t="shared" si="60"/>
        <v>3242328</v>
      </c>
      <c r="AZ90" s="36">
        <f t="shared" si="61"/>
        <v>21600</v>
      </c>
      <c r="BA90" s="36">
        <f t="shared" si="62"/>
        <v>0</v>
      </c>
      <c r="BB90" s="11">
        <v>72</v>
      </c>
      <c r="BC90" s="11">
        <v>0</v>
      </c>
      <c r="BD90" s="11">
        <v>0</v>
      </c>
      <c r="BE90" s="38">
        <v>120000</v>
      </c>
      <c r="BF90" s="38">
        <v>216000</v>
      </c>
      <c r="BG90" s="39">
        <f t="shared" si="63"/>
        <v>3600000</v>
      </c>
      <c r="BH90" s="36">
        <f t="shared" si="64"/>
        <v>0</v>
      </c>
      <c r="BI90" s="39">
        <f t="shared" si="65"/>
        <v>0</v>
      </c>
      <c r="BJ90" s="39">
        <f t="shared" si="66"/>
        <v>3340728</v>
      </c>
      <c r="BK90" s="39">
        <f t="shared" si="67"/>
        <v>278394</v>
      </c>
      <c r="BL90" s="39">
        <f t="shared" si="68"/>
        <v>0</v>
      </c>
      <c r="BM90" s="39">
        <f t="shared" si="69"/>
        <v>0</v>
      </c>
      <c r="BN90" s="39">
        <f t="shared" si="70"/>
        <v>0</v>
      </c>
      <c r="BO90" s="11"/>
      <c r="BP90" s="11"/>
      <c r="BQ90" s="11"/>
      <c r="BR90" s="11"/>
      <c r="BS90" s="11"/>
    </row>
    <row r="91" spans="1:71">
      <c r="A91" s="45" t="s">
        <v>151</v>
      </c>
      <c r="B91" s="11" t="s">
        <v>119</v>
      </c>
      <c r="C91" s="11" t="s">
        <v>80</v>
      </c>
      <c r="D91" s="45" t="s">
        <v>298</v>
      </c>
      <c r="E91" s="11" t="s">
        <v>82</v>
      </c>
      <c r="F91" s="11" t="s">
        <v>94</v>
      </c>
      <c r="G91" s="34" t="s">
        <v>234</v>
      </c>
      <c r="H91" s="11" t="s">
        <v>375</v>
      </c>
      <c r="I91" s="11" t="s">
        <v>418</v>
      </c>
      <c r="J91" s="11"/>
      <c r="K91" s="11"/>
      <c r="L91" s="11"/>
      <c r="M91" s="34" t="s">
        <v>98</v>
      </c>
      <c r="N91" s="11" t="str">
        <f t="shared" si="50"/>
        <v>AC2</v>
      </c>
      <c r="O91" s="35">
        <v>800161</v>
      </c>
      <c r="P91" s="36">
        <f t="shared" si="73"/>
        <v>400090</v>
      </c>
      <c r="Q91" s="35">
        <v>100023</v>
      </c>
      <c r="R91" s="103">
        <v>40009</v>
      </c>
      <c r="S91" s="35">
        <v>206361</v>
      </c>
      <c r="T91" s="36">
        <f t="shared" si="72"/>
        <v>746483</v>
      </c>
      <c r="U91" s="36">
        <f t="shared" si="71"/>
        <v>21600</v>
      </c>
      <c r="V91" s="36">
        <v>0</v>
      </c>
      <c r="W91" s="11">
        <v>72</v>
      </c>
      <c r="X91" s="11">
        <v>0</v>
      </c>
      <c r="Y91" s="11">
        <v>0</v>
      </c>
      <c r="Z91" s="11">
        <v>16003</v>
      </c>
      <c r="AA91" s="38">
        <v>16003</v>
      </c>
      <c r="AB91" s="39">
        <f t="shared" si="51"/>
        <v>800161</v>
      </c>
      <c r="AC91" s="40">
        <f t="shared" si="52"/>
        <v>0</v>
      </c>
      <c r="AD91" s="41">
        <f t="shared" si="53"/>
        <v>0</v>
      </c>
      <c r="AE91" s="12">
        <f t="shared" si="54"/>
        <v>740886</v>
      </c>
      <c r="AF91" s="12">
        <f t="shared" si="55"/>
        <v>61740.5</v>
      </c>
      <c r="AG91" s="11" t="s">
        <v>83</v>
      </c>
      <c r="AH91" s="11" t="s">
        <v>83</v>
      </c>
      <c r="AI91" s="11" t="s">
        <v>83</v>
      </c>
      <c r="AJ91" s="11" t="s">
        <v>83</v>
      </c>
      <c r="AK91" s="11" t="s">
        <v>83</v>
      </c>
      <c r="AL91" s="11" t="s">
        <v>83</v>
      </c>
      <c r="AM91" s="11"/>
      <c r="AN91" s="11"/>
      <c r="AO91" s="11"/>
      <c r="AP91" s="11"/>
      <c r="AQ91" s="11" t="s">
        <v>85</v>
      </c>
      <c r="AR91" s="11"/>
      <c r="AS91" s="11" t="b">
        <v>0</v>
      </c>
      <c r="AT91" s="36">
        <f t="shared" si="56"/>
        <v>800161</v>
      </c>
      <c r="AU91" s="36">
        <f t="shared" si="57"/>
        <v>400081</v>
      </c>
      <c r="AV91" s="36">
        <f t="shared" si="58"/>
        <v>100020</v>
      </c>
      <c r="AW91" s="36">
        <f t="shared" si="59"/>
        <v>40008</v>
      </c>
      <c r="AX91" s="96">
        <v>206374</v>
      </c>
      <c r="AY91" s="36">
        <f t="shared" si="60"/>
        <v>746483</v>
      </c>
      <c r="AZ91" s="36">
        <f t="shared" si="61"/>
        <v>21600</v>
      </c>
      <c r="BA91" s="36">
        <f t="shared" si="62"/>
        <v>0</v>
      </c>
      <c r="BB91" s="11">
        <v>72</v>
      </c>
      <c r="BC91" s="11">
        <v>0</v>
      </c>
      <c r="BD91" s="11">
        <v>0</v>
      </c>
      <c r="BE91" s="38">
        <v>16003</v>
      </c>
      <c r="BF91" s="38">
        <v>16003</v>
      </c>
      <c r="BG91" s="39">
        <f t="shared" si="63"/>
        <v>800161</v>
      </c>
      <c r="BH91" s="36">
        <f t="shared" si="64"/>
        <v>0</v>
      </c>
      <c r="BI91" s="39">
        <f t="shared" si="65"/>
        <v>0</v>
      </c>
      <c r="BJ91" s="39">
        <f t="shared" si="66"/>
        <v>740886</v>
      </c>
      <c r="BK91" s="39">
        <f t="shared" si="67"/>
        <v>61740.5</v>
      </c>
      <c r="BL91" s="39">
        <f t="shared" si="68"/>
        <v>0</v>
      </c>
      <c r="BM91" s="39">
        <f t="shared" si="69"/>
        <v>0</v>
      </c>
      <c r="BN91" s="39">
        <f t="shared" si="70"/>
        <v>0</v>
      </c>
      <c r="BO91" s="11"/>
      <c r="BP91" s="11"/>
      <c r="BQ91" s="11"/>
      <c r="BR91" s="11"/>
      <c r="BS91" s="11"/>
    </row>
    <row r="92" spans="1:71">
      <c r="A92" s="45" t="s">
        <v>163</v>
      </c>
      <c r="B92" s="11" t="s">
        <v>119</v>
      </c>
      <c r="C92" s="11" t="s">
        <v>80</v>
      </c>
      <c r="D92" s="45" t="s">
        <v>298</v>
      </c>
      <c r="E92" s="11" t="s">
        <v>82</v>
      </c>
      <c r="F92" s="11" t="s">
        <v>95</v>
      </c>
      <c r="G92" s="45" t="s">
        <v>246</v>
      </c>
      <c r="H92" s="11" t="s">
        <v>376</v>
      </c>
      <c r="I92" s="11" t="s">
        <v>388</v>
      </c>
      <c r="J92" s="11"/>
      <c r="K92" s="11"/>
      <c r="L92" s="11"/>
      <c r="M92" s="34" t="s">
        <v>97</v>
      </c>
      <c r="N92" s="11" t="str">
        <f t="shared" si="50"/>
        <v>AC1</v>
      </c>
      <c r="O92" s="35">
        <v>400373</v>
      </c>
      <c r="P92" s="36">
        <f t="shared" si="73"/>
        <v>200190</v>
      </c>
      <c r="Q92" s="35">
        <v>50048</v>
      </c>
      <c r="R92" s="103">
        <v>20019</v>
      </c>
      <c r="S92" s="35">
        <v>108444</v>
      </c>
      <c r="T92" s="36">
        <f t="shared" si="72"/>
        <v>378701</v>
      </c>
      <c r="U92" s="36">
        <f t="shared" si="71"/>
        <v>21600</v>
      </c>
      <c r="V92" s="36">
        <v>0</v>
      </c>
      <c r="W92" s="11">
        <v>72</v>
      </c>
      <c r="X92" s="11">
        <v>0</v>
      </c>
      <c r="Y92" s="11">
        <v>0</v>
      </c>
      <c r="Z92" s="11">
        <v>0</v>
      </c>
      <c r="AA92" s="38">
        <v>0</v>
      </c>
      <c r="AB92" s="39">
        <f t="shared" si="51"/>
        <v>400373</v>
      </c>
      <c r="AC92" s="40">
        <f t="shared" si="52"/>
        <v>0</v>
      </c>
      <c r="AD92" s="41">
        <f t="shared" si="53"/>
        <v>0</v>
      </c>
      <c r="AE92" s="12">
        <f t="shared" si="54"/>
        <v>357101</v>
      </c>
      <c r="AF92" s="12">
        <f t="shared" si="55"/>
        <v>29758.416666666668</v>
      </c>
      <c r="AG92" s="11" t="s">
        <v>83</v>
      </c>
      <c r="AH92" s="11" t="s">
        <v>83</v>
      </c>
      <c r="AI92" s="11" t="s">
        <v>83</v>
      </c>
      <c r="AJ92" s="11" t="s">
        <v>83</v>
      </c>
      <c r="AK92" s="11" t="s">
        <v>83</v>
      </c>
      <c r="AL92" s="11" t="s">
        <v>83</v>
      </c>
      <c r="AM92" s="11"/>
      <c r="AN92" s="11"/>
      <c r="AO92" s="11"/>
      <c r="AP92" s="11"/>
      <c r="AQ92" s="11" t="s">
        <v>85</v>
      </c>
      <c r="AR92" s="11"/>
      <c r="AS92" s="11" t="b">
        <v>0</v>
      </c>
      <c r="AT92" s="36">
        <f t="shared" si="56"/>
        <v>400373</v>
      </c>
      <c r="AU92" s="36">
        <f t="shared" si="57"/>
        <v>200187</v>
      </c>
      <c r="AV92" s="36">
        <f t="shared" si="58"/>
        <v>50047</v>
      </c>
      <c r="AW92" s="36">
        <f t="shared" si="59"/>
        <v>20019</v>
      </c>
      <c r="AX92" s="96">
        <v>108448</v>
      </c>
      <c r="AY92" s="36">
        <f t="shared" si="60"/>
        <v>378701</v>
      </c>
      <c r="AZ92" s="36">
        <f t="shared" si="61"/>
        <v>21600</v>
      </c>
      <c r="BA92" s="36">
        <f t="shared" si="62"/>
        <v>0</v>
      </c>
      <c r="BB92" s="11">
        <v>72</v>
      </c>
      <c r="BC92" s="11">
        <v>0</v>
      </c>
      <c r="BD92" s="11">
        <v>0</v>
      </c>
      <c r="BE92" s="38">
        <f>ROUND((IF(($AT92&lt;=700000),0,IF(((VLOOKUP($AR92,'Loyalty - Effec - 15July'!$B$5:$C$17,2,0)*$AT92)&lt;=120000),(VLOOKUP($AR92,'Loyalty - Effec - 15July'!$B$5:$C$17,2,0)*$AT92),120000))),0)</f>
        <v>0</v>
      </c>
      <c r="BF92" s="38">
        <v>0</v>
      </c>
      <c r="BG92" s="39">
        <f t="shared" si="63"/>
        <v>400373</v>
      </c>
      <c r="BH92" s="36">
        <f t="shared" si="64"/>
        <v>0</v>
      </c>
      <c r="BI92" s="39">
        <f t="shared" si="65"/>
        <v>0</v>
      </c>
      <c r="BJ92" s="39">
        <f t="shared" si="66"/>
        <v>357101</v>
      </c>
      <c r="BK92" s="39">
        <f t="shared" si="67"/>
        <v>29758.416666666668</v>
      </c>
      <c r="BL92" s="39">
        <f t="shared" si="68"/>
        <v>0</v>
      </c>
      <c r="BM92" s="39">
        <f t="shared" si="69"/>
        <v>0</v>
      </c>
      <c r="BN92" s="39">
        <f t="shared" si="70"/>
        <v>0</v>
      </c>
      <c r="BO92" s="11"/>
      <c r="BP92" s="11"/>
      <c r="BQ92" s="11"/>
      <c r="BR92" s="11"/>
      <c r="BS92" s="11"/>
    </row>
    <row r="93" spans="1:71">
      <c r="A93" s="45" t="s">
        <v>203</v>
      </c>
      <c r="B93" s="11" t="s">
        <v>119</v>
      </c>
      <c r="C93" s="11" t="s">
        <v>80</v>
      </c>
      <c r="D93" s="45" t="s">
        <v>298</v>
      </c>
      <c r="E93" s="11" t="s">
        <v>82</v>
      </c>
      <c r="F93" s="11" t="s">
        <v>94</v>
      </c>
      <c r="G93" s="45" t="s">
        <v>286</v>
      </c>
      <c r="H93" s="11" t="s">
        <v>377</v>
      </c>
      <c r="I93" s="11" t="s">
        <v>403</v>
      </c>
      <c r="J93" s="11"/>
      <c r="K93" s="11"/>
      <c r="L93" s="11"/>
      <c r="M93" s="34" t="s">
        <v>102</v>
      </c>
      <c r="N93" s="11" t="str">
        <f t="shared" si="50"/>
        <v>C1</v>
      </c>
      <c r="O93" s="35">
        <v>4000000</v>
      </c>
      <c r="P93" s="36">
        <f t="shared" si="73"/>
        <v>2000000</v>
      </c>
      <c r="Q93" s="35">
        <v>500000</v>
      </c>
      <c r="R93" s="103">
        <v>200000</v>
      </c>
      <c r="S93" s="35">
        <v>918328</v>
      </c>
      <c r="T93" s="36">
        <f t="shared" si="72"/>
        <v>3618328</v>
      </c>
      <c r="U93" s="36">
        <f t="shared" si="71"/>
        <v>21600</v>
      </c>
      <c r="V93" s="36">
        <v>0</v>
      </c>
      <c r="W93" s="11">
        <v>72</v>
      </c>
      <c r="X93" s="11">
        <v>0</v>
      </c>
      <c r="Y93" s="11">
        <v>0</v>
      </c>
      <c r="Z93" s="11">
        <v>120000</v>
      </c>
      <c r="AA93" s="38">
        <v>240000</v>
      </c>
      <c r="AB93" s="39">
        <f t="shared" si="51"/>
        <v>4000000</v>
      </c>
      <c r="AC93" s="40">
        <f t="shared" si="52"/>
        <v>0</v>
      </c>
      <c r="AD93" s="41">
        <f t="shared" si="53"/>
        <v>0</v>
      </c>
      <c r="AE93" s="12">
        <f t="shared" si="54"/>
        <v>3716728</v>
      </c>
      <c r="AF93" s="12">
        <f t="shared" si="55"/>
        <v>309727.33333333331</v>
      </c>
      <c r="AG93" s="11" t="s">
        <v>83</v>
      </c>
      <c r="AH93" s="11" t="s">
        <v>83</v>
      </c>
      <c r="AI93" s="11" t="s">
        <v>83</v>
      </c>
      <c r="AJ93" s="11" t="s">
        <v>83</v>
      </c>
      <c r="AK93" s="11" t="s">
        <v>83</v>
      </c>
      <c r="AL93" s="11" t="s">
        <v>83</v>
      </c>
      <c r="AM93" s="11"/>
      <c r="AN93" s="11"/>
      <c r="AO93" s="11"/>
      <c r="AP93" s="11"/>
      <c r="AQ93" s="11" t="s">
        <v>85</v>
      </c>
      <c r="AR93" s="11"/>
      <c r="AS93" s="11" t="b">
        <v>0</v>
      </c>
      <c r="AT93" s="36">
        <f t="shared" si="56"/>
        <v>4000000</v>
      </c>
      <c r="AU93" s="36">
        <f t="shared" si="57"/>
        <v>2000000</v>
      </c>
      <c r="AV93" s="36">
        <f t="shared" si="58"/>
        <v>500000</v>
      </c>
      <c r="AW93" s="36">
        <f t="shared" si="59"/>
        <v>200000</v>
      </c>
      <c r="AX93" s="96">
        <v>918328</v>
      </c>
      <c r="AY93" s="36">
        <f t="shared" si="60"/>
        <v>3618328</v>
      </c>
      <c r="AZ93" s="36">
        <f t="shared" si="61"/>
        <v>21600</v>
      </c>
      <c r="BA93" s="36">
        <f t="shared" si="62"/>
        <v>0</v>
      </c>
      <c r="BB93" s="11">
        <v>72</v>
      </c>
      <c r="BC93" s="11">
        <v>0</v>
      </c>
      <c r="BD93" s="11">
        <v>0</v>
      </c>
      <c r="BE93" s="38">
        <v>120000</v>
      </c>
      <c r="BF93" s="38">
        <v>240000</v>
      </c>
      <c r="BG93" s="39">
        <f t="shared" si="63"/>
        <v>4000000</v>
      </c>
      <c r="BH93" s="36">
        <f t="shared" si="64"/>
        <v>0</v>
      </c>
      <c r="BI93" s="39">
        <f t="shared" si="65"/>
        <v>0</v>
      </c>
      <c r="BJ93" s="39">
        <f t="shared" si="66"/>
        <v>3716728</v>
      </c>
      <c r="BK93" s="39">
        <f t="shared" si="67"/>
        <v>309727.33333333331</v>
      </c>
      <c r="BL93" s="39">
        <f t="shared" si="68"/>
        <v>0</v>
      </c>
      <c r="BM93" s="39">
        <f t="shared" si="69"/>
        <v>0</v>
      </c>
      <c r="BN93" s="39">
        <f t="shared" si="70"/>
        <v>0</v>
      </c>
      <c r="BO93" s="11"/>
      <c r="BP93" s="11"/>
      <c r="BQ93" s="11"/>
      <c r="BR93" s="11"/>
      <c r="BS93" s="11"/>
    </row>
    <row r="95" spans="1:71">
      <c r="BL95" s="66"/>
      <c r="BN95" s="66"/>
    </row>
    <row r="96" spans="1:71">
      <c r="BL96" s="37">
        <f>SUBTOTAL(9,BL5:BL93)</f>
        <v>222619.79999999865</v>
      </c>
    </row>
    <row r="97" spans="7:64">
      <c r="G97" s="99"/>
      <c r="H97" s="99"/>
    </row>
    <row r="98" spans="7:64">
      <c r="G98" s="36">
        <v>300170.49599999998</v>
      </c>
      <c r="H98" s="101"/>
      <c r="BL98" s="66"/>
    </row>
    <row r="99" spans="7:64">
      <c r="BL99" s="66"/>
    </row>
  </sheetData>
  <phoneticPr fontId="25" type="noConversion"/>
  <conditionalFormatting sqref="A5">
    <cfRule type="duplicateValues" dxfId="3" priority="4"/>
  </conditionalFormatting>
  <conditionalFormatting sqref="A6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2:AK125"/>
  <sheetViews>
    <sheetView zoomScale="70" zoomScaleNormal="70" workbookViewId="0">
      <selection activeCell="J29" sqref="J29"/>
    </sheetView>
  </sheetViews>
  <sheetFormatPr defaultColWidth="9" defaultRowHeight="14.4"/>
  <cols>
    <col min="2" max="2" width="17.44140625" bestFit="1" customWidth="1"/>
    <col min="12" max="12" width="11.21875" style="51" bestFit="1" customWidth="1"/>
    <col min="13" max="17" width="9" style="51"/>
  </cols>
  <sheetData>
    <row r="2" spans="1:37">
      <c r="A2" s="1" t="s">
        <v>89</v>
      </c>
      <c r="B2" s="2" t="s">
        <v>90</v>
      </c>
      <c r="C2" s="3">
        <v>2013</v>
      </c>
      <c r="D2" s="4">
        <v>2015</v>
      </c>
      <c r="E2" s="4">
        <v>2014</v>
      </c>
      <c r="F2" s="5">
        <v>2016</v>
      </c>
      <c r="G2" s="4">
        <v>2017</v>
      </c>
      <c r="H2" s="4">
        <v>2018</v>
      </c>
      <c r="I2" s="4">
        <v>2020</v>
      </c>
      <c r="J2" s="4">
        <v>2021</v>
      </c>
      <c r="K2" s="4"/>
      <c r="L2" s="50" t="s">
        <v>8</v>
      </c>
      <c r="M2" s="50">
        <v>4</v>
      </c>
      <c r="N2" s="50">
        <v>3</v>
      </c>
      <c r="O2" s="50">
        <v>2</v>
      </c>
      <c r="P2" s="50">
        <v>1</v>
      </c>
      <c r="Q2" s="50">
        <v>0</v>
      </c>
    </row>
    <row r="3" spans="1:37">
      <c r="A3" s="1" t="s">
        <v>9</v>
      </c>
      <c r="B3" s="6">
        <v>0</v>
      </c>
      <c r="C3" s="6">
        <v>0</v>
      </c>
      <c r="D3" s="6">
        <v>0</v>
      </c>
      <c r="E3" s="6">
        <v>0</v>
      </c>
      <c r="F3" s="7">
        <v>0</v>
      </c>
      <c r="G3" s="8">
        <v>0</v>
      </c>
      <c r="H3" s="8">
        <v>0</v>
      </c>
      <c r="I3" s="8">
        <v>0</v>
      </c>
      <c r="J3" s="8">
        <v>0</v>
      </c>
      <c r="L3" s="52" t="s">
        <v>97</v>
      </c>
      <c r="M3" s="53">
        <v>0.17100000000000001</v>
      </c>
      <c r="N3" s="53">
        <v>0.161</v>
      </c>
      <c r="O3" s="53">
        <v>0.151</v>
      </c>
      <c r="P3" s="53">
        <v>0.14099999999999999</v>
      </c>
      <c r="Q3" s="53">
        <v>0.13100000000000001</v>
      </c>
    </row>
    <row r="4" spans="1:37">
      <c r="A4" s="1" t="s">
        <v>0</v>
      </c>
      <c r="B4" s="6">
        <v>0</v>
      </c>
      <c r="C4" s="6">
        <v>0</v>
      </c>
      <c r="D4" s="6">
        <v>0</v>
      </c>
      <c r="E4" s="6">
        <v>0</v>
      </c>
      <c r="F4" s="7">
        <v>0</v>
      </c>
      <c r="G4" s="8">
        <v>0</v>
      </c>
      <c r="H4" s="8">
        <v>0</v>
      </c>
      <c r="I4" s="8">
        <v>0</v>
      </c>
      <c r="J4" s="8">
        <v>0</v>
      </c>
      <c r="L4" s="52" t="s">
        <v>98</v>
      </c>
      <c r="M4" s="53">
        <v>0.161</v>
      </c>
      <c r="N4" s="53">
        <v>0.151</v>
      </c>
      <c r="O4" s="53">
        <v>0.14099999999999999</v>
      </c>
      <c r="P4" s="53">
        <v>0.13100000000000001</v>
      </c>
      <c r="Q4" s="53">
        <v>0.121</v>
      </c>
    </row>
    <row r="5" spans="1:37">
      <c r="A5" s="1" t="s">
        <v>1</v>
      </c>
      <c r="B5" s="6">
        <v>0</v>
      </c>
      <c r="C5" s="6">
        <v>0</v>
      </c>
      <c r="D5" s="6">
        <v>0.02</v>
      </c>
      <c r="E5" s="6">
        <v>0.02</v>
      </c>
      <c r="F5" s="7">
        <v>0.02</v>
      </c>
      <c r="G5" s="8">
        <v>0.02</v>
      </c>
      <c r="H5" s="8">
        <v>0.02</v>
      </c>
      <c r="I5" s="8">
        <v>0.02</v>
      </c>
      <c r="J5" s="8">
        <v>0.02</v>
      </c>
      <c r="L5" s="52" t="s">
        <v>99</v>
      </c>
      <c r="M5" s="53">
        <v>0.151</v>
      </c>
      <c r="N5" s="53">
        <v>0.14099999999999999</v>
      </c>
      <c r="O5" s="53">
        <v>0.13100000000000001</v>
      </c>
      <c r="P5" s="53">
        <v>0.121</v>
      </c>
      <c r="Q5" s="53">
        <v>0.111</v>
      </c>
      <c r="AH5" s="10"/>
      <c r="AI5" s="10"/>
      <c r="AJ5" s="10"/>
      <c r="AK5" s="10"/>
    </row>
    <row r="6" spans="1:37">
      <c r="A6" s="1" t="s">
        <v>2</v>
      </c>
      <c r="B6" s="6">
        <v>0.04</v>
      </c>
      <c r="C6" s="6">
        <v>0.04</v>
      </c>
      <c r="D6" s="6">
        <v>0.04</v>
      </c>
      <c r="E6" s="6">
        <v>0.04</v>
      </c>
      <c r="F6" s="7">
        <v>0.04</v>
      </c>
      <c r="G6" s="8">
        <v>0.04</v>
      </c>
      <c r="H6" s="8">
        <v>0.04</v>
      </c>
      <c r="I6" s="8">
        <v>0.04</v>
      </c>
      <c r="J6" s="8">
        <v>0.04</v>
      </c>
      <c r="L6" s="52" t="s">
        <v>100</v>
      </c>
      <c r="M6" s="53">
        <v>0.14099999999999999</v>
      </c>
      <c r="N6" s="53">
        <v>0.13100000000000001</v>
      </c>
      <c r="O6" s="53">
        <v>0.121</v>
      </c>
      <c r="P6" s="53">
        <v>0.111</v>
      </c>
      <c r="Q6" s="53">
        <v>0.10100000000000001</v>
      </c>
      <c r="AH6" s="10"/>
      <c r="AI6" s="10"/>
      <c r="AJ6" s="10"/>
      <c r="AK6" s="10"/>
    </row>
    <row r="7" spans="1:37">
      <c r="A7" s="1" t="s">
        <v>3</v>
      </c>
      <c r="B7" s="6">
        <v>0.04</v>
      </c>
      <c r="C7" s="6">
        <v>0.04</v>
      </c>
      <c r="D7" s="6">
        <v>0.04</v>
      </c>
      <c r="E7" s="6">
        <v>0.04</v>
      </c>
      <c r="F7" s="7">
        <v>0.04</v>
      </c>
      <c r="G7" s="8">
        <v>0.04</v>
      </c>
      <c r="H7" s="8">
        <v>0.04</v>
      </c>
      <c r="I7" s="8">
        <v>0.04</v>
      </c>
      <c r="J7" s="8">
        <v>0.04</v>
      </c>
      <c r="L7" s="52" t="s">
        <v>101</v>
      </c>
      <c r="M7" s="53">
        <v>0.13100000000000001</v>
      </c>
      <c r="N7" s="53">
        <v>0.121</v>
      </c>
      <c r="O7" s="53">
        <v>0.111</v>
      </c>
      <c r="P7" s="53">
        <v>0.10100000000000001</v>
      </c>
      <c r="Q7" s="53">
        <v>9.0999999999999998E-2</v>
      </c>
      <c r="AH7" s="10"/>
      <c r="AI7" s="10"/>
      <c r="AJ7" s="10"/>
      <c r="AK7" s="10"/>
    </row>
    <row r="8" spans="1:37">
      <c r="A8" s="1" t="s">
        <v>4</v>
      </c>
      <c r="B8" s="6">
        <v>0.06</v>
      </c>
      <c r="C8" s="6">
        <v>0.06</v>
      </c>
      <c r="D8" s="6">
        <v>0.06</v>
      </c>
      <c r="E8" s="6">
        <v>0.06</v>
      </c>
      <c r="F8" s="7">
        <v>0.06</v>
      </c>
      <c r="G8" s="8">
        <v>0.06</v>
      </c>
      <c r="H8" s="8">
        <v>0.06</v>
      </c>
      <c r="I8" s="8">
        <v>0.06</v>
      </c>
      <c r="J8" s="8">
        <v>0.06</v>
      </c>
      <c r="L8" s="52" t="s">
        <v>102</v>
      </c>
      <c r="M8" s="53">
        <v>0.121</v>
      </c>
      <c r="N8" s="53">
        <v>0.111</v>
      </c>
      <c r="O8" s="53">
        <v>0.10100000000000001</v>
      </c>
      <c r="P8" s="53">
        <v>9.0999999999999998E-2</v>
      </c>
      <c r="Q8" s="53">
        <v>8.1000000000000003E-2</v>
      </c>
      <c r="AH8" s="10"/>
      <c r="AI8" s="10"/>
      <c r="AJ8" s="10"/>
      <c r="AK8" s="10"/>
    </row>
    <row r="9" spans="1:37">
      <c r="A9" s="1" t="s">
        <v>5</v>
      </c>
      <c r="B9" s="6">
        <v>0.06</v>
      </c>
      <c r="C9" s="6">
        <v>0.06</v>
      </c>
      <c r="D9" s="6">
        <v>0.06</v>
      </c>
      <c r="E9" s="6">
        <v>0.06</v>
      </c>
      <c r="F9" s="7">
        <v>0.06</v>
      </c>
      <c r="G9" s="8">
        <v>0.06</v>
      </c>
      <c r="H9" s="8">
        <v>0.06</v>
      </c>
      <c r="I9" s="8">
        <v>0.06</v>
      </c>
      <c r="J9" s="8">
        <v>0.06</v>
      </c>
      <c r="L9" s="52" t="s">
        <v>103</v>
      </c>
      <c r="M9" s="53">
        <v>0.111</v>
      </c>
      <c r="N9" s="53">
        <v>0.10100000000000001</v>
      </c>
      <c r="O9" s="53">
        <v>9.0999999999999998E-2</v>
      </c>
      <c r="P9" s="53">
        <v>8.1000000000000003E-2</v>
      </c>
      <c r="Q9" s="53">
        <v>7.0999999999999994E-2</v>
      </c>
      <c r="AH9" s="10"/>
      <c r="AI9" s="10"/>
      <c r="AJ9" s="10"/>
      <c r="AK9" s="10"/>
    </row>
    <row r="10" spans="1:37">
      <c r="A10" s="1" t="s">
        <v>6</v>
      </c>
      <c r="B10" s="6">
        <v>0.08</v>
      </c>
      <c r="C10" s="6">
        <v>0.08</v>
      </c>
      <c r="D10" s="6">
        <v>0.08</v>
      </c>
      <c r="E10" s="6">
        <v>0.08</v>
      </c>
      <c r="F10" s="7">
        <v>0.08</v>
      </c>
      <c r="G10" s="8">
        <v>0.08</v>
      </c>
      <c r="H10" s="8">
        <v>0.08</v>
      </c>
      <c r="I10" s="8">
        <v>0.08</v>
      </c>
      <c r="J10" s="8">
        <v>0.08</v>
      </c>
      <c r="L10" s="52" t="s">
        <v>104</v>
      </c>
      <c r="M10" s="53">
        <v>0.10100000000000001</v>
      </c>
      <c r="N10" s="53">
        <v>9.0999999999999998E-2</v>
      </c>
      <c r="O10" s="53">
        <v>8.1000000000000003E-2</v>
      </c>
      <c r="P10" s="53">
        <v>7.0999999999999994E-2</v>
      </c>
      <c r="Q10" s="53">
        <v>6.0999999999999999E-2</v>
      </c>
      <c r="AH10" s="10"/>
      <c r="AI10" s="10"/>
      <c r="AJ10" s="10"/>
      <c r="AK10" s="10"/>
    </row>
    <row r="11" spans="1:37">
      <c r="A11" s="1" t="s">
        <v>10</v>
      </c>
      <c r="B11" s="6">
        <v>0.08</v>
      </c>
      <c r="C11" s="6">
        <v>0.08</v>
      </c>
      <c r="D11" s="6">
        <v>0.1</v>
      </c>
      <c r="E11" s="6">
        <v>0.1</v>
      </c>
      <c r="F11" s="7">
        <v>0.1</v>
      </c>
      <c r="G11" s="8">
        <v>0.08</v>
      </c>
      <c r="H11" s="8">
        <v>0.08</v>
      </c>
      <c r="I11" s="8">
        <v>0.08</v>
      </c>
      <c r="J11" s="8">
        <v>0.08</v>
      </c>
      <c r="L11" s="52" t="s">
        <v>105</v>
      </c>
      <c r="M11" s="53">
        <v>9.0999999999999998E-2</v>
      </c>
      <c r="N11" s="53">
        <v>8.1000000000000003E-2</v>
      </c>
      <c r="O11" s="53">
        <v>7.0999999999999994E-2</v>
      </c>
      <c r="P11" s="53">
        <v>6.0999999999999999E-2</v>
      </c>
      <c r="Q11" s="53">
        <v>5.0999999999999997E-2</v>
      </c>
      <c r="AH11" s="10"/>
      <c r="AI11" s="10"/>
      <c r="AJ11" s="10"/>
      <c r="AK11" s="10"/>
    </row>
    <row r="12" spans="1:37">
      <c r="A12" s="1" t="s">
        <v>11</v>
      </c>
      <c r="B12" s="6">
        <v>0.08</v>
      </c>
      <c r="C12" s="6">
        <v>0.12</v>
      </c>
      <c r="D12" s="6">
        <v>0.12</v>
      </c>
      <c r="E12" s="6">
        <v>0.12</v>
      </c>
      <c r="F12" s="7">
        <v>0.12</v>
      </c>
      <c r="G12" s="8">
        <v>0.1</v>
      </c>
      <c r="H12" s="8">
        <v>0.1</v>
      </c>
      <c r="I12" s="8">
        <v>0.1</v>
      </c>
      <c r="J12" s="8">
        <v>0.1</v>
      </c>
      <c r="L12" s="52" t="s">
        <v>109</v>
      </c>
      <c r="M12" s="53">
        <v>0.14099999999999999</v>
      </c>
      <c r="N12" s="53">
        <v>0.13100000000000001</v>
      </c>
      <c r="O12" s="53">
        <v>0.121</v>
      </c>
      <c r="P12" s="53">
        <v>0.111</v>
      </c>
      <c r="Q12" s="53">
        <v>0.10100000000000001</v>
      </c>
      <c r="AH12" s="10"/>
      <c r="AI12" s="10"/>
      <c r="AJ12" s="10"/>
      <c r="AK12" s="10"/>
    </row>
    <row r="13" spans="1:37">
      <c r="A13" s="1" t="s">
        <v>7</v>
      </c>
      <c r="B13" s="6">
        <v>0.1</v>
      </c>
      <c r="C13" s="6">
        <v>0.15</v>
      </c>
      <c r="D13" s="6">
        <v>0.14000000000000001</v>
      </c>
      <c r="E13" s="6">
        <v>0.15</v>
      </c>
      <c r="F13" s="7">
        <v>0.14000000000000001</v>
      </c>
      <c r="G13" s="8">
        <v>0.12</v>
      </c>
      <c r="H13" s="8">
        <v>0.12</v>
      </c>
      <c r="I13" s="8">
        <v>0.12</v>
      </c>
      <c r="J13" s="8">
        <v>0.12</v>
      </c>
      <c r="L13" s="52" t="s">
        <v>109</v>
      </c>
      <c r="M13" s="53">
        <v>0.13100000000000001</v>
      </c>
      <c r="N13" s="53">
        <v>0.121</v>
      </c>
      <c r="O13" s="53">
        <v>0.111</v>
      </c>
      <c r="P13" s="53">
        <v>0.10100000000000001</v>
      </c>
      <c r="Q13" s="53">
        <v>9.0999999999999998E-2</v>
      </c>
      <c r="AH13" s="10"/>
      <c r="AI13" s="10"/>
      <c r="AJ13" s="10"/>
      <c r="AK13" s="10"/>
    </row>
    <row r="14" spans="1:37">
      <c r="A14" s="1" t="s">
        <v>12</v>
      </c>
      <c r="B14" s="6">
        <v>0.1</v>
      </c>
      <c r="C14" s="6">
        <v>0.18</v>
      </c>
      <c r="D14" s="6">
        <v>0.15</v>
      </c>
      <c r="E14" s="6">
        <v>0.18</v>
      </c>
      <c r="F14" s="7">
        <v>0.15</v>
      </c>
      <c r="G14" s="8">
        <v>0.13</v>
      </c>
      <c r="H14" s="8">
        <v>0.13</v>
      </c>
      <c r="I14" s="8">
        <v>0.13</v>
      </c>
      <c r="J14" s="8">
        <v>0.13</v>
      </c>
      <c r="L14" s="52" t="s">
        <v>109</v>
      </c>
      <c r="M14" s="53">
        <v>0.121</v>
      </c>
      <c r="N14" s="53">
        <v>0.111</v>
      </c>
      <c r="O14" s="53">
        <v>0.10100000000000001</v>
      </c>
      <c r="P14" s="53">
        <v>9.0999999999999998E-2</v>
      </c>
      <c r="Q14" s="53">
        <v>8.1000000000000003E-2</v>
      </c>
      <c r="AH14" s="10"/>
      <c r="AI14" s="10"/>
      <c r="AJ14" s="10"/>
      <c r="AK14" s="10"/>
    </row>
    <row r="15" spans="1:37">
      <c r="A15" s="9" t="s">
        <v>13</v>
      </c>
      <c r="B15" s="6">
        <v>0.1</v>
      </c>
      <c r="C15" s="6">
        <v>0.2</v>
      </c>
      <c r="D15" s="6">
        <v>0.16</v>
      </c>
      <c r="E15" s="6">
        <v>0.2</v>
      </c>
      <c r="F15" s="7">
        <v>0.16</v>
      </c>
      <c r="G15" s="8">
        <v>0.14000000000000001</v>
      </c>
      <c r="H15" s="8">
        <v>0.14000000000000001</v>
      </c>
      <c r="I15" s="8">
        <v>0.14000000000000001</v>
      </c>
      <c r="J15" s="8">
        <v>0.14000000000000001</v>
      </c>
      <c r="L15" s="52" t="s">
        <v>109</v>
      </c>
      <c r="M15" s="53">
        <v>0.111</v>
      </c>
      <c r="N15" s="53">
        <v>0.10100000000000001</v>
      </c>
      <c r="O15" s="53">
        <v>9.0999999999999998E-2</v>
      </c>
      <c r="P15" s="53">
        <v>8.1000000000000003E-2</v>
      </c>
      <c r="Q15" s="53">
        <v>7.0999999999999994E-2</v>
      </c>
      <c r="AH15" s="10"/>
      <c r="AI15" s="10"/>
      <c r="AJ15" s="10"/>
      <c r="AK15" s="10"/>
    </row>
    <row r="16" spans="1:37">
      <c r="L16" s="52" t="s">
        <v>109</v>
      </c>
      <c r="M16" s="53">
        <v>0.10100000000000001</v>
      </c>
      <c r="N16" s="53">
        <v>9.0999999999999998E-2</v>
      </c>
      <c r="O16" s="53">
        <v>8.1000000000000003E-2</v>
      </c>
      <c r="P16" s="53">
        <v>7.0999999999999994E-2</v>
      </c>
      <c r="Q16" s="53">
        <v>6.0999999999999999E-2</v>
      </c>
      <c r="AH16" s="10"/>
      <c r="AI16" s="10"/>
      <c r="AJ16" s="10"/>
      <c r="AK16" s="10"/>
    </row>
    <row r="17" spans="1:37">
      <c r="A17" s="63"/>
      <c r="B17" s="62"/>
      <c r="C17" s="62"/>
      <c r="D17" s="62"/>
      <c r="E17" s="62"/>
      <c r="F17" s="62"/>
      <c r="L17" s="52" t="s">
        <v>109</v>
      </c>
      <c r="M17" s="53">
        <v>9.0999999999999998E-2</v>
      </c>
      <c r="N17" s="53">
        <v>8.1000000000000003E-2</v>
      </c>
      <c r="O17" s="53">
        <v>7.0999999999999994E-2</v>
      </c>
      <c r="P17" s="53">
        <v>6.0999999999999999E-2</v>
      </c>
      <c r="Q17" s="53">
        <v>5.0999999999999997E-2</v>
      </c>
      <c r="AH17" s="10"/>
      <c r="AI17" s="10"/>
      <c r="AJ17" s="10"/>
      <c r="AK17" s="10"/>
    </row>
    <row r="18" spans="1:37">
      <c r="A18" s="63"/>
      <c r="B18" s="64"/>
      <c r="C18" s="64"/>
      <c r="D18" s="64"/>
      <c r="E18" s="64"/>
      <c r="F18" s="64"/>
      <c r="L18" s="52" t="s">
        <v>109</v>
      </c>
      <c r="M18" s="53">
        <v>8.1000000000000003E-2</v>
      </c>
      <c r="N18" s="53">
        <v>7.0999999999999994E-2</v>
      </c>
      <c r="O18" s="53">
        <v>6.0999999999999999E-2</v>
      </c>
      <c r="P18" s="53">
        <v>5.0999999999999997E-2</v>
      </c>
      <c r="Q18" s="53">
        <v>4.1000000000000002E-2</v>
      </c>
      <c r="AH18" s="10"/>
      <c r="AI18" s="10"/>
      <c r="AJ18" s="10"/>
      <c r="AK18" s="10"/>
    </row>
    <row r="19" spans="1:37">
      <c r="A19" s="63"/>
      <c r="B19" s="64"/>
      <c r="C19" s="64"/>
      <c r="D19" s="64"/>
      <c r="E19" s="64"/>
      <c r="F19" s="64"/>
      <c r="L19" s="52" t="s">
        <v>109</v>
      </c>
      <c r="M19" s="53">
        <v>7.0999999999999994E-2</v>
      </c>
      <c r="N19" s="53">
        <v>6.0999999999999999E-2</v>
      </c>
      <c r="O19" s="53">
        <v>5.0999999999999997E-2</v>
      </c>
      <c r="P19" s="53">
        <v>4.1000000000000002E-2</v>
      </c>
      <c r="Q19" s="53">
        <v>3.1E-2</v>
      </c>
      <c r="AH19" s="10"/>
      <c r="AI19" s="10"/>
      <c r="AJ19" s="10"/>
      <c r="AK19" s="10"/>
    </row>
    <row r="20" spans="1:37">
      <c r="A20" s="63"/>
      <c r="B20" s="64"/>
      <c r="C20" s="64"/>
      <c r="D20" s="64"/>
      <c r="E20" s="64"/>
      <c r="F20" s="64"/>
      <c r="L20" s="52" t="s">
        <v>106</v>
      </c>
      <c r="M20" s="53">
        <v>8.1000000000000003E-2</v>
      </c>
      <c r="N20" s="53">
        <v>7.0999999999999994E-2</v>
      </c>
      <c r="O20" s="53">
        <v>6.0999999999999999E-2</v>
      </c>
      <c r="P20" s="53">
        <v>5.0999999999999997E-2</v>
      </c>
      <c r="Q20" s="53">
        <v>4.1000000000000002E-2</v>
      </c>
      <c r="AH20" s="10"/>
      <c r="AI20" s="10"/>
      <c r="AJ20" s="10"/>
      <c r="AK20" s="10"/>
    </row>
    <row r="21" spans="1:37">
      <c r="A21" s="63"/>
      <c r="B21" s="64"/>
      <c r="C21" s="64"/>
      <c r="D21" s="64"/>
      <c r="E21" s="64"/>
      <c r="F21" s="64"/>
      <c r="L21" s="52" t="s">
        <v>106</v>
      </c>
      <c r="M21" s="53">
        <v>7.0999999999999994E-2</v>
      </c>
      <c r="N21" s="53">
        <v>6.0999999999999999E-2</v>
      </c>
      <c r="O21" s="53">
        <v>5.0999999999999997E-2</v>
      </c>
      <c r="P21" s="53">
        <v>4.1000000000000002E-2</v>
      </c>
      <c r="Q21" s="53">
        <v>3.1E-2</v>
      </c>
      <c r="AH21" s="10"/>
      <c r="AI21" s="10"/>
      <c r="AJ21" s="10"/>
      <c r="AK21" s="10"/>
    </row>
    <row r="22" spans="1:37">
      <c r="A22" s="63"/>
      <c r="B22" s="64"/>
      <c r="C22" s="64"/>
      <c r="D22" s="64"/>
      <c r="E22" s="64"/>
      <c r="F22" s="64"/>
      <c r="AH22" s="10"/>
      <c r="AI22" s="10"/>
      <c r="AJ22" s="10"/>
      <c r="AK22" s="10"/>
    </row>
    <row r="23" spans="1:37">
      <c r="A23" s="63"/>
      <c r="B23" s="64"/>
      <c r="C23" s="64"/>
      <c r="D23" s="64"/>
      <c r="E23" s="64"/>
      <c r="F23" s="64"/>
      <c r="AH23" s="10"/>
      <c r="AI23" s="10"/>
      <c r="AJ23" s="10"/>
      <c r="AK23" s="10"/>
    </row>
    <row r="24" spans="1:37">
      <c r="A24" s="63"/>
      <c r="B24" s="64"/>
      <c r="C24" s="64"/>
      <c r="D24" s="64"/>
      <c r="E24" s="64"/>
      <c r="F24" s="64"/>
      <c r="AH24" s="10"/>
      <c r="AI24" s="10"/>
      <c r="AJ24" s="10"/>
      <c r="AK24" s="10"/>
    </row>
    <row r="25" spans="1:37">
      <c r="A25" s="63"/>
      <c r="B25" s="64"/>
      <c r="C25" s="64"/>
      <c r="D25" s="64"/>
      <c r="E25" s="64"/>
      <c r="F25" s="64"/>
      <c r="AH25" s="10"/>
      <c r="AI25" s="10"/>
      <c r="AJ25" s="10"/>
      <c r="AK25" s="10"/>
    </row>
    <row r="26" spans="1:37">
      <c r="A26" s="63"/>
      <c r="B26" s="64"/>
      <c r="C26" s="64"/>
      <c r="D26" s="64"/>
      <c r="E26" s="64"/>
      <c r="F26" s="64"/>
      <c r="AH26" s="10"/>
      <c r="AI26" s="10"/>
      <c r="AJ26" s="10"/>
      <c r="AK26" s="10"/>
    </row>
    <row r="27" spans="1:37">
      <c r="A27" s="63"/>
      <c r="B27" s="64"/>
      <c r="C27" s="64"/>
      <c r="D27" s="64"/>
      <c r="E27" s="64"/>
      <c r="F27" s="64"/>
      <c r="AH27" s="10"/>
      <c r="AI27" s="10"/>
      <c r="AJ27" s="10"/>
      <c r="AK27" s="10"/>
    </row>
    <row r="28" spans="1:37">
      <c r="A28" s="63"/>
      <c r="B28" s="64"/>
      <c r="C28" s="64"/>
      <c r="D28" s="64"/>
      <c r="E28" s="64"/>
      <c r="F28" s="64"/>
      <c r="AH28" s="10"/>
      <c r="AI28" s="10"/>
      <c r="AJ28" s="10"/>
      <c r="AK28" s="10"/>
    </row>
    <row r="29" spans="1:37">
      <c r="A29" s="63"/>
      <c r="B29" s="64"/>
      <c r="C29" s="64"/>
      <c r="D29" s="64"/>
      <c r="E29" s="64"/>
      <c r="F29" s="64"/>
      <c r="AH29" s="10"/>
      <c r="AI29" s="10"/>
      <c r="AJ29" s="10"/>
      <c r="AK29" s="10"/>
    </row>
    <row r="30" spans="1:37">
      <c r="A30" s="63"/>
      <c r="B30" s="64"/>
      <c r="C30" s="64"/>
      <c r="D30" s="64"/>
      <c r="E30" s="64"/>
      <c r="F30" s="64"/>
      <c r="AH30" s="10"/>
      <c r="AI30" s="10"/>
      <c r="AJ30" s="10"/>
      <c r="AK30" s="10"/>
    </row>
    <row r="31" spans="1:37">
      <c r="A31" s="63"/>
      <c r="B31" s="64"/>
      <c r="C31" s="64"/>
      <c r="D31" s="64"/>
      <c r="E31" s="64"/>
      <c r="F31" s="64"/>
      <c r="AH31" s="10"/>
      <c r="AI31" s="10"/>
      <c r="AJ31" s="10"/>
      <c r="AK31" s="10"/>
    </row>
    <row r="32" spans="1:37">
      <c r="A32" s="63"/>
      <c r="B32" s="64"/>
      <c r="C32" s="64"/>
      <c r="D32" s="64"/>
      <c r="E32" s="64"/>
      <c r="F32" s="64"/>
      <c r="AH32" s="10"/>
      <c r="AI32" s="10"/>
      <c r="AJ32" s="10"/>
      <c r="AK32" s="10"/>
    </row>
    <row r="33" spans="1:37">
      <c r="A33" s="63"/>
      <c r="B33" s="64"/>
      <c r="C33" s="64"/>
      <c r="D33" s="64"/>
      <c r="E33" s="64"/>
      <c r="F33" s="64"/>
      <c r="AH33" s="10"/>
      <c r="AI33" s="10"/>
      <c r="AJ33" s="10"/>
      <c r="AK33" s="10"/>
    </row>
    <row r="34" spans="1:37">
      <c r="A34" s="63"/>
      <c r="B34" s="64"/>
      <c r="C34" s="64"/>
      <c r="D34" s="64"/>
      <c r="E34" s="64"/>
      <c r="F34" s="64"/>
      <c r="AH34" s="10"/>
      <c r="AI34" s="10"/>
      <c r="AJ34" s="10"/>
      <c r="AK34" s="10"/>
    </row>
    <row r="35" spans="1:37">
      <c r="A35" s="63"/>
      <c r="B35" s="64"/>
      <c r="C35" s="64"/>
      <c r="D35" s="64"/>
      <c r="E35" s="64"/>
      <c r="F35" s="64"/>
      <c r="AH35" s="10"/>
      <c r="AI35" s="10"/>
      <c r="AJ35" s="10"/>
      <c r="AK35" s="10"/>
    </row>
    <row r="36" spans="1:37">
      <c r="A36" s="63"/>
      <c r="B36" s="64"/>
      <c r="C36" s="64"/>
      <c r="D36" s="64"/>
      <c r="E36" s="64"/>
      <c r="F36" s="64"/>
      <c r="AH36" s="10"/>
      <c r="AI36" s="10"/>
      <c r="AJ36" s="10"/>
      <c r="AK36" s="10"/>
    </row>
    <row r="37" spans="1:37">
      <c r="AH37" s="10"/>
      <c r="AI37" s="10"/>
      <c r="AJ37" s="10"/>
      <c r="AK37" s="10"/>
    </row>
    <row r="38" spans="1:37">
      <c r="AH38" s="10"/>
      <c r="AI38" s="10"/>
      <c r="AJ38" s="10"/>
      <c r="AK38" s="10"/>
    </row>
    <row r="39" spans="1:37">
      <c r="AH39" s="10"/>
      <c r="AI39" s="10"/>
      <c r="AJ39" s="10"/>
      <c r="AK39" s="10"/>
    </row>
    <row r="40" spans="1:37">
      <c r="AH40" s="10"/>
      <c r="AI40" s="10"/>
      <c r="AJ40" s="10"/>
      <c r="AK40" s="10"/>
    </row>
    <row r="41" spans="1:37">
      <c r="AH41" s="10"/>
      <c r="AI41" s="10"/>
      <c r="AJ41" s="10"/>
      <c r="AK41" s="10"/>
    </row>
    <row r="42" spans="1:37">
      <c r="AH42" s="10"/>
      <c r="AI42" s="10"/>
      <c r="AJ42" s="10"/>
      <c r="AK42" s="10"/>
    </row>
    <row r="43" spans="1:37">
      <c r="AH43" s="10"/>
      <c r="AI43" s="10"/>
      <c r="AJ43" s="10"/>
      <c r="AK43" s="10"/>
    </row>
    <row r="44" spans="1:37">
      <c r="AH44" s="10"/>
      <c r="AI44" s="10"/>
      <c r="AJ44" s="10"/>
      <c r="AK44" s="10"/>
    </row>
    <row r="45" spans="1:37">
      <c r="AH45" s="10"/>
      <c r="AI45" s="10"/>
      <c r="AJ45" s="10"/>
      <c r="AK45" s="10"/>
    </row>
    <row r="46" spans="1:37">
      <c r="AH46" s="10"/>
      <c r="AI46" s="10"/>
      <c r="AJ46" s="10"/>
      <c r="AK46" s="10"/>
    </row>
    <row r="47" spans="1:37">
      <c r="AH47" s="10"/>
      <c r="AI47" s="10"/>
      <c r="AJ47" s="10"/>
      <c r="AK47" s="10"/>
    </row>
    <row r="48" spans="1:37">
      <c r="AH48" s="10"/>
      <c r="AI48" s="10"/>
      <c r="AJ48" s="10"/>
      <c r="AK48" s="10"/>
    </row>
    <row r="49" spans="34:37">
      <c r="AH49" s="10"/>
      <c r="AI49" s="10"/>
      <c r="AJ49" s="10"/>
      <c r="AK49" s="10"/>
    </row>
    <row r="50" spans="34:37">
      <c r="AH50" s="10"/>
      <c r="AI50" s="10"/>
      <c r="AJ50" s="10"/>
      <c r="AK50" s="10"/>
    </row>
    <row r="51" spans="34:37">
      <c r="AH51" s="10"/>
      <c r="AI51" s="10"/>
      <c r="AJ51" s="10"/>
      <c r="AK51" s="10"/>
    </row>
    <row r="52" spans="34:37">
      <c r="AH52" s="10"/>
      <c r="AI52" s="10"/>
      <c r="AJ52" s="10"/>
      <c r="AK52" s="10"/>
    </row>
    <row r="53" spans="34:37">
      <c r="AH53" s="10"/>
      <c r="AI53" s="10"/>
      <c r="AJ53" s="10"/>
      <c r="AK53" s="10"/>
    </row>
    <row r="54" spans="34:37">
      <c r="AH54" s="10"/>
      <c r="AI54" s="10"/>
      <c r="AJ54" s="10"/>
      <c r="AK54" s="10"/>
    </row>
    <row r="55" spans="34:37">
      <c r="AH55" s="10"/>
      <c r="AI55" s="10"/>
      <c r="AJ55" s="10"/>
      <c r="AK55" s="10"/>
    </row>
    <row r="56" spans="34:37">
      <c r="AH56" s="10"/>
      <c r="AI56" s="10"/>
      <c r="AJ56" s="10"/>
      <c r="AK56" s="10"/>
    </row>
    <row r="57" spans="34:37">
      <c r="AH57" s="10"/>
      <c r="AI57" s="10"/>
      <c r="AJ57" s="10"/>
      <c r="AK57" s="10"/>
    </row>
    <row r="58" spans="34:37">
      <c r="AH58" s="10"/>
      <c r="AI58" s="10"/>
      <c r="AJ58" s="10"/>
      <c r="AK58" s="10"/>
    </row>
    <row r="59" spans="34:37">
      <c r="AH59" s="10"/>
      <c r="AI59" s="10"/>
      <c r="AJ59" s="10"/>
      <c r="AK59" s="10"/>
    </row>
    <row r="60" spans="34:37">
      <c r="AH60" s="10"/>
      <c r="AI60" s="10"/>
      <c r="AJ60" s="10"/>
      <c r="AK60" s="10"/>
    </row>
    <row r="61" spans="34:37">
      <c r="AH61" s="10"/>
      <c r="AI61" s="10"/>
      <c r="AJ61" s="10"/>
      <c r="AK61" s="10"/>
    </row>
    <row r="62" spans="34:37">
      <c r="AH62" s="10"/>
      <c r="AI62" s="10"/>
      <c r="AJ62" s="10"/>
      <c r="AK62" s="10"/>
    </row>
    <row r="63" spans="34:37">
      <c r="AH63" s="10"/>
      <c r="AI63" s="10"/>
      <c r="AJ63" s="10"/>
      <c r="AK63" s="10"/>
    </row>
    <row r="64" spans="34:37">
      <c r="AH64" s="10"/>
      <c r="AI64" s="10"/>
      <c r="AJ64" s="10"/>
      <c r="AK64" s="10"/>
    </row>
    <row r="65" spans="34:37">
      <c r="AH65" s="10"/>
      <c r="AI65" s="10"/>
      <c r="AJ65" s="10"/>
      <c r="AK65" s="10"/>
    </row>
    <row r="66" spans="34:37">
      <c r="AH66" s="10"/>
      <c r="AI66" s="10"/>
      <c r="AJ66" s="10"/>
      <c r="AK66" s="10"/>
    </row>
    <row r="67" spans="34:37">
      <c r="AH67" s="10"/>
      <c r="AI67" s="10"/>
      <c r="AJ67" s="10"/>
      <c r="AK67" s="10"/>
    </row>
    <row r="68" spans="34:37">
      <c r="AH68" s="10"/>
      <c r="AI68" s="10"/>
      <c r="AJ68" s="10"/>
      <c r="AK68" s="10"/>
    </row>
    <row r="69" spans="34:37">
      <c r="AH69" s="10"/>
      <c r="AI69" s="10"/>
      <c r="AJ69" s="10"/>
      <c r="AK69" s="10"/>
    </row>
    <row r="70" spans="34:37">
      <c r="AH70" s="10"/>
      <c r="AI70" s="10"/>
      <c r="AJ70" s="10"/>
      <c r="AK70" s="10"/>
    </row>
    <row r="71" spans="34:37">
      <c r="AH71" s="10"/>
      <c r="AI71" s="10"/>
      <c r="AJ71" s="10"/>
      <c r="AK71" s="10"/>
    </row>
    <row r="72" spans="34:37">
      <c r="AH72" s="10"/>
      <c r="AI72" s="10"/>
      <c r="AJ72" s="10"/>
      <c r="AK72" s="10"/>
    </row>
    <row r="73" spans="34:37">
      <c r="AH73" s="10"/>
      <c r="AI73" s="10"/>
      <c r="AJ73" s="10"/>
      <c r="AK73" s="10"/>
    </row>
    <row r="74" spans="34:37">
      <c r="AH74" s="10"/>
      <c r="AI74" s="10"/>
      <c r="AJ74" s="10"/>
      <c r="AK74" s="10"/>
    </row>
    <row r="75" spans="34:37">
      <c r="AH75" s="10"/>
      <c r="AI75" s="10"/>
      <c r="AJ75" s="10"/>
      <c r="AK75" s="10"/>
    </row>
    <row r="76" spans="34:37">
      <c r="AH76" s="10"/>
      <c r="AI76" s="10"/>
      <c r="AJ76" s="10"/>
      <c r="AK76" s="10"/>
    </row>
    <row r="77" spans="34:37">
      <c r="AH77" s="10"/>
      <c r="AI77" s="10"/>
      <c r="AJ77" s="10"/>
      <c r="AK77" s="10"/>
    </row>
    <row r="78" spans="34:37">
      <c r="AH78" s="10"/>
      <c r="AI78" s="10"/>
      <c r="AJ78" s="10"/>
      <c r="AK78" s="10"/>
    </row>
    <row r="79" spans="34:37">
      <c r="AH79" s="10"/>
      <c r="AI79" s="10"/>
      <c r="AJ79" s="10"/>
      <c r="AK79" s="10"/>
    </row>
    <row r="80" spans="34:37">
      <c r="AH80" s="10"/>
      <c r="AI80" s="10"/>
      <c r="AJ80" s="10"/>
      <c r="AK80" s="10"/>
    </row>
    <row r="81" spans="34:37">
      <c r="AH81" s="10"/>
      <c r="AI81" s="10"/>
      <c r="AJ81" s="10"/>
      <c r="AK81" s="10"/>
    </row>
    <row r="82" spans="34:37">
      <c r="AH82" s="10"/>
      <c r="AI82" s="10"/>
      <c r="AJ82" s="10"/>
      <c r="AK82" s="10"/>
    </row>
    <row r="83" spans="34:37">
      <c r="AH83" s="10"/>
      <c r="AI83" s="10"/>
      <c r="AJ83" s="10"/>
      <c r="AK83" s="10"/>
    </row>
    <row r="84" spans="34:37">
      <c r="AH84" s="10"/>
      <c r="AI84" s="10"/>
      <c r="AJ84" s="10"/>
      <c r="AK84" s="10"/>
    </row>
    <row r="85" spans="34:37">
      <c r="AH85" s="10"/>
      <c r="AI85" s="10"/>
      <c r="AJ85" s="10"/>
      <c r="AK85" s="10"/>
    </row>
    <row r="86" spans="34:37">
      <c r="AH86" s="10"/>
      <c r="AI86" s="10"/>
      <c r="AJ86" s="10"/>
      <c r="AK86" s="10"/>
    </row>
    <row r="87" spans="34:37">
      <c r="AH87" s="10"/>
      <c r="AI87" s="10"/>
      <c r="AJ87" s="10"/>
      <c r="AK87" s="10"/>
    </row>
    <row r="88" spans="34:37">
      <c r="AH88" s="10"/>
      <c r="AI88" s="10"/>
      <c r="AJ88" s="10"/>
      <c r="AK88" s="10"/>
    </row>
    <row r="89" spans="34:37">
      <c r="AH89" s="10"/>
      <c r="AI89" s="10"/>
      <c r="AJ89" s="10"/>
      <c r="AK89" s="10"/>
    </row>
    <row r="90" spans="34:37">
      <c r="AH90" s="10"/>
      <c r="AI90" s="10"/>
      <c r="AJ90" s="10"/>
      <c r="AK90" s="10"/>
    </row>
    <row r="91" spans="34:37">
      <c r="AH91" s="10"/>
      <c r="AI91" s="10"/>
      <c r="AJ91" s="10"/>
      <c r="AK91" s="10"/>
    </row>
    <row r="92" spans="34:37">
      <c r="AH92" s="10"/>
      <c r="AI92" s="10"/>
      <c r="AJ92" s="10"/>
      <c r="AK92" s="10"/>
    </row>
    <row r="93" spans="34:37">
      <c r="AH93" s="10"/>
      <c r="AI93" s="10"/>
      <c r="AJ93" s="10"/>
      <c r="AK93" s="10"/>
    </row>
    <row r="94" spans="34:37">
      <c r="AH94" s="10"/>
      <c r="AI94" s="10"/>
      <c r="AJ94" s="10"/>
      <c r="AK94" s="10"/>
    </row>
    <row r="95" spans="34:37">
      <c r="AH95" s="10"/>
      <c r="AI95" s="10"/>
      <c r="AJ95" s="10"/>
      <c r="AK95" s="10"/>
    </row>
    <row r="96" spans="34:37">
      <c r="AH96" s="10"/>
      <c r="AI96" s="10"/>
      <c r="AJ96" s="10"/>
      <c r="AK96" s="10"/>
    </row>
    <row r="97" spans="34:37">
      <c r="AH97" s="10"/>
      <c r="AI97" s="10"/>
      <c r="AJ97" s="10"/>
      <c r="AK97" s="10"/>
    </row>
    <row r="98" spans="34:37">
      <c r="AH98" s="10"/>
      <c r="AI98" s="10"/>
      <c r="AJ98" s="10"/>
      <c r="AK98" s="10"/>
    </row>
    <row r="99" spans="34:37">
      <c r="AH99" s="10"/>
      <c r="AI99" s="10"/>
      <c r="AJ99" s="10"/>
      <c r="AK99" s="10"/>
    </row>
    <row r="100" spans="34:37">
      <c r="AH100" s="10"/>
      <c r="AI100" s="10"/>
      <c r="AJ100" s="10"/>
      <c r="AK100" s="10"/>
    </row>
    <row r="101" spans="34:37">
      <c r="AH101" s="10"/>
      <c r="AI101" s="10"/>
      <c r="AJ101" s="10"/>
      <c r="AK101" s="10"/>
    </row>
    <row r="102" spans="34:37">
      <c r="AH102" s="10"/>
      <c r="AI102" s="10"/>
      <c r="AJ102" s="10"/>
      <c r="AK102" s="10"/>
    </row>
    <row r="103" spans="34:37">
      <c r="AH103" s="10"/>
      <c r="AI103" s="10"/>
      <c r="AJ103" s="10"/>
      <c r="AK103" s="10"/>
    </row>
    <row r="104" spans="34:37">
      <c r="AH104" s="10"/>
      <c r="AI104" s="10"/>
      <c r="AJ104" s="10"/>
      <c r="AK104" s="10"/>
    </row>
    <row r="105" spans="34:37">
      <c r="AH105" s="10"/>
      <c r="AI105" s="10"/>
      <c r="AJ105" s="10"/>
      <c r="AK105" s="10"/>
    </row>
    <row r="106" spans="34:37">
      <c r="AH106" s="10"/>
      <c r="AI106" s="10"/>
      <c r="AJ106" s="10"/>
      <c r="AK106" s="10"/>
    </row>
    <row r="107" spans="34:37">
      <c r="AH107" s="10"/>
      <c r="AI107" s="10"/>
      <c r="AJ107" s="10"/>
      <c r="AK107" s="10"/>
    </row>
    <row r="108" spans="34:37">
      <c r="AH108" s="10"/>
      <c r="AI108" s="10"/>
      <c r="AJ108" s="10"/>
      <c r="AK108" s="10"/>
    </row>
    <row r="109" spans="34:37">
      <c r="AH109" s="10"/>
      <c r="AI109" s="10"/>
      <c r="AJ109" s="10"/>
      <c r="AK109" s="10"/>
    </row>
    <row r="110" spans="34:37">
      <c r="AH110" s="10"/>
      <c r="AI110" s="10"/>
      <c r="AJ110" s="10"/>
      <c r="AK110" s="10"/>
    </row>
    <row r="111" spans="34:37">
      <c r="AH111" s="10"/>
      <c r="AI111" s="10"/>
      <c r="AJ111" s="10"/>
      <c r="AK111" s="10"/>
    </row>
    <row r="112" spans="34:37">
      <c r="AH112" s="10"/>
      <c r="AI112" s="10"/>
      <c r="AJ112" s="10"/>
      <c r="AK112" s="10"/>
    </row>
    <row r="113" spans="34:37">
      <c r="AH113" s="10"/>
      <c r="AI113" s="10"/>
      <c r="AJ113" s="10"/>
      <c r="AK113" s="10"/>
    </row>
    <row r="114" spans="34:37">
      <c r="AH114" s="10"/>
      <c r="AI114" s="10"/>
      <c r="AJ114" s="10"/>
      <c r="AK114" s="10"/>
    </row>
    <row r="115" spans="34:37">
      <c r="AH115" s="10"/>
      <c r="AI115" s="10"/>
      <c r="AJ115" s="10"/>
      <c r="AK115" s="10"/>
    </row>
    <row r="116" spans="34:37">
      <c r="AH116" s="10"/>
      <c r="AI116" s="10"/>
      <c r="AJ116" s="10"/>
      <c r="AK116" s="10"/>
    </row>
    <row r="117" spans="34:37">
      <c r="AH117" s="10"/>
      <c r="AI117" s="10"/>
      <c r="AJ117" s="10"/>
      <c r="AK117" s="10"/>
    </row>
    <row r="118" spans="34:37">
      <c r="AH118" s="10"/>
      <c r="AI118" s="10"/>
      <c r="AJ118" s="10"/>
      <c r="AK118" s="10"/>
    </row>
    <row r="119" spans="34:37">
      <c r="AH119" s="10"/>
      <c r="AI119" s="10"/>
      <c r="AJ119" s="10"/>
      <c r="AK119" s="10"/>
    </row>
    <row r="120" spans="34:37">
      <c r="AH120" s="10"/>
      <c r="AI120" s="10"/>
      <c r="AJ120" s="10"/>
      <c r="AK120" s="10"/>
    </row>
    <row r="121" spans="34:37">
      <c r="AH121" s="10"/>
      <c r="AI121" s="10"/>
      <c r="AJ121" s="10"/>
      <c r="AK121" s="10"/>
    </row>
    <row r="122" spans="34:37">
      <c r="AH122" s="10"/>
      <c r="AI122" s="10"/>
      <c r="AJ122" s="10"/>
      <c r="AK122" s="10"/>
    </row>
    <row r="123" spans="34:37">
      <c r="AH123" s="10"/>
      <c r="AI123" s="10"/>
      <c r="AJ123" s="10"/>
      <c r="AK123" s="10"/>
    </row>
    <row r="124" spans="34:37">
      <c r="AH124" s="10"/>
      <c r="AI124" s="10"/>
      <c r="AJ124" s="10"/>
      <c r="AK124" s="10"/>
    </row>
    <row r="125" spans="34:37">
      <c r="AH125" s="10"/>
      <c r="AI125" s="10"/>
      <c r="AJ125" s="10"/>
      <c r="AK125" s="10"/>
    </row>
  </sheetData>
  <phoneticPr fontId="14" type="noConversion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B2:N25"/>
  <sheetViews>
    <sheetView workbookViewId="0">
      <selection activeCell="E29" sqref="E29"/>
    </sheetView>
  </sheetViews>
  <sheetFormatPr defaultRowHeight="14.4"/>
  <cols>
    <col min="2" max="2" width="11.33203125" bestFit="1" customWidth="1"/>
    <col min="12" max="12" width="17.44140625" style="51" bestFit="1" customWidth="1"/>
    <col min="13" max="14" width="8.77734375" style="51"/>
  </cols>
  <sheetData>
    <row r="2" spans="2:14">
      <c r="L2" s="61" t="s">
        <v>117</v>
      </c>
    </row>
    <row r="3" spans="2:14">
      <c r="C3" t="s">
        <v>91</v>
      </c>
      <c r="E3" t="s">
        <v>92</v>
      </c>
    </row>
    <row r="4" spans="2:14">
      <c r="B4" s="13" t="s">
        <v>32</v>
      </c>
      <c r="C4" s="13" t="s">
        <v>93</v>
      </c>
      <c r="D4" s="13" t="s">
        <v>86</v>
      </c>
      <c r="E4" s="14"/>
      <c r="F4" s="14"/>
      <c r="G4" s="14"/>
      <c r="I4">
        <v>1.2</v>
      </c>
      <c r="L4" s="54" t="s">
        <v>91</v>
      </c>
      <c r="M4" s="54"/>
      <c r="N4" s="54"/>
    </row>
    <row r="5" spans="2:14">
      <c r="B5" s="56" t="s">
        <v>97</v>
      </c>
      <c r="C5" s="57">
        <v>0</v>
      </c>
      <c r="D5" s="57">
        <v>0</v>
      </c>
      <c r="E5" s="15"/>
      <c r="I5" s="17">
        <v>0.1</v>
      </c>
      <c r="J5" s="16">
        <v>0.83333333333333337</v>
      </c>
      <c r="L5" s="55" t="s">
        <v>32</v>
      </c>
      <c r="M5" s="55" t="s">
        <v>93</v>
      </c>
      <c r="N5" s="55" t="s">
        <v>96</v>
      </c>
    </row>
    <row r="6" spans="2:14">
      <c r="B6" s="58" t="s">
        <v>98</v>
      </c>
      <c r="C6" s="59">
        <v>0.02</v>
      </c>
      <c r="D6" s="59">
        <v>0.02</v>
      </c>
      <c r="E6" s="15"/>
      <c r="I6">
        <v>0.11</v>
      </c>
      <c r="J6" s="16">
        <v>0.91666666666666674</v>
      </c>
      <c r="L6" s="56" t="s">
        <v>97</v>
      </c>
      <c r="M6" s="57">
        <v>0</v>
      </c>
      <c r="N6" s="57">
        <v>0</v>
      </c>
    </row>
    <row r="7" spans="2:14">
      <c r="B7" s="58" t="s">
        <v>99</v>
      </c>
      <c r="C7" s="59">
        <v>0.03</v>
      </c>
      <c r="D7" s="59">
        <v>0.03</v>
      </c>
      <c r="E7" s="15"/>
      <c r="I7">
        <v>0.1</v>
      </c>
      <c r="J7" s="16">
        <v>8.3333333333333343E-2</v>
      </c>
      <c r="L7" s="58" t="s">
        <v>98</v>
      </c>
      <c r="M7" s="59">
        <v>0.02</v>
      </c>
      <c r="N7" s="59">
        <v>0.02</v>
      </c>
    </row>
    <row r="8" spans="2:14">
      <c r="B8" s="58" t="s">
        <v>100</v>
      </c>
      <c r="C8" s="59">
        <v>0.04</v>
      </c>
      <c r="D8" s="59">
        <v>0.04</v>
      </c>
      <c r="E8" s="15"/>
      <c r="I8">
        <v>0.2</v>
      </c>
      <c r="J8" s="16">
        <v>0.16666666666666669</v>
      </c>
      <c r="L8" s="58" t="s">
        <v>99</v>
      </c>
      <c r="M8" s="59">
        <v>0.03</v>
      </c>
      <c r="N8" s="59">
        <v>0.03</v>
      </c>
    </row>
    <row r="9" spans="2:14">
      <c r="B9" s="58" t="s">
        <v>101</v>
      </c>
      <c r="C9" s="59">
        <v>0.05</v>
      </c>
      <c r="D9" s="59">
        <v>0.05</v>
      </c>
      <c r="E9" s="15"/>
      <c r="I9">
        <v>0.3</v>
      </c>
      <c r="J9" s="16">
        <v>0.25</v>
      </c>
      <c r="L9" s="58" t="s">
        <v>100</v>
      </c>
      <c r="M9" s="59">
        <v>0.04</v>
      </c>
      <c r="N9" s="59">
        <v>0.04</v>
      </c>
    </row>
    <row r="10" spans="2:14">
      <c r="B10" s="58" t="s">
        <v>102</v>
      </c>
      <c r="C10" s="59">
        <v>0.06</v>
      </c>
      <c r="D10" s="59">
        <v>0.06</v>
      </c>
      <c r="E10" s="15"/>
      <c r="I10">
        <v>0.4</v>
      </c>
      <c r="J10" s="16">
        <v>0.33333333333333337</v>
      </c>
      <c r="L10" s="58" t="s">
        <v>101</v>
      </c>
      <c r="M10" s="59">
        <v>0.05</v>
      </c>
      <c r="N10" s="59">
        <v>0.05</v>
      </c>
    </row>
    <row r="11" spans="2:14">
      <c r="B11" s="58" t="s">
        <v>103</v>
      </c>
      <c r="C11" s="59">
        <v>7.0000000000000007E-2</v>
      </c>
      <c r="D11" s="59">
        <v>7.0000000000000007E-2</v>
      </c>
      <c r="E11" s="15"/>
      <c r="I11">
        <v>0.5</v>
      </c>
      <c r="J11" s="16">
        <v>0.41666666666666669</v>
      </c>
      <c r="L11" s="58" t="s">
        <v>102</v>
      </c>
      <c r="M11" s="59">
        <v>0.06</v>
      </c>
      <c r="N11" s="59">
        <v>0.06</v>
      </c>
    </row>
    <row r="12" spans="2:14">
      <c r="B12" s="58" t="s">
        <v>104</v>
      </c>
      <c r="C12" s="59">
        <v>7.0000000000000007E-2</v>
      </c>
      <c r="D12" s="59">
        <v>7.0000000000000007E-2</v>
      </c>
      <c r="E12" s="15"/>
      <c r="I12">
        <v>0.6</v>
      </c>
      <c r="J12" s="16">
        <v>0.5</v>
      </c>
      <c r="L12" s="58" t="s">
        <v>103</v>
      </c>
      <c r="M12" s="59">
        <v>7.0000000000000007E-2</v>
      </c>
      <c r="N12" s="59">
        <v>7.0000000000000007E-2</v>
      </c>
    </row>
    <row r="13" spans="2:14">
      <c r="B13" s="58" t="s">
        <v>105</v>
      </c>
      <c r="C13" s="59">
        <v>0.08</v>
      </c>
      <c r="D13" s="59">
        <v>0.08</v>
      </c>
      <c r="E13" s="15"/>
      <c r="I13">
        <v>0.7</v>
      </c>
      <c r="J13" s="16">
        <v>0.58333333333333337</v>
      </c>
      <c r="L13" s="58" t="s">
        <v>104</v>
      </c>
      <c r="M13" s="59">
        <v>7.0000000000000007E-2</v>
      </c>
      <c r="N13" s="59">
        <v>7.0000000000000007E-2</v>
      </c>
    </row>
    <row r="14" spans="2:14">
      <c r="B14" s="58" t="s">
        <v>106</v>
      </c>
      <c r="C14" s="59">
        <v>0.08</v>
      </c>
      <c r="D14" s="59">
        <v>0.08</v>
      </c>
      <c r="E14" s="15"/>
      <c r="I14">
        <v>0.8</v>
      </c>
      <c r="J14" s="16">
        <v>0.66666666666666674</v>
      </c>
      <c r="L14" s="58" t="s">
        <v>105</v>
      </c>
      <c r="M14" s="59">
        <v>0.08</v>
      </c>
      <c r="N14" s="59">
        <v>0.08</v>
      </c>
    </row>
    <row r="15" spans="2:14">
      <c r="B15" s="58" t="s">
        <v>107</v>
      </c>
      <c r="C15" s="59">
        <v>0.08</v>
      </c>
      <c r="D15" s="59">
        <v>0.08</v>
      </c>
      <c r="E15" s="15"/>
      <c r="I15">
        <v>0.9</v>
      </c>
      <c r="J15" s="16">
        <v>0.75</v>
      </c>
      <c r="L15" s="58" t="s">
        <v>106</v>
      </c>
      <c r="M15" s="59">
        <v>0.08</v>
      </c>
      <c r="N15" s="59">
        <v>0.08</v>
      </c>
    </row>
    <row r="16" spans="2:14">
      <c r="B16" s="58" t="s">
        <v>108</v>
      </c>
      <c r="C16" s="59">
        <v>0.09</v>
      </c>
      <c r="D16" s="59">
        <v>0.09</v>
      </c>
      <c r="E16" s="15"/>
      <c r="I16">
        <v>1</v>
      </c>
      <c r="J16" s="16">
        <v>1</v>
      </c>
      <c r="L16" s="58" t="s">
        <v>107</v>
      </c>
      <c r="M16" s="59">
        <v>0.08</v>
      </c>
      <c r="N16" s="59">
        <v>0.08</v>
      </c>
    </row>
    <row r="17" spans="2:14">
      <c r="B17" s="58" t="s">
        <v>109</v>
      </c>
      <c r="C17" s="59">
        <v>0</v>
      </c>
      <c r="D17" s="59">
        <v>0</v>
      </c>
      <c r="E17" s="15"/>
      <c r="L17" s="58" t="s">
        <v>108</v>
      </c>
      <c r="M17" s="59">
        <v>0.09</v>
      </c>
      <c r="N17" s="59">
        <v>0.09</v>
      </c>
    </row>
    <row r="18" spans="2:14">
      <c r="B18" s="58" t="s">
        <v>110</v>
      </c>
      <c r="C18" s="59">
        <v>0.02</v>
      </c>
      <c r="D18" s="59">
        <v>0.02</v>
      </c>
      <c r="L18" s="58" t="s">
        <v>109</v>
      </c>
      <c r="M18" s="59">
        <v>0</v>
      </c>
      <c r="N18" s="59">
        <v>0</v>
      </c>
    </row>
    <row r="19" spans="2:14">
      <c r="B19" s="58" t="s">
        <v>111</v>
      </c>
      <c r="C19" s="59">
        <v>0.03</v>
      </c>
      <c r="D19" s="59">
        <v>0.03</v>
      </c>
      <c r="L19" s="58" t="s">
        <v>110</v>
      </c>
      <c r="M19" s="59">
        <v>0.02</v>
      </c>
      <c r="N19" s="59">
        <v>0.02</v>
      </c>
    </row>
    <row r="20" spans="2:14">
      <c r="B20" s="58" t="s">
        <v>112</v>
      </c>
      <c r="C20" s="59">
        <v>0.04</v>
      </c>
      <c r="D20" s="59">
        <v>0.04</v>
      </c>
      <c r="L20" s="58" t="s">
        <v>111</v>
      </c>
      <c r="M20" s="59">
        <v>0.03</v>
      </c>
      <c r="N20" s="59">
        <v>0.03</v>
      </c>
    </row>
    <row r="21" spans="2:14">
      <c r="B21" s="58" t="s">
        <v>113</v>
      </c>
      <c r="C21" s="59">
        <v>0.05</v>
      </c>
      <c r="D21" s="59">
        <v>0.05</v>
      </c>
      <c r="J21" s="16"/>
      <c r="L21" s="58" t="s">
        <v>112</v>
      </c>
      <c r="M21" s="59">
        <v>0.04</v>
      </c>
      <c r="N21" s="59">
        <v>0.04</v>
      </c>
    </row>
    <row r="22" spans="2:14">
      <c r="B22" s="58" t="s">
        <v>114</v>
      </c>
      <c r="C22" s="59">
        <v>0.06</v>
      </c>
      <c r="D22" s="59">
        <v>0.06</v>
      </c>
      <c r="L22" s="58" t="s">
        <v>113</v>
      </c>
      <c r="M22" s="59">
        <v>0.05</v>
      </c>
      <c r="N22" s="59">
        <v>0.05</v>
      </c>
    </row>
    <row r="23" spans="2:14">
      <c r="B23" s="58" t="s">
        <v>115</v>
      </c>
      <c r="C23" s="59">
        <v>0.06</v>
      </c>
      <c r="D23" s="59">
        <v>0.06</v>
      </c>
      <c r="L23" s="58" t="s">
        <v>114</v>
      </c>
      <c r="M23" s="59">
        <v>0.06</v>
      </c>
      <c r="N23" s="59">
        <v>0.06</v>
      </c>
    </row>
    <row r="24" spans="2:14">
      <c r="B24" s="58" t="s">
        <v>116</v>
      </c>
      <c r="C24" s="60">
        <v>7.0000000000000007E-2</v>
      </c>
      <c r="D24" s="60">
        <v>7.0000000000000007E-2</v>
      </c>
      <c r="L24" s="58" t="s">
        <v>115</v>
      </c>
      <c r="M24" s="59">
        <v>0.06</v>
      </c>
      <c r="N24" s="59">
        <v>0.06</v>
      </c>
    </row>
    <row r="25" spans="2:14">
      <c r="L25" s="58" t="s">
        <v>116</v>
      </c>
      <c r="M25" s="60">
        <v>7.0000000000000007E-2</v>
      </c>
      <c r="N25" s="60">
        <v>7.0000000000000007E-2</v>
      </c>
    </row>
  </sheetData>
  <phoneticPr fontId="1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CEDE05C7C6DA488F0DA54DB10E0F81" ma:contentTypeVersion="11" ma:contentTypeDescription="Create a new document." ma:contentTypeScope="" ma:versionID="59efd3c97da05a9def5955d563cc9bfb">
  <xsd:schema xmlns:xsd="http://www.w3.org/2001/XMLSchema" xmlns:xs="http://www.w3.org/2001/XMLSchema" xmlns:p="http://schemas.microsoft.com/office/2006/metadata/properties" xmlns:ns2="c1eda6b0-8a00-416a-bacf-613164c81a14" targetNamespace="http://schemas.microsoft.com/office/2006/metadata/properties" ma:root="true" ma:fieldsID="9230132420a06af6f8bf8a7666d54156" ns2:_="">
    <xsd:import namespace="c1eda6b0-8a00-416a-bacf-613164c81a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eda6b0-8a00-416a-bacf-613164c81a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C7588B7-ECD3-4E43-BCAA-0276A0F6BF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eda6b0-8a00-416a-bacf-613164c81a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4FB8385-FA8F-4551-8FE9-4856132022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D59F1F-8579-42C1-83EC-423BBD9D5DE8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1eda6b0-8a00-416a-bacf-613164c81a14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Annual Appraisal Oct 2023</vt:lpstr>
      <vt:lpstr>Loyalty Incentive v1</vt:lpstr>
      <vt:lpstr>Loyalty - Effec - 15July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schandran@health.saisystems.com</dc:creator>
  <cp:keywords/>
  <dc:description/>
  <cp:lastModifiedBy>Sureshbabu Anandrao</cp:lastModifiedBy>
  <cp:revision/>
  <dcterms:created xsi:type="dcterms:W3CDTF">2018-04-26T10:44:00Z</dcterms:created>
  <dcterms:modified xsi:type="dcterms:W3CDTF">2023-11-18T11:43:49Z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1033-11.2.0.9396</vt:lpwstr>
  </property>
  <property fmtid="{D5CDD505-2E9C-101B-9397-08002B2CF9AE}" pid="3" name="ContentTypeId">
    <vt:lpwstr>0x010100E9CEDE05C7C6DA488F0DA54DB10E0F81</vt:lpwstr>
  </property>
</Properties>
</file>