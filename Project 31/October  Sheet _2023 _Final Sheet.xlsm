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 31\"/>
    </mc:Choice>
  </mc:AlternateContent>
  <xr:revisionPtr revIDLastSave="0" documentId="13_ncr:1_{B595AF61-2A36-43F9-95C7-B50A4CCEE6D0}" xr6:coauthVersionLast="47" xr6:coauthVersionMax="47" xr10:uidLastSave="{00000000-0000-0000-0000-000000000000}"/>
  <bookViews>
    <workbookView xWindow="-108" yWindow="-108" windowWidth="23256" windowHeight="12576" tabRatio="599" xr2:uid="{00000000-000D-0000-FFFF-FFFF00000000}"/>
  </bookViews>
  <sheets>
    <sheet name="October Interim 2023" sheetId="29" r:id="rId1"/>
    <sheet name="Loyalty Incentive v1" sheetId="16" r:id="rId2"/>
    <sheet name="Loyalty - Effec - 15July" sheetId="30" r:id="rId3"/>
  </sheets>
  <externalReferences>
    <externalReference r:id="rId4"/>
    <externalReference r:id="rId5"/>
  </externalReferences>
  <definedNames>
    <definedName name="_xlnm._FilterDatabase" localSheetId="0" hidden="1">'October Interim 2023'!$A$4:$BZ$394</definedName>
    <definedName name="as">OFFSET(#REF!,2,0,#REF!,1)</definedName>
    <definedName name="cum_interest">OFFSET(#REF!,2,0,#REF!,1)</definedName>
    <definedName name="cum_principal">OFFSET(#REF!,2,0,#REF!,1)</definedName>
    <definedName name="End_Bal">[1]Loan_Infra!$I$18:$I$497</definedName>
    <definedName name="Full_Print">[1]Loan_Infra!$A$1:$J$497</definedName>
    <definedName name="Header_Row">ROW([1]Loan_Infra!$A$17:$IV$17)</definedName>
    <definedName name="Interest_Rate">[1]Loan_Infra!$D$6</definedName>
    <definedName name="Last_Row">#N/A</definedName>
    <definedName name="Loan_Amount">[1]Loan_Infra!$D$5</definedName>
    <definedName name="Loan_Start">[1]Loan_Infra!$D$9</definedName>
    <definedName name="Loan_Years">[1]Loan_Infra!$D$7</definedName>
    <definedName name="Months">[2]Months!$A$3:$A$38</definedName>
    <definedName name="period_number">OFFSET(#REF!,2,0,#REF!,1)</definedName>
    <definedName name="PrintNew">OFFSET(#REF!,2,0,#REF!,1)</definedName>
    <definedName name="Xyz">OFFSET(#REF!,2,0,#REF!,1)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xlnp="http://schemas.microsoft.com/office/spreadsheetml/2019/extlinksprops" uri="{FCE6A71B-6B00-49CD-AB44-F6B1AE7CDE65}">
      <xxlnp:externalLinksPr autoRefresh="1"/>
    </ext>
  </extLst>
</workbook>
</file>

<file path=xl/calcChain.xml><?xml version="1.0" encoding="utf-8"?>
<calcChain xmlns="http://schemas.openxmlformats.org/spreadsheetml/2006/main">
  <c r="N219" i="29" l="1"/>
  <c r="BU394" i="29"/>
  <c r="BB2" i="29"/>
  <c r="AX2" i="29"/>
  <c r="Y2" i="29"/>
  <c r="X2" i="29"/>
  <c r="W2" i="29"/>
  <c r="S2" i="29"/>
  <c r="O2" i="29"/>
  <c r="Z380" i="29" l="1"/>
  <c r="AA380" i="29"/>
  <c r="Z381" i="29"/>
  <c r="AA381" i="29"/>
  <c r="Z382" i="29"/>
  <c r="AA382" i="29"/>
  <c r="Z383" i="29"/>
  <c r="AA383" i="29"/>
  <c r="Z384" i="29"/>
  <c r="AA384" i="29"/>
  <c r="Z385" i="29"/>
  <c r="AA385" i="29"/>
  <c r="Z386" i="29"/>
  <c r="AA386" i="29"/>
  <c r="Z387" i="29"/>
  <c r="AA387" i="29"/>
  <c r="Z388" i="29"/>
  <c r="AA388" i="29"/>
  <c r="Z389" i="29"/>
  <c r="AA389" i="29"/>
  <c r="Z390" i="29"/>
  <c r="AA390" i="29"/>
  <c r="Z391" i="29"/>
  <c r="AA391" i="29"/>
  <c r="Z392" i="29"/>
  <c r="AA392" i="29"/>
  <c r="Z393" i="29"/>
  <c r="AA393" i="29"/>
  <c r="P380" i="29"/>
  <c r="Q380" i="29" s="1"/>
  <c r="P381" i="29"/>
  <c r="Q381" i="29" s="1"/>
  <c r="P382" i="29"/>
  <c r="R382" i="29" s="1"/>
  <c r="P383" i="29"/>
  <c r="Q383" i="29" s="1"/>
  <c r="P384" i="29"/>
  <c r="P385" i="29"/>
  <c r="Q385" i="29" s="1"/>
  <c r="P386" i="29"/>
  <c r="P387" i="29"/>
  <c r="R387" i="29" s="1"/>
  <c r="P388" i="29"/>
  <c r="Q388" i="29" s="1"/>
  <c r="P389" i="29"/>
  <c r="R389" i="29" s="1"/>
  <c r="P390" i="29"/>
  <c r="R390" i="29" s="1"/>
  <c r="P391" i="29"/>
  <c r="Q391" i="29" s="1"/>
  <c r="P392" i="29"/>
  <c r="R392" i="29" s="1"/>
  <c r="P393" i="29"/>
  <c r="Q393" i="29" s="1"/>
  <c r="P394" i="29"/>
  <c r="Q394" i="29" s="1"/>
  <c r="N380" i="29"/>
  <c r="AR380" i="29" s="1"/>
  <c r="N381" i="29"/>
  <c r="AR381" i="29" s="1"/>
  <c r="N382" i="29"/>
  <c r="AR382" i="29" s="1"/>
  <c r="N383" i="29"/>
  <c r="AR383" i="29" s="1"/>
  <c r="AQ383" i="29" s="1"/>
  <c r="N384" i="29"/>
  <c r="N385" i="29"/>
  <c r="AR385" i="29" s="1"/>
  <c r="AS385" i="29" s="1"/>
  <c r="N386" i="29"/>
  <c r="N387" i="29"/>
  <c r="AR387" i="29" s="1"/>
  <c r="AM387" i="29" s="1"/>
  <c r="N388" i="29"/>
  <c r="AR388" i="29" s="1"/>
  <c r="N389" i="29"/>
  <c r="AR389" i="29" s="1"/>
  <c r="AQ389" i="29" s="1"/>
  <c r="N390" i="29"/>
  <c r="AR390" i="29" s="1"/>
  <c r="N391" i="29"/>
  <c r="AR391" i="29" s="1"/>
  <c r="N392" i="29"/>
  <c r="AR392" i="29" s="1"/>
  <c r="N393" i="29"/>
  <c r="AR393" i="29" s="1"/>
  <c r="AS393" i="29" s="1"/>
  <c r="AN387" i="29" l="1"/>
  <c r="AP387" i="29" s="1"/>
  <c r="AT387" i="29" s="1"/>
  <c r="Q389" i="29"/>
  <c r="T389" i="29" s="1"/>
  <c r="AC389" i="29" s="1"/>
  <c r="R394" i="29"/>
  <c r="AM388" i="29"/>
  <c r="AN388" i="29" s="1"/>
  <c r="AP388" i="29" s="1"/>
  <c r="AT388" i="29" s="1"/>
  <c r="AS388" i="29"/>
  <c r="AM380" i="29"/>
  <c r="AN380" i="29" s="1"/>
  <c r="AP380" i="29" s="1"/>
  <c r="AT380" i="29" s="1"/>
  <c r="AS380" i="29"/>
  <c r="R381" i="29"/>
  <c r="T381" i="29" s="1"/>
  <c r="AR386" i="29"/>
  <c r="AS386" i="29" s="1"/>
  <c r="Q392" i="29"/>
  <c r="T392" i="29" s="1"/>
  <c r="AS383" i="29"/>
  <c r="AQ388" i="29"/>
  <c r="AQ392" i="29"/>
  <c r="AS392" i="29"/>
  <c r="AM392" i="29"/>
  <c r="AN392" i="29" s="1"/>
  <c r="AP392" i="29" s="1"/>
  <c r="AT392" i="29" s="1"/>
  <c r="AQ391" i="29"/>
  <c r="AM391" i="29"/>
  <c r="AN391" i="29" s="1"/>
  <c r="AP391" i="29" s="1"/>
  <c r="AT391" i="29" s="1"/>
  <c r="AS391" i="29"/>
  <c r="AQ390" i="29"/>
  <c r="AS390" i="29"/>
  <c r="AQ382" i="29"/>
  <c r="AS382" i="29"/>
  <c r="AQ381" i="29"/>
  <c r="AM381" i="29"/>
  <c r="AN381" i="29" s="1"/>
  <c r="AP381" i="29" s="1"/>
  <c r="AT381" i="29" s="1"/>
  <c r="AM389" i="29"/>
  <c r="AN389" i="29" s="1"/>
  <c r="AP389" i="29" s="1"/>
  <c r="AT389" i="29" s="1"/>
  <c r="AM383" i="29"/>
  <c r="AN383" i="29" s="1"/>
  <c r="AP383" i="29" s="1"/>
  <c r="AT383" i="29" s="1"/>
  <c r="Q387" i="29"/>
  <c r="T387" i="29" s="1"/>
  <c r="AQ380" i="29"/>
  <c r="AR384" i="29"/>
  <c r="R384" i="29"/>
  <c r="R391" i="29"/>
  <c r="T391" i="29" s="1"/>
  <c r="AC391" i="29" s="1"/>
  <c r="Q384" i="29"/>
  <c r="Q390" i="29"/>
  <c r="T390" i="29" s="1"/>
  <c r="R383" i="29"/>
  <c r="T383" i="29" s="1"/>
  <c r="V383" i="29" s="1"/>
  <c r="R386" i="29"/>
  <c r="Q386" i="29"/>
  <c r="Q382" i="29"/>
  <c r="T382" i="29" s="1"/>
  <c r="U382" i="29" s="1"/>
  <c r="AQ393" i="29"/>
  <c r="AM390" i="29"/>
  <c r="AN390" i="29" s="1"/>
  <c r="AP390" i="29" s="1"/>
  <c r="AT390" i="29" s="1"/>
  <c r="AS387" i="29"/>
  <c r="AQ385" i="29"/>
  <c r="AM382" i="29"/>
  <c r="AN382" i="29" s="1"/>
  <c r="AP382" i="29" s="1"/>
  <c r="AT382" i="29" s="1"/>
  <c r="AS389" i="29"/>
  <c r="AQ387" i="29"/>
  <c r="AS381" i="29"/>
  <c r="AM393" i="29"/>
  <c r="AN393" i="29" s="1"/>
  <c r="AP393" i="29" s="1"/>
  <c r="AT393" i="29" s="1"/>
  <c r="AM385" i="29"/>
  <c r="AN385" i="29" s="1"/>
  <c r="AP385" i="29" s="1"/>
  <c r="AT385" i="29" s="1"/>
  <c r="R388" i="29"/>
  <c r="T388" i="29" s="1"/>
  <c r="U388" i="29" s="1"/>
  <c r="R380" i="29"/>
  <c r="T380" i="29" s="1"/>
  <c r="R393" i="29"/>
  <c r="T393" i="29" s="1"/>
  <c r="AC393" i="29" s="1"/>
  <c r="R385" i="29"/>
  <c r="T385" i="29" s="1"/>
  <c r="AU380" i="29" l="1"/>
  <c r="AV380" i="29" s="1"/>
  <c r="BE389" i="29"/>
  <c r="BF391" i="29"/>
  <c r="BF393" i="29"/>
  <c r="AU383" i="29"/>
  <c r="AW383" i="29" s="1"/>
  <c r="BE392" i="29"/>
  <c r="AU387" i="29"/>
  <c r="AW387" i="29" s="1"/>
  <c r="BE381" i="29"/>
  <c r="AU385" i="29"/>
  <c r="AW385" i="29" s="1"/>
  <c r="BF388" i="29"/>
  <c r="BF385" i="29"/>
  <c r="AU392" i="29"/>
  <c r="AV392" i="29" s="1"/>
  <c r="AU388" i="29"/>
  <c r="AV388" i="29" s="1"/>
  <c r="BE388" i="29"/>
  <c r="BF392" i="29"/>
  <c r="BE385" i="29"/>
  <c r="BE391" i="29"/>
  <c r="BF387" i="29"/>
  <c r="BE387" i="29"/>
  <c r="AU393" i="29"/>
  <c r="AV393" i="29" s="1"/>
  <c r="BE393" i="29"/>
  <c r="BE390" i="29"/>
  <c r="BF390" i="29"/>
  <c r="AU390" i="29"/>
  <c r="AW390" i="29" s="1"/>
  <c r="BF389" i="29"/>
  <c r="AU389" i="29"/>
  <c r="AV389" i="29" s="1"/>
  <c r="AU391" i="29"/>
  <c r="AW391" i="29" s="1"/>
  <c r="BE383" i="29"/>
  <c r="BE380" i="29"/>
  <c r="BF380" i="29"/>
  <c r="BF381" i="29"/>
  <c r="AM386" i="29"/>
  <c r="AN386" i="29" s="1"/>
  <c r="AP386" i="29" s="1"/>
  <c r="AT386" i="29" s="1"/>
  <c r="U392" i="29"/>
  <c r="V392" i="29"/>
  <c r="AC392" i="29"/>
  <c r="AC381" i="29"/>
  <c r="V381" i="29"/>
  <c r="U381" i="29"/>
  <c r="V387" i="29"/>
  <c r="U387" i="29"/>
  <c r="AU381" i="29"/>
  <c r="AW381" i="29" s="1"/>
  <c r="AQ386" i="29"/>
  <c r="BF383" i="29"/>
  <c r="U383" i="29"/>
  <c r="AB383" i="29" s="1"/>
  <c r="AD383" i="29" s="1"/>
  <c r="T386" i="29"/>
  <c r="AC386" i="29" s="1"/>
  <c r="U389" i="29"/>
  <c r="AE389" i="29" s="1"/>
  <c r="AF389" i="29" s="1"/>
  <c r="AS384" i="29"/>
  <c r="AM384" i="29"/>
  <c r="AN384" i="29" s="1"/>
  <c r="AP384" i="29" s="1"/>
  <c r="AT384" i="29" s="1"/>
  <c r="AC387" i="29"/>
  <c r="AC383" i="29"/>
  <c r="T384" i="29"/>
  <c r="U384" i="29" s="1"/>
  <c r="AQ384" i="29"/>
  <c r="AC385" i="29"/>
  <c r="V385" i="29"/>
  <c r="U385" i="29"/>
  <c r="U390" i="29"/>
  <c r="V390" i="29"/>
  <c r="AC390" i="29"/>
  <c r="U380" i="29"/>
  <c r="AC380" i="29"/>
  <c r="V380" i="29"/>
  <c r="V382" i="29"/>
  <c r="AB382" i="29" s="1"/>
  <c r="AD382" i="29" s="1"/>
  <c r="AC388" i="29"/>
  <c r="AE388" i="29" s="1"/>
  <c r="AF388" i="29" s="1"/>
  <c r="V391" i="29"/>
  <c r="U391" i="29"/>
  <c r="V388" i="29"/>
  <c r="AB388" i="29" s="1"/>
  <c r="AD388" i="29" s="1"/>
  <c r="U393" i="29"/>
  <c r="AE393" i="29" s="1"/>
  <c r="AF393" i="29" s="1"/>
  <c r="V389" i="29"/>
  <c r="AC382" i="29"/>
  <c r="AE382" i="29" s="1"/>
  <c r="AF382" i="29" s="1"/>
  <c r="V393" i="29"/>
  <c r="BE382" i="29"/>
  <c r="AU382" i="29"/>
  <c r="BF382" i="29"/>
  <c r="BF384" i="29" l="1"/>
  <c r="AV383" i="29"/>
  <c r="AY383" i="29" s="1"/>
  <c r="BA383" i="29" s="1"/>
  <c r="BE386" i="29"/>
  <c r="AW380" i="29"/>
  <c r="AY380" i="29" s="1"/>
  <c r="BH380" i="29" s="1"/>
  <c r="BF386" i="29"/>
  <c r="AV387" i="29"/>
  <c r="AY387" i="29" s="1"/>
  <c r="AZ387" i="29" s="1"/>
  <c r="AU384" i="29"/>
  <c r="AU386" i="29"/>
  <c r="AW386" i="29" s="1"/>
  <c r="BE384" i="29"/>
  <c r="AV385" i="29"/>
  <c r="AY385" i="29" s="1"/>
  <c r="AZ385" i="29" s="1"/>
  <c r="AV391" i="29"/>
  <c r="AY391" i="29" s="1"/>
  <c r="AZ391" i="29" s="1"/>
  <c r="AW392" i="29"/>
  <c r="AY392" i="29" s="1"/>
  <c r="BA392" i="29" s="1"/>
  <c r="AW393" i="29"/>
  <c r="AY393" i="29" s="1"/>
  <c r="BH393" i="29" s="1"/>
  <c r="AW388" i="29"/>
  <c r="AY388" i="29" s="1"/>
  <c r="BH388" i="29" s="1"/>
  <c r="AV390" i="29"/>
  <c r="AY390" i="29" s="1"/>
  <c r="AZ390" i="29" s="1"/>
  <c r="AW389" i="29"/>
  <c r="AY389" i="29" s="1"/>
  <c r="AZ389" i="29" s="1"/>
  <c r="AB390" i="29"/>
  <c r="AD390" i="29" s="1"/>
  <c r="AE387" i="29"/>
  <c r="AF387" i="29" s="1"/>
  <c r="AE381" i="29"/>
  <c r="AF381" i="29" s="1"/>
  <c r="V386" i="29"/>
  <c r="AE392" i="29"/>
  <c r="AF392" i="29" s="1"/>
  <c r="AC384" i="29"/>
  <c r="AE384" i="29" s="1"/>
  <c r="AF384" i="29" s="1"/>
  <c r="AE390" i="29"/>
  <c r="AF390" i="29" s="1"/>
  <c r="AB392" i="29"/>
  <c r="AD392" i="29" s="1"/>
  <c r="V384" i="29"/>
  <c r="AB384" i="29" s="1"/>
  <c r="AD384" i="29" s="1"/>
  <c r="AE385" i="29"/>
  <c r="AF385" i="29" s="1"/>
  <c r="AB391" i="29"/>
  <c r="AD391" i="29" s="1"/>
  <c r="AB387" i="29"/>
  <c r="AD387" i="29" s="1"/>
  <c r="AV381" i="29"/>
  <c r="AY381" i="29" s="1"/>
  <c r="AZ381" i="29" s="1"/>
  <c r="AB381" i="29"/>
  <c r="AD381" i="29" s="1"/>
  <c r="AB389" i="29"/>
  <c r="AD389" i="29" s="1"/>
  <c r="U386" i="29"/>
  <c r="AB385" i="29"/>
  <c r="AD385" i="29" s="1"/>
  <c r="AE383" i="29"/>
  <c r="AF383" i="29" s="1"/>
  <c r="AB393" i="29"/>
  <c r="AD393" i="29" s="1"/>
  <c r="AE380" i="29"/>
  <c r="AF380" i="29" s="1"/>
  <c r="AE391" i="29"/>
  <c r="AF391" i="29" s="1"/>
  <c r="AB380" i="29"/>
  <c r="AD380" i="29" s="1"/>
  <c r="AW382" i="29"/>
  <c r="AV382" i="29"/>
  <c r="AV386" i="29" l="1"/>
  <c r="AY386" i="29" s="1"/>
  <c r="BH386" i="29" s="1"/>
  <c r="BH387" i="29"/>
  <c r="BJ387" i="29" s="1"/>
  <c r="BK387" i="29" s="1"/>
  <c r="BN387" i="29" s="1"/>
  <c r="BA387" i="29"/>
  <c r="BG387" i="29" s="1"/>
  <c r="AV384" i="29"/>
  <c r="AW384" i="29"/>
  <c r="BH385" i="29"/>
  <c r="BJ385" i="29" s="1"/>
  <c r="BK385" i="29" s="1"/>
  <c r="BH381" i="29"/>
  <c r="BJ381" i="29" s="1"/>
  <c r="BK381" i="29" s="1"/>
  <c r="AZ393" i="29"/>
  <c r="BJ393" i="29" s="1"/>
  <c r="BK393" i="29" s="1"/>
  <c r="BA381" i="29"/>
  <c r="BG381" i="29" s="1"/>
  <c r="BA385" i="29"/>
  <c r="BG385" i="29" s="1"/>
  <c r="BH389" i="29"/>
  <c r="BJ389" i="29" s="1"/>
  <c r="BK389" i="29" s="1"/>
  <c r="BM389" i="29" s="1"/>
  <c r="AB386" i="29"/>
  <c r="AD386" i="29" s="1"/>
  <c r="BA388" i="29"/>
  <c r="AZ388" i="29"/>
  <c r="AY382" i="29"/>
  <c r="AZ382" i="29" s="1"/>
  <c r="AE386" i="29"/>
  <c r="AF386" i="29" s="1"/>
  <c r="BH391" i="29"/>
  <c r="BJ391" i="29" s="1"/>
  <c r="BK391" i="29" s="1"/>
  <c r="BN391" i="29" s="1"/>
  <c r="BA393" i="29"/>
  <c r="BA389" i="29"/>
  <c r="BG389" i="29" s="1"/>
  <c r="BA391" i="29"/>
  <c r="BG391" i="29" s="1"/>
  <c r="BH383" i="29"/>
  <c r="AZ383" i="29"/>
  <c r="BG383" i="29" s="1"/>
  <c r="BA380" i="29"/>
  <c r="AZ380" i="29"/>
  <c r="BJ380" i="29" s="1"/>
  <c r="BK380" i="29" s="1"/>
  <c r="BM380" i="29" s="1"/>
  <c r="BH392" i="29"/>
  <c r="BH390" i="29"/>
  <c r="BJ390" i="29" s="1"/>
  <c r="BK390" i="29" s="1"/>
  <c r="BM390" i="29" s="1"/>
  <c r="AZ392" i="29"/>
  <c r="BG392" i="29" s="1"/>
  <c r="BU392" i="29" s="1"/>
  <c r="BA390" i="29"/>
  <c r="BG390" i="29" s="1"/>
  <c r="BU390" i="29" s="1"/>
  <c r="BI383" i="29" l="1"/>
  <c r="BU383" i="29"/>
  <c r="BI391" i="29"/>
  <c r="BU391" i="29"/>
  <c r="BI389" i="29"/>
  <c r="BU389" i="29"/>
  <c r="BI387" i="29"/>
  <c r="BU387" i="29"/>
  <c r="BI385" i="29"/>
  <c r="BU385" i="29"/>
  <c r="BI381" i="29"/>
  <c r="BU381" i="29"/>
  <c r="AZ386" i="29"/>
  <c r="BJ386" i="29" s="1"/>
  <c r="BK386" i="29" s="1"/>
  <c r="BN386" i="29" s="1"/>
  <c r="BI390" i="29"/>
  <c r="BI392" i="29"/>
  <c r="BA386" i="29"/>
  <c r="BL387" i="29"/>
  <c r="BM387" i="29"/>
  <c r="AY384" i="29"/>
  <c r="BL385" i="29"/>
  <c r="BL381" i="29"/>
  <c r="BH382" i="29"/>
  <c r="BJ382" i="29" s="1"/>
  <c r="BK382" i="29" s="1"/>
  <c r="BM382" i="29" s="1"/>
  <c r="BA382" i="29"/>
  <c r="BG382" i="29" s="1"/>
  <c r="BG393" i="29"/>
  <c r="BG388" i="29"/>
  <c r="BJ388" i="29"/>
  <c r="BK388" i="29" s="1"/>
  <c r="BN388" i="29" s="1"/>
  <c r="BJ383" i="29"/>
  <c r="BK383" i="29" s="1"/>
  <c r="BM383" i="29" s="1"/>
  <c r="BN380" i="29"/>
  <c r="BL391" i="29"/>
  <c r="BN389" i="29"/>
  <c r="BG380" i="29"/>
  <c r="BJ392" i="29"/>
  <c r="BK392" i="29" s="1"/>
  <c r="BN392" i="29" s="1"/>
  <c r="BL390" i="29"/>
  <c r="BN390" i="29"/>
  <c r="BM391" i="29"/>
  <c r="BL383" i="29"/>
  <c r="BL389" i="29"/>
  <c r="BM385" i="29"/>
  <c r="BN385" i="29"/>
  <c r="BM381" i="29"/>
  <c r="BN381" i="29"/>
  <c r="BL392" i="29"/>
  <c r="BM393" i="29"/>
  <c r="BN393" i="29"/>
  <c r="BI393" i="29" l="1"/>
  <c r="BU393" i="29"/>
  <c r="BI380" i="29"/>
  <c r="BU380" i="29"/>
  <c r="BI388" i="29"/>
  <c r="BU388" i="29"/>
  <c r="BI382" i="29"/>
  <c r="BU382" i="29"/>
  <c r="BM386" i="29"/>
  <c r="BG386" i="29"/>
  <c r="BA384" i="29"/>
  <c r="AZ384" i="29"/>
  <c r="BH384" i="29"/>
  <c r="BL382" i="29"/>
  <c r="BL380" i="29"/>
  <c r="BL393" i="29"/>
  <c r="BL388" i="29"/>
  <c r="BM388" i="29"/>
  <c r="BN383" i="29"/>
  <c r="BM392" i="29"/>
  <c r="BN382" i="29"/>
  <c r="BI386" i="29" l="1"/>
  <c r="BU386" i="29"/>
  <c r="BL386" i="29"/>
  <c r="BG384" i="29"/>
  <c r="BJ384" i="29"/>
  <c r="BK384" i="29" s="1"/>
  <c r="O1" i="29"/>
  <c r="Z11" i="29"/>
  <c r="Z8" i="29"/>
  <c r="P5" i="29"/>
  <c r="Z379" i="29"/>
  <c r="Z378" i="29"/>
  <c r="Z377" i="29"/>
  <c r="Z376" i="29"/>
  <c r="Z375" i="29"/>
  <c r="Z374" i="29"/>
  <c r="Z373" i="29"/>
  <c r="Z372" i="29"/>
  <c r="Z371" i="29"/>
  <c r="Z370" i="29"/>
  <c r="Z369" i="29"/>
  <c r="Z368" i="29"/>
  <c r="Z367" i="29"/>
  <c r="Z366" i="29"/>
  <c r="Z365" i="29"/>
  <c r="Z364" i="29"/>
  <c r="Z363" i="29"/>
  <c r="Z362" i="29"/>
  <c r="Z361" i="29"/>
  <c r="Z360" i="29"/>
  <c r="Z359" i="29"/>
  <c r="Z358" i="29"/>
  <c r="Z357" i="29"/>
  <c r="Z356" i="29"/>
  <c r="Z355" i="29"/>
  <c r="Z354" i="29"/>
  <c r="Z353" i="29"/>
  <c r="Z352" i="29"/>
  <c r="Z351" i="29"/>
  <c r="Z350" i="29"/>
  <c r="Z349" i="29"/>
  <c r="Z348" i="29"/>
  <c r="Z347" i="29"/>
  <c r="Z346" i="29"/>
  <c r="Z345" i="29"/>
  <c r="Z344" i="29"/>
  <c r="Z343" i="29"/>
  <c r="Z342" i="29"/>
  <c r="Z341" i="29"/>
  <c r="Z340" i="29"/>
  <c r="Z339" i="29"/>
  <c r="Z338" i="29"/>
  <c r="Z337" i="29"/>
  <c r="Z336" i="29"/>
  <c r="Z335" i="29"/>
  <c r="Z334" i="29"/>
  <c r="Z333" i="29"/>
  <c r="Z332" i="29"/>
  <c r="Z331" i="29"/>
  <c r="Z330" i="29"/>
  <c r="Z329" i="29"/>
  <c r="Z328" i="29"/>
  <c r="Z327" i="29"/>
  <c r="Z326" i="29"/>
  <c r="Z325" i="29"/>
  <c r="Z324" i="29"/>
  <c r="Z323" i="29"/>
  <c r="Z322" i="29"/>
  <c r="Z321" i="29"/>
  <c r="Z320" i="29"/>
  <c r="Z319" i="29"/>
  <c r="Z318" i="29"/>
  <c r="Z317" i="29"/>
  <c r="Z316" i="29"/>
  <c r="Z315" i="29"/>
  <c r="Z314" i="29"/>
  <c r="Z313" i="29"/>
  <c r="Z312" i="29"/>
  <c r="Z311" i="29"/>
  <c r="Z310" i="29"/>
  <c r="Z309" i="29"/>
  <c r="Z308" i="29"/>
  <c r="Z307" i="29"/>
  <c r="Z306" i="29"/>
  <c r="Z305" i="29"/>
  <c r="Z304" i="29"/>
  <c r="Z303" i="29"/>
  <c r="Z302" i="29"/>
  <c r="Z301" i="29"/>
  <c r="Z300" i="29"/>
  <c r="Z299" i="29"/>
  <c r="Z298" i="29"/>
  <c r="Z297" i="29"/>
  <c r="Z296" i="29"/>
  <c r="Z295" i="29"/>
  <c r="Z294" i="29"/>
  <c r="Z293" i="29"/>
  <c r="Z292" i="29"/>
  <c r="Z291" i="29"/>
  <c r="Z290" i="29"/>
  <c r="Z289" i="29"/>
  <c r="Z288" i="29"/>
  <c r="Z287" i="29"/>
  <c r="Z286" i="29"/>
  <c r="Z285" i="29"/>
  <c r="Z284" i="29"/>
  <c r="Z283" i="29"/>
  <c r="Z282" i="29"/>
  <c r="Z281" i="29"/>
  <c r="Z280" i="29"/>
  <c r="Z279" i="29"/>
  <c r="Z278" i="29"/>
  <c r="Z277" i="29"/>
  <c r="Z276" i="29"/>
  <c r="Z275" i="29"/>
  <c r="Z274" i="29"/>
  <c r="Z273" i="29"/>
  <c r="Z272" i="29"/>
  <c r="Z271" i="29"/>
  <c r="Z270" i="29"/>
  <c r="Z269" i="29"/>
  <c r="Z268" i="29"/>
  <c r="Z267" i="29"/>
  <c r="Z266" i="29"/>
  <c r="Z265" i="29"/>
  <c r="Z264" i="29"/>
  <c r="Z263" i="29"/>
  <c r="Z262" i="29"/>
  <c r="Z261" i="29"/>
  <c r="Z260" i="29"/>
  <c r="Z259" i="29"/>
  <c r="Z258" i="29"/>
  <c r="Z257" i="29"/>
  <c r="Z256" i="29"/>
  <c r="Z255" i="29"/>
  <c r="Z254" i="29"/>
  <c r="Z253" i="29"/>
  <c r="Z252" i="29"/>
  <c r="Z251" i="29"/>
  <c r="Z250" i="29"/>
  <c r="Z249" i="29"/>
  <c r="Z248" i="29"/>
  <c r="Z247" i="29"/>
  <c r="Z246" i="29"/>
  <c r="Z245" i="29"/>
  <c r="Z244" i="29"/>
  <c r="Z243" i="29"/>
  <c r="Z242" i="29"/>
  <c r="Z241" i="29"/>
  <c r="Z240" i="29"/>
  <c r="Z239" i="29"/>
  <c r="Z238" i="29"/>
  <c r="Z237" i="29"/>
  <c r="Z236" i="29"/>
  <c r="Z235" i="29"/>
  <c r="Z234" i="29"/>
  <c r="Z233" i="29"/>
  <c r="Z232" i="29"/>
  <c r="Z231" i="29"/>
  <c r="Z230" i="29"/>
  <c r="Z229" i="29"/>
  <c r="Z228" i="29"/>
  <c r="Z227" i="29"/>
  <c r="Z226" i="29"/>
  <c r="Z225" i="29"/>
  <c r="Z224" i="29"/>
  <c r="Z223" i="29"/>
  <c r="Z222" i="29"/>
  <c r="Z221" i="29"/>
  <c r="Z220" i="29"/>
  <c r="Z219" i="29"/>
  <c r="Z218" i="29"/>
  <c r="Z217" i="29"/>
  <c r="Z216" i="29"/>
  <c r="Z215" i="29"/>
  <c r="Z214" i="29"/>
  <c r="Z213" i="29"/>
  <c r="Z212" i="29"/>
  <c r="Z211" i="29"/>
  <c r="Z210" i="29"/>
  <c r="Z209" i="29"/>
  <c r="Z208" i="29"/>
  <c r="Z207" i="29"/>
  <c r="Z206" i="29"/>
  <c r="Z205" i="29"/>
  <c r="Z204" i="29"/>
  <c r="Z203" i="29"/>
  <c r="Z202" i="29"/>
  <c r="Z201" i="29"/>
  <c r="Z200" i="29"/>
  <c r="Z199" i="29"/>
  <c r="Z198" i="29"/>
  <c r="Z197" i="29"/>
  <c r="Z196" i="29"/>
  <c r="Z195" i="29"/>
  <c r="Z194" i="29"/>
  <c r="Z193" i="29"/>
  <c r="Z192" i="29"/>
  <c r="Z191" i="29"/>
  <c r="Z190" i="29"/>
  <c r="Z189" i="29"/>
  <c r="Z188" i="29"/>
  <c r="Z187" i="29"/>
  <c r="Z186" i="29"/>
  <c r="Z185" i="29"/>
  <c r="Z184" i="29"/>
  <c r="Z183" i="29"/>
  <c r="Z182" i="29"/>
  <c r="Z181" i="29"/>
  <c r="Z180" i="29"/>
  <c r="Z179" i="29"/>
  <c r="Z178" i="29"/>
  <c r="Z177" i="29"/>
  <c r="Z176" i="29"/>
  <c r="Z175" i="29"/>
  <c r="Z174" i="29"/>
  <c r="Z173" i="29"/>
  <c r="Z172" i="29"/>
  <c r="Z171" i="29"/>
  <c r="Z170" i="29"/>
  <c r="Z169" i="29"/>
  <c r="Z168" i="29"/>
  <c r="Z167" i="29"/>
  <c r="Z166" i="29"/>
  <c r="Z165" i="29"/>
  <c r="Z164" i="29"/>
  <c r="Z163" i="29"/>
  <c r="Z162" i="29"/>
  <c r="Z161" i="29"/>
  <c r="Z160" i="29"/>
  <c r="Z159" i="29"/>
  <c r="Z158" i="29"/>
  <c r="Z157" i="29"/>
  <c r="Z156" i="29"/>
  <c r="Z155" i="29"/>
  <c r="Z154" i="29"/>
  <c r="Z153" i="29"/>
  <c r="Z152" i="29"/>
  <c r="Z151" i="29"/>
  <c r="Z150" i="29"/>
  <c r="Z149" i="29"/>
  <c r="Z148" i="29"/>
  <c r="Z147" i="29"/>
  <c r="Z146" i="29"/>
  <c r="Z145" i="29"/>
  <c r="Z144" i="29"/>
  <c r="Z143" i="29"/>
  <c r="Z142" i="29"/>
  <c r="Z141" i="29"/>
  <c r="Z140" i="29"/>
  <c r="Z139" i="29"/>
  <c r="Z138" i="29"/>
  <c r="Z137" i="29"/>
  <c r="Z136" i="29"/>
  <c r="Z135" i="29"/>
  <c r="Z134" i="29"/>
  <c r="Z133" i="29"/>
  <c r="Z132" i="29"/>
  <c r="Z131" i="29"/>
  <c r="Z130" i="29"/>
  <c r="Z129" i="29"/>
  <c r="Z128" i="29"/>
  <c r="Z127" i="29"/>
  <c r="Z126" i="29"/>
  <c r="Z125" i="29"/>
  <c r="Z124" i="29"/>
  <c r="Z123" i="29"/>
  <c r="Z122" i="29"/>
  <c r="Z121" i="29"/>
  <c r="Z120" i="29"/>
  <c r="Z119" i="29"/>
  <c r="Z118" i="29"/>
  <c r="Z117" i="29"/>
  <c r="Z116" i="29"/>
  <c r="Z115" i="29"/>
  <c r="Z114" i="29"/>
  <c r="Z113" i="29"/>
  <c r="Z112" i="29"/>
  <c r="Z111" i="29"/>
  <c r="Z110" i="29"/>
  <c r="Z109" i="29"/>
  <c r="Z108" i="29"/>
  <c r="Z107" i="29"/>
  <c r="Z106" i="29"/>
  <c r="Z105" i="29"/>
  <c r="Z104" i="29"/>
  <c r="Z103" i="29"/>
  <c r="Z102" i="29"/>
  <c r="Z101" i="29"/>
  <c r="Z100" i="29"/>
  <c r="Z99" i="29"/>
  <c r="Z98" i="29"/>
  <c r="Z97" i="29"/>
  <c r="Z96" i="29"/>
  <c r="Z95" i="29"/>
  <c r="Z94" i="29"/>
  <c r="Z93" i="29"/>
  <c r="Z92" i="29"/>
  <c r="Z91" i="29"/>
  <c r="Z90" i="29"/>
  <c r="Z89" i="29"/>
  <c r="Z88" i="29"/>
  <c r="Z87" i="29"/>
  <c r="Z86" i="29"/>
  <c r="Z85" i="29"/>
  <c r="Z84" i="29"/>
  <c r="Z83" i="29"/>
  <c r="Z82" i="29"/>
  <c r="Z81" i="29"/>
  <c r="Z80" i="29"/>
  <c r="Z79" i="29"/>
  <c r="Z78" i="29"/>
  <c r="Z77" i="29"/>
  <c r="Z76" i="29"/>
  <c r="Z75" i="29"/>
  <c r="Z74" i="29"/>
  <c r="Z73" i="29"/>
  <c r="Z72" i="29"/>
  <c r="Z71" i="29"/>
  <c r="Z70" i="29"/>
  <c r="Z69" i="29"/>
  <c r="Z68" i="29"/>
  <c r="Z67" i="29"/>
  <c r="Z66" i="29"/>
  <c r="Z65" i="29"/>
  <c r="Z64" i="29"/>
  <c r="Z63" i="29"/>
  <c r="Z62" i="29"/>
  <c r="Z61" i="29"/>
  <c r="Z60" i="29"/>
  <c r="Z59" i="29"/>
  <c r="Z58" i="29"/>
  <c r="Z57" i="29"/>
  <c r="Z56" i="29"/>
  <c r="Z55" i="29"/>
  <c r="Z54" i="29"/>
  <c r="Z53" i="29"/>
  <c r="Z52" i="29"/>
  <c r="Z51" i="29"/>
  <c r="Z50" i="29"/>
  <c r="Z49" i="29"/>
  <c r="Z48" i="29"/>
  <c r="Z47" i="29"/>
  <c r="Z46" i="29"/>
  <c r="Z45" i="29"/>
  <c r="Z44" i="29"/>
  <c r="Z43" i="29"/>
  <c r="Z42" i="29"/>
  <c r="Z41" i="29"/>
  <c r="Z40" i="29"/>
  <c r="Z39" i="29"/>
  <c r="Z38" i="29"/>
  <c r="Z37" i="29"/>
  <c r="Z36" i="29"/>
  <c r="Z35" i="29"/>
  <c r="Z34" i="29"/>
  <c r="Z33" i="29"/>
  <c r="Z32" i="29"/>
  <c r="Z31" i="29"/>
  <c r="Z30" i="29"/>
  <c r="Z29" i="29"/>
  <c r="Z28" i="29"/>
  <c r="Z27" i="29"/>
  <c r="Z26" i="29"/>
  <c r="Z25" i="29"/>
  <c r="Z24" i="29"/>
  <c r="Z23" i="29"/>
  <c r="Z22" i="29"/>
  <c r="Z21" i="29"/>
  <c r="Z20" i="29"/>
  <c r="Z19" i="29"/>
  <c r="Z18" i="29"/>
  <c r="Z17" i="29"/>
  <c r="Z16" i="29"/>
  <c r="Z15" i="29"/>
  <c r="Z14" i="29"/>
  <c r="Z13" i="29"/>
  <c r="Z12" i="29"/>
  <c r="Z10" i="29"/>
  <c r="Z9" i="29"/>
  <c r="Z7" i="29"/>
  <c r="Z6" i="29"/>
  <c r="AA379" i="29"/>
  <c r="AA378" i="29"/>
  <c r="AA377" i="29"/>
  <c r="AA376" i="29"/>
  <c r="AA375" i="29"/>
  <c r="AA374" i="29"/>
  <c r="AA373" i="29"/>
  <c r="AA372" i="29"/>
  <c r="AA371" i="29"/>
  <c r="AA370" i="29"/>
  <c r="AA369" i="29"/>
  <c r="AA368" i="29"/>
  <c r="AA367" i="29"/>
  <c r="AA366" i="29"/>
  <c r="AA365" i="29"/>
  <c r="AA364" i="29"/>
  <c r="AA363" i="29"/>
  <c r="AA362" i="29"/>
  <c r="AA361" i="29"/>
  <c r="AA360" i="29"/>
  <c r="AA359" i="29"/>
  <c r="AA358" i="29"/>
  <c r="AA357" i="29"/>
  <c r="AA356" i="29"/>
  <c r="AA355" i="29"/>
  <c r="AA354" i="29"/>
  <c r="AA353" i="29"/>
  <c r="AA352" i="29"/>
  <c r="AA351" i="29"/>
  <c r="AA350" i="29"/>
  <c r="AA349" i="29"/>
  <c r="AA348" i="29"/>
  <c r="AA347" i="29"/>
  <c r="AA346" i="29"/>
  <c r="AA345" i="29"/>
  <c r="AA344" i="29"/>
  <c r="AA343" i="29"/>
  <c r="AA342" i="29"/>
  <c r="AA341" i="29"/>
  <c r="AA340" i="29"/>
  <c r="AA339" i="29"/>
  <c r="AA338" i="29"/>
  <c r="AA337" i="29"/>
  <c r="AA336" i="29"/>
  <c r="AA335" i="29"/>
  <c r="AA334" i="29"/>
  <c r="AA333" i="29"/>
  <c r="AA332" i="29"/>
  <c r="AA331" i="29"/>
  <c r="AA330" i="29"/>
  <c r="AA329" i="29"/>
  <c r="AA328" i="29"/>
  <c r="AA327" i="29"/>
  <c r="AA326" i="29"/>
  <c r="AA325" i="29"/>
  <c r="AA324" i="29"/>
  <c r="AA323" i="29"/>
  <c r="AA322" i="29"/>
  <c r="AA321" i="29"/>
  <c r="AA320" i="29"/>
  <c r="AA319" i="29"/>
  <c r="AA318" i="29"/>
  <c r="AA317" i="29"/>
  <c r="AA316" i="29"/>
  <c r="AA315" i="29"/>
  <c r="AA314" i="29"/>
  <c r="AA313" i="29"/>
  <c r="AA312" i="29"/>
  <c r="AA311" i="29"/>
  <c r="AA310" i="29"/>
  <c r="AA309" i="29"/>
  <c r="AA308" i="29"/>
  <c r="AA307" i="29"/>
  <c r="AA306" i="29"/>
  <c r="AA305" i="29"/>
  <c r="AA304" i="29"/>
  <c r="AA303" i="29"/>
  <c r="AA302" i="29"/>
  <c r="AA301" i="29"/>
  <c r="AA300" i="29"/>
  <c r="AA299" i="29"/>
  <c r="AA298" i="29"/>
  <c r="AA297" i="29"/>
  <c r="AA296" i="29"/>
  <c r="AA295" i="29"/>
  <c r="AA294" i="29"/>
  <c r="AA293" i="29"/>
  <c r="AA292" i="29"/>
  <c r="AA291" i="29"/>
  <c r="AA290" i="29"/>
  <c r="AA289" i="29"/>
  <c r="AA288" i="29"/>
  <c r="AA287" i="29"/>
  <c r="AA286" i="29"/>
  <c r="AA285" i="29"/>
  <c r="AA284" i="29"/>
  <c r="AA283" i="29"/>
  <c r="AA282" i="29"/>
  <c r="AA281" i="29"/>
  <c r="AA280" i="29"/>
  <c r="AA279" i="29"/>
  <c r="AA278" i="29"/>
  <c r="AA277" i="29"/>
  <c r="AA276" i="29"/>
  <c r="AA275" i="29"/>
  <c r="AA274" i="29"/>
  <c r="AA273" i="29"/>
  <c r="AA272" i="29"/>
  <c r="AA271" i="29"/>
  <c r="AA270" i="29"/>
  <c r="AA269" i="29"/>
  <c r="AA268" i="29"/>
  <c r="AA267" i="29"/>
  <c r="AA266" i="29"/>
  <c r="AA265" i="29"/>
  <c r="AA264" i="29"/>
  <c r="AA263" i="29"/>
  <c r="AA262" i="29"/>
  <c r="AA261" i="29"/>
  <c r="AA260" i="29"/>
  <c r="AA259" i="29"/>
  <c r="AA258" i="29"/>
  <c r="AA257" i="29"/>
  <c r="AA256" i="29"/>
  <c r="AA255" i="29"/>
  <c r="AA254" i="29"/>
  <c r="AA253" i="29"/>
  <c r="AA252" i="29"/>
  <c r="AA251" i="29"/>
  <c r="AA250" i="29"/>
  <c r="AA249" i="29"/>
  <c r="AA248" i="29"/>
  <c r="AA247" i="29"/>
  <c r="AA246" i="29"/>
  <c r="AA245" i="29"/>
  <c r="AA244" i="29"/>
  <c r="AA243" i="29"/>
  <c r="AA242" i="29"/>
  <c r="AA241" i="29"/>
  <c r="AA240" i="29"/>
  <c r="AA239" i="29"/>
  <c r="AA238" i="29"/>
  <c r="AA237" i="29"/>
  <c r="AA236" i="29"/>
  <c r="AA235" i="29"/>
  <c r="AA234" i="29"/>
  <c r="AA233" i="29"/>
  <c r="AA232" i="29"/>
  <c r="AA231" i="29"/>
  <c r="AA230" i="29"/>
  <c r="AA229" i="29"/>
  <c r="AA228" i="29"/>
  <c r="AA227" i="29"/>
  <c r="AA226" i="29"/>
  <c r="AA225" i="29"/>
  <c r="AA224" i="29"/>
  <c r="AA223" i="29"/>
  <c r="AA222" i="29"/>
  <c r="AA221" i="29"/>
  <c r="AA220" i="29"/>
  <c r="AA219" i="29"/>
  <c r="AA218" i="29"/>
  <c r="AA217" i="29"/>
  <c r="AA216" i="29"/>
  <c r="AA215" i="29"/>
  <c r="AA214" i="29"/>
  <c r="AA213" i="29"/>
  <c r="AA212" i="29"/>
  <c r="AA211" i="29"/>
  <c r="AA210" i="29"/>
  <c r="AA209" i="29"/>
  <c r="AA208" i="29"/>
  <c r="AA207" i="29"/>
  <c r="AA206" i="29"/>
  <c r="AA205" i="29"/>
  <c r="AA204" i="29"/>
  <c r="AA203" i="29"/>
  <c r="AA202" i="29"/>
  <c r="AA201" i="29"/>
  <c r="AA200" i="29"/>
  <c r="AA199" i="29"/>
  <c r="AA198" i="29"/>
  <c r="AA197" i="29"/>
  <c r="AA196" i="29"/>
  <c r="AA195" i="29"/>
  <c r="AA194" i="29"/>
  <c r="AA193" i="29"/>
  <c r="AA192" i="29"/>
  <c r="AA191" i="29"/>
  <c r="AA190" i="29"/>
  <c r="AA189" i="29"/>
  <c r="AA188" i="29"/>
  <c r="AA187" i="29"/>
  <c r="AA186" i="29"/>
  <c r="AA185" i="29"/>
  <c r="AA184" i="29"/>
  <c r="AA183" i="29"/>
  <c r="AA182" i="29"/>
  <c r="AA181" i="29"/>
  <c r="AA180" i="29"/>
  <c r="AA179" i="29"/>
  <c r="AA178" i="29"/>
  <c r="AA177" i="29"/>
  <c r="AA176" i="29"/>
  <c r="AA175" i="29"/>
  <c r="AA174" i="29"/>
  <c r="AA173" i="29"/>
  <c r="AA172" i="29"/>
  <c r="AA171" i="29"/>
  <c r="AA170" i="29"/>
  <c r="AA169" i="29"/>
  <c r="AA168" i="29"/>
  <c r="AA167" i="29"/>
  <c r="AA166" i="29"/>
  <c r="AA165" i="29"/>
  <c r="AA164" i="29"/>
  <c r="AA163" i="29"/>
  <c r="AA162" i="29"/>
  <c r="AA161" i="29"/>
  <c r="AA160" i="29"/>
  <c r="AA159" i="29"/>
  <c r="AA158" i="29"/>
  <c r="AA157" i="29"/>
  <c r="AA156" i="29"/>
  <c r="AA155" i="29"/>
  <c r="AA154" i="29"/>
  <c r="AA153" i="29"/>
  <c r="AA152" i="29"/>
  <c r="AA151" i="29"/>
  <c r="AA150" i="29"/>
  <c r="AA149" i="29"/>
  <c r="AA148" i="29"/>
  <c r="AA147" i="29"/>
  <c r="AA146" i="29"/>
  <c r="AA145" i="29"/>
  <c r="AA144" i="29"/>
  <c r="AA143" i="29"/>
  <c r="AA142" i="29"/>
  <c r="AA141" i="29"/>
  <c r="AA140" i="29"/>
  <c r="AA139" i="29"/>
  <c r="AA138" i="29"/>
  <c r="AA137" i="29"/>
  <c r="AA136" i="29"/>
  <c r="AA135" i="29"/>
  <c r="AA134" i="29"/>
  <c r="AA133" i="29"/>
  <c r="AA132" i="29"/>
  <c r="AA131" i="29"/>
  <c r="AA130" i="29"/>
  <c r="AA129" i="29"/>
  <c r="AA128" i="29"/>
  <c r="AA127" i="29"/>
  <c r="AA126" i="29"/>
  <c r="AA125" i="29"/>
  <c r="AA124" i="29"/>
  <c r="AA123" i="29"/>
  <c r="AA122" i="29"/>
  <c r="AA121" i="29"/>
  <c r="AA120" i="29"/>
  <c r="AA119" i="29"/>
  <c r="AA118" i="29"/>
  <c r="AA117" i="29"/>
  <c r="AA116" i="29"/>
  <c r="AA115" i="29"/>
  <c r="AA114" i="29"/>
  <c r="AA113" i="29"/>
  <c r="AA112" i="29"/>
  <c r="AA111" i="29"/>
  <c r="AA110" i="29"/>
  <c r="AA109" i="29"/>
  <c r="AA108" i="29"/>
  <c r="AA107" i="29"/>
  <c r="AA106" i="29"/>
  <c r="AA105" i="29"/>
  <c r="AA104" i="29"/>
  <c r="AA103" i="29"/>
  <c r="AA102" i="29"/>
  <c r="AA101" i="29"/>
  <c r="AA100" i="29"/>
  <c r="AA99" i="29"/>
  <c r="AA98" i="29"/>
  <c r="AA97" i="29"/>
  <c r="AA96" i="29"/>
  <c r="AA95" i="29"/>
  <c r="AA94" i="29"/>
  <c r="AA93" i="29"/>
  <c r="AA92" i="29"/>
  <c r="AA91" i="29"/>
  <c r="AA90" i="29"/>
  <c r="AA89" i="29"/>
  <c r="AA88" i="29"/>
  <c r="AA87" i="29"/>
  <c r="AA86" i="29"/>
  <c r="AA85" i="29"/>
  <c r="AA84" i="29"/>
  <c r="AA83" i="29"/>
  <c r="AA82" i="29"/>
  <c r="AA81" i="29"/>
  <c r="AA80" i="29"/>
  <c r="AA79" i="29"/>
  <c r="AA78" i="29"/>
  <c r="AA77" i="29"/>
  <c r="AA76" i="29"/>
  <c r="AA75" i="29"/>
  <c r="AA74" i="29"/>
  <c r="AA73" i="29"/>
  <c r="AA72" i="29"/>
  <c r="AA71" i="29"/>
  <c r="AA70" i="29"/>
  <c r="AA69" i="29"/>
  <c r="AA68" i="29"/>
  <c r="AA67" i="29"/>
  <c r="AA66" i="29"/>
  <c r="AA65" i="29"/>
  <c r="AA64" i="29"/>
  <c r="AA63" i="29"/>
  <c r="AA62" i="29"/>
  <c r="AA61" i="29"/>
  <c r="AA60" i="29"/>
  <c r="AA59" i="29"/>
  <c r="AA58" i="29"/>
  <c r="AA57" i="29"/>
  <c r="AA56" i="29"/>
  <c r="AA55" i="29"/>
  <c r="AA54" i="29"/>
  <c r="AA53" i="29"/>
  <c r="AA52" i="29"/>
  <c r="AA51" i="29"/>
  <c r="AA50" i="29"/>
  <c r="AA49" i="29"/>
  <c r="AA48" i="29"/>
  <c r="AA47" i="29"/>
  <c r="AA46" i="29"/>
  <c r="AA45" i="29"/>
  <c r="AA44" i="29"/>
  <c r="AA43" i="29"/>
  <c r="AA42" i="29"/>
  <c r="AA41" i="29"/>
  <c r="AA40" i="29"/>
  <c r="AA39" i="29"/>
  <c r="AA38" i="29"/>
  <c r="AA37" i="29"/>
  <c r="AA36" i="29"/>
  <c r="AA35" i="29"/>
  <c r="AA34" i="29"/>
  <c r="AA33" i="29"/>
  <c r="AA32" i="29"/>
  <c r="AA31" i="29"/>
  <c r="AA30" i="29"/>
  <c r="AA29" i="29"/>
  <c r="AA28" i="29"/>
  <c r="AA27" i="29"/>
  <c r="AA26" i="29"/>
  <c r="AA25" i="29"/>
  <c r="AA24" i="29"/>
  <c r="AA23" i="29"/>
  <c r="AA22" i="29"/>
  <c r="AA21" i="29"/>
  <c r="AA20" i="29"/>
  <c r="AA19" i="29"/>
  <c r="AA18" i="29"/>
  <c r="AA17" i="29"/>
  <c r="AA16" i="29"/>
  <c r="AA15" i="29"/>
  <c r="AA14" i="29"/>
  <c r="AA13" i="29"/>
  <c r="AA12" i="29"/>
  <c r="AA11" i="29"/>
  <c r="AA10" i="29"/>
  <c r="AA9" i="29"/>
  <c r="AA8" i="29"/>
  <c r="AA7" i="29"/>
  <c r="AA6" i="29"/>
  <c r="AA5" i="29"/>
  <c r="Z5" i="29"/>
  <c r="P8" i="29"/>
  <c r="Q8" i="29" s="1"/>
  <c r="P6" i="29"/>
  <c r="Q6" i="29" s="1"/>
  <c r="P7" i="29"/>
  <c r="Q7" i="29" s="1"/>
  <c r="P9" i="29"/>
  <c r="Q9" i="29" s="1"/>
  <c r="P10" i="29"/>
  <c r="P11" i="29"/>
  <c r="Q11" i="29" s="1"/>
  <c r="P12" i="29"/>
  <c r="R12" i="29" s="1"/>
  <c r="P13" i="29"/>
  <c r="P14" i="29"/>
  <c r="Q14" i="29" s="1"/>
  <c r="P15" i="29"/>
  <c r="Q15" i="29" s="1"/>
  <c r="P16" i="29"/>
  <c r="Q16" i="29" s="1"/>
  <c r="P17" i="29"/>
  <c r="Q17" i="29" s="1"/>
  <c r="P18" i="29"/>
  <c r="P19" i="29"/>
  <c r="Q19" i="29" s="1"/>
  <c r="P20" i="29"/>
  <c r="Q20" i="29" s="1"/>
  <c r="P21" i="29"/>
  <c r="R21" i="29" s="1"/>
  <c r="P22" i="29"/>
  <c r="Q22" i="29" s="1"/>
  <c r="P23" i="29"/>
  <c r="Q23" i="29" s="1"/>
  <c r="P24" i="29"/>
  <c r="Q24" i="29" s="1"/>
  <c r="P25" i="29"/>
  <c r="P26" i="29"/>
  <c r="Q26" i="29" s="1"/>
  <c r="P27" i="29"/>
  <c r="R27" i="29" s="1"/>
  <c r="P28" i="29"/>
  <c r="Q28" i="29" s="1"/>
  <c r="P29" i="29"/>
  <c r="R29" i="29" s="1"/>
  <c r="P30" i="29"/>
  <c r="P31" i="29"/>
  <c r="P32" i="29"/>
  <c r="Q32" i="29" s="1"/>
  <c r="P33" i="29"/>
  <c r="Q33" i="29" s="1"/>
  <c r="P34" i="29"/>
  <c r="Q34" i="29" s="1"/>
  <c r="P35" i="29"/>
  <c r="R35" i="29" s="1"/>
  <c r="P36" i="29"/>
  <c r="P37" i="29"/>
  <c r="Q37" i="29" s="1"/>
  <c r="P38" i="29"/>
  <c r="P39" i="29"/>
  <c r="P40" i="29"/>
  <c r="R40" i="29" s="1"/>
  <c r="P41" i="29"/>
  <c r="Q41" i="29" s="1"/>
  <c r="P42" i="29"/>
  <c r="Q42" i="29" s="1"/>
  <c r="P43" i="29"/>
  <c r="R43" i="29" s="1"/>
  <c r="P44" i="29"/>
  <c r="P45" i="29"/>
  <c r="Q45" i="29" s="1"/>
  <c r="P46" i="29"/>
  <c r="P47" i="29"/>
  <c r="P48" i="29"/>
  <c r="Q48" i="29" s="1"/>
  <c r="P49" i="29"/>
  <c r="Q49" i="29" s="1"/>
  <c r="P50" i="29"/>
  <c r="Q50" i="29" s="1"/>
  <c r="P51" i="29"/>
  <c r="R51" i="29" s="1"/>
  <c r="P52" i="29"/>
  <c r="P53" i="29"/>
  <c r="Q53" i="29" s="1"/>
  <c r="P54" i="29"/>
  <c r="P55" i="29"/>
  <c r="Q55" i="29" s="1"/>
  <c r="P56" i="29"/>
  <c r="Q56" i="29" s="1"/>
  <c r="P57" i="29"/>
  <c r="R57" i="29" s="1"/>
  <c r="P58" i="29"/>
  <c r="P59" i="29"/>
  <c r="Q59" i="29" s="1"/>
  <c r="P60" i="29"/>
  <c r="R60" i="29" s="1"/>
  <c r="P61" i="29"/>
  <c r="Q61" i="29" s="1"/>
  <c r="P62" i="29"/>
  <c r="Q62" i="29" s="1"/>
  <c r="P63" i="29"/>
  <c r="Q63" i="29" s="1"/>
  <c r="P64" i="29"/>
  <c r="R64" i="29" s="1"/>
  <c r="P65" i="29"/>
  <c r="Q65" i="29" s="1"/>
  <c r="P66" i="29"/>
  <c r="P67" i="29"/>
  <c r="Q67" i="29" s="1"/>
  <c r="P68" i="29"/>
  <c r="P69" i="29"/>
  <c r="P70" i="29"/>
  <c r="R70" i="29" s="1"/>
  <c r="P71" i="29"/>
  <c r="Q71" i="29" s="1"/>
  <c r="P72" i="29"/>
  <c r="Q72" i="29" s="1"/>
  <c r="P73" i="29"/>
  <c r="Q73" i="29" s="1"/>
  <c r="P74" i="29"/>
  <c r="R74" i="29" s="1"/>
  <c r="P75" i="29"/>
  <c r="Q75" i="29" s="1"/>
  <c r="P76" i="29"/>
  <c r="P77" i="29"/>
  <c r="R77" i="29" s="1"/>
  <c r="P78" i="29"/>
  <c r="Q78" i="29" s="1"/>
  <c r="P79" i="29"/>
  <c r="R79" i="29" s="1"/>
  <c r="P80" i="29"/>
  <c r="Q80" i="29" s="1"/>
  <c r="P81" i="29"/>
  <c r="Q81" i="29" s="1"/>
  <c r="P82" i="29"/>
  <c r="R82" i="29" s="1"/>
  <c r="P83" i="29"/>
  <c r="Q83" i="29" s="1"/>
  <c r="P84" i="29"/>
  <c r="P85" i="29"/>
  <c r="R85" i="29" s="1"/>
  <c r="P86" i="29"/>
  <c r="Q86" i="29" s="1"/>
  <c r="P87" i="29"/>
  <c r="R87" i="29" s="1"/>
  <c r="P88" i="29"/>
  <c r="Q88" i="29" s="1"/>
  <c r="P89" i="29"/>
  <c r="Q89" i="29" s="1"/>
  <c r="P90" i="29"/>
  <c r="P91" i="29"/>
  <c r="R91" i="29" s="1"/>
  <c r="P92" i="29"/>
  <c r="Q92" i="29" s="1"/>
  <c r="P93" i="29"/>
  <c r="Q93" i="29" s="1"/>
  <c r="P94" i="29"/>
  <c r="P95" i="29"/>
  <c r="Q95" i="29" s="1"/>
  <c r="P96" i="29"/>
  <c r="P97" i="29"/>
  <c r="R97" i="29" s="1"/>
  <c r="P98" i="29"/>
  <c r="Q98" i="29" s="1"/>
  <c r="P99" i="29"/>
  <c r="Q99" i="29" s="1"/>
  <c r="P100" i="29"/>
  <c r="Q100" i="29" s="1"/>
  <c r="P101" i="29"/>
  <c r="R101" i="29" s="1"/>
  <c r="P102" i="29"/>
  <c r="Q102" i="29" s="1"/>
  <c r="P103" i="29"/>
  <c r="Q103" i="29" s="1"/>
  <c r="P104" i="29"/>
  <c r="R104" i="29" s="1"/>
  <c r="P105" i="29"/>
  <c r="Q105" i="29" s="1"/>
  <c r="P106" i="29"/>
  <c r="Q106" i="29" s="1"/>
  <c r="P107" i="29"/>
  <c r="Q107" i="29" s="1"/>
  <c r="P108" i="29"/>
  <c r="P109" i="29"/>
  <c r="P110" i="29"/>
  <c r="R110" i="29" s="1"/>
  <c r="P111" i="29"/>
  <c r="P112" i="29"/>
  <c r="Q112" i="29" s="1"/>
  <c r="P113" i="29"/>
  <c r="R113" i="29" s="1"/>
  <c r="P114" i="29"/>
  <c r="R114" i="29" s="1"/>
  <c r="P115" i="29"/>
  <c r="Q115" i="29" s="1"/>
  <c r="P116" i="29"/>
  <c r="R116" i="29" s="1"/>
  <c r="P117" i="29"/>
  <c r="R117" i="29" s="1"/>
  <c r="P118" i="29"/>
  <c r="R118" i="29" s="1"/>
  <c r="P119" i="29"/>
  <c r="P120" i="29"/>
  <c r="R120" i="29" s="1"/>
  <c r="P121" i="29"/>
  <c r="R121" i="29" s="1"/>
  <c r="P122" i="29"/>
  <c r="Q122" i="29" s="1"/>
  <c r="P123" i="29"/>
  <c r="Q123" i="29" s="1"/>
  <c r="P124" i="29"/>
  <c r="R124" i="29" s="1"/>
  <c r="P125" i="29"/>
  <c r="Q125" i="29" s="1"/>
  <c r="P126" i="29"/>
  <c r="R126" i="29" s="1"/>
  <c r="P127" i="29"/>
  <c r="P128" i="29"/>
  <c r="Q128" i="29" s="1"/>
  <c r="P129" i="29"/>
  <c r="R129" i="29" s="1"/>
  <c r="P130" i="29"/>
  <c r="Q130" i="29" s="1"/>
  <c r="P131" i="29"/>
  <c r="R131" i="29" s="1"/>
  <c r="P132" i="29"/>
  <c r="R132" i="29" s="1"/>
  <c r="P133" i="29"/>
  <c r="R133" i="29" s="1"/>
  <c r="P134" i="29"/>
  <c r="P135" i="29"/>
  <c r="Q135" i="29" s="1"/>
  <c r="P136" i="29"/>
  <c r="Q136" i="29" s="1"/>
  <c r="P137" i="29"/>
  <c r="P138" i="29"/>
  <c r="R138" i="29" s="1"/>
  <c r="P139" i="29"/>
  <c r="Q139" i="29" s="1"/>
  <c r="P140" i="29"/>
  <c r="R140" i="29" s="1"/>
  <c r="P141" i="29"/>
  <c r="Q141" i="29" s="1"/>
  <c r="P142" i="29"/>
  <c r="Q142" i="29" s="1"/>
  <c r="P143" i="29"/>
  <c r="Q143" i="29" s="1"/>
  <c r="P144" i="29"/>
  <c r="Q144" i="29" s="1"/>
  <c r="P145" i="29"/>
  <c r="P146" i="29"/>
  <c r="Q146" i="29" s="1"/>
  <c r="P147" i="29"/>
  <c r="Q147" i="29" s="1"/>
  <c r="P148" i="29"/>
  <c r="R148" i="29" s="1"/>
  <c r="P149" i="29"/>
  <c r="Q149" i="29" s="1"/>
  <c r="P150" i="29"/>
  <c r="Q150" i="29" s="1"/>
  <c r="P151" i="29"/>
  <c r="Q151" i="29" s="1"/>
  <c r="P152" i="29"/>
  <c r="P153" i="29"/>
  <c r="Q153" i="29" s="1"/>
  <c r="P154" i="29"/>
  <c r="R154" i="29" s="1"/>
  <c r="P155" i="29"/>
  <c r="R155" i="29" s="1"/>
  <c r="P156" i="29"/>
  <c r="R156" i="29" s="1"/>
  <c r="P157" i="29"/>
  <c r="Q157" i="29" s="1"/>
  <c r="P158" i="29"/>
  <c r="Q158" i="29" s="1"/>
  <c r="P159" i="29"/>
  <c r="R159" i="29" s="1"/>
  <c r="P160" i="29"/>
  <c r="P161" i="29"/>
  <c r="R161" i="29" s="1"/>
  <c r="P162" i="29"/>
  <c r="R162" i="29" s="1"/>
  <c r="P163" i="29"/>
  <c r="Q163" i="29" s="1"/>
  <c r="P164" i="29"/>
  <c r="R164" i="29" s="1"/>
  <c r="P165" i="29"/>
  <c r="P166" i="29"/>
  <c r="R166" i="29" s="1"/>
  <c r="P167" i="29"/>
  <c r="R167" i="29" s="1"/>
  <c r="P168" i="29"/>
  <c r="P169" i="29"/>
  <c r="R169" i="29" s="1"/>
  <c r="P170" i="29"/>
  <c r="R170" i="29" s="1"/>
  <c r="P171" i="29"/>
  <c r="Q171" i="29" s="1"/>
  <c r="P172" i="29"/>
  <c r="P173" i="29"/>
  <c r="Q173" i="29" s="1"/>
  <c r="P174" i="29"/>
  <c r="R174" i="29" s="1"/>
  <c r="P175" i="29"/>
  <c r="R175" i="29" s="1"/>
  <c r="P176" i="29"/>
  <c r="P177" i="29"/>
  <c r="Q177" i="29" s="1"/>
  <c r="P178" i="29"/>
  <c r="R178" i="29" s="1"/>
  <c r="P179" i="29"/>
  <c r="Q179" i="29" s="1"/>
  <c r="P180" i="29"/>
  <c r="R180" i="29" s="1"/>
  <c r="P181" i="29"/>
  <c r="Q181" i="29" s="1"/>
  <c r="P182" i="29"/>
  <c r="Q182" i="29" s="1"/>
  <c r="P183" i="29"/>
  <c r="R183" i="29" s="1"/>
  <c r="P184" i="29"/>
  <c r="R184" i="29" s="1"/>
  <c r="P185" i="29"/>
  <c r="Q185" i="29" s="1"/>
  <c r="P186" i="29"/>
  <c r="P187" i="29"/>
  <c r="P188" i="29"/>
  <c r="R188" i="29" s="1"/>
  <c r="P189" i="29"/>
  <c r="Q189" i="29" s="1"/>
  <c r="P190" i="29"/>
  <c r="R190" i="29" s="1"/>
  <c r="P191" i="29"/>
  <c r="R191" i="29" s="1"/>
  <c r="P192" i="29"/>
  <c r="R192" i="29" s="1"/>
  <c r="P193" i="29"/>
  <c r="Q193" i="29" s="1"/>
  <c r="P194" i="29"/>
  <c r="Q194" i="29" s="1"/>
  <c r="P195" i="29"/>
  <c r="R195" i="29" s="1"/>
  <c r="P196" i="29"/>
  <c r="Q196" i="29" s="1"/>
  <c r="P197" i="29"/>
  <c r="R197" i="29" s="1"/>
  <c r="P198" i="29"/>
  <c r="Q198" i="29" s="1"/>
  <c r="P199" i="29"/>
  <c r="R199" i="29" s="1"/>
  <c r="P200" i="29"/>
  <c r="R200" i="29" s="1"/>
  <c r="P201" i="29"/>
  <c r="R201" i="29" s="1"/>
  <c r="P202" i="29"/>
  <c r="P203" i="29"/>
  <c r="P204" i="29"/>
  <c r="R204" i="29" s="1"/>
  <c r="P205" i="29"/>
  <c r="Q205" i="29" s="1"/>
  <c r="P206" i="29"/>
  <c r="R206" i="29" s="1"/>
  <c r="P207" i="29"/>
  <c r="R207" i="29" s="1"/>
  <c r="P208" i="29"/>
  <c r="P209" i="29"/>
  <c r="Q209" i="29" s="1"/>
  <c r="P210" i="29"/>
  <c r="Q210" i="29" s="1"/>
  <c r="P211" i="29"/>
  <c r="Q211" i="29" s="1"/>
  <c r="P212" i="29"/>
  <c r="R212" i="29" s="1"/>
  <c r="P213" i="29"/>
  <c r="R213" i="29" s="1"/>
  <c r="P214" i="29"/>
  <c r="R214" i="29" s="1"/>
  <c r="P215" i="29"/>
  <c r="R215" i="29" s="1"/>
  <c r="P216" i="29"/>
  <c r="R216" i="29" s="1"/>
  <c r="P217" i="29"/>
  <c r="P218" i="29"/>
  <c r="P219" i="29"/>
  <c r="R219" i="29" s="1"/>
  <c r="P220" i="29"/>
  <c r="Q220" i="29" s="1"/>
  <c r="P221" i="29"/>
  <c r="Q221" i="29" s="1"/>
  <c r="P222" i="29"/>
  <c r="Q222" i="29" s="1"/>
  <c r="P223" i="29"/>
  <c r="R223" i="29" s="1"/>
  <c r="P224" i="29"/>
  <c r="Q224" i="29" s="1"/>
  <c r="P225" i="29"/>
  <c r="Q225" i="29" s="1"/>
  <c r="P226" i="29"/>
  <c r="P227" i="29"/>
  <c r="Q227" i="29" s="1"/>
  <c r="P228" i="29"/>
  <c r="R228" i="29" s="1"/>
  <c r="P229" i="29"/>
  <c r="R229" i="29" s="1"/>
  <c r="P230" i="29"/>
  <c r="R230" i="29" s="1"/>
  <c r="P231" i="29"/>
  <c r="Q231" i="29" s="1"/>
  <c r="P232" i="29"/>
  <c r="Q232" i="29" s="1"/>
  <c r="P233" i="29"/>
  <c r="R233" i="29" s="1"/>
  <c r="P234" i="29"/>
  <c r="R234" i="29" s="1"/>
  <c r="P235" i="29"/>
  <c r="R235" i="29" s="1"/>
  <c r="P236" i="29"/>
  <c r="R236" i="29" s="1"/>
  <c r="P237" i="29"/>
  <c r="P238" i="29"/>
  <c r="P239" i="29"/>
  <c r="P240" i="29"/>
  <c r="R240" i="29" s="1"/>
  <c r="P241" i="29"/>
  <c r="Q241" i="29" s="1"/>
  <c r="P242" i="29"/>
  <c r="Q242" i="29" s="1"/>
  <c r="P243" i="29"/>
  <c r="Q243" i="29" s="1"/>
  <c r="P244" i="29"/>
  <c r="Q244" i="29" s="1"/>
  <c r="P245" i="29"/>
  <c r="P246" i="29"/>
  <c r="R246" i="29" s="1"/>
  <c r="P247" i="29"/>
  <c r="R247" i="29" s="1"/>
  <c r="P248" i="29"/>
  <c r="Q248" i="29" s="1"/>
  <c r="P249" i="29"/>
  <c r="P250" i="29"/>
  <c r="Q250" i="29" s="1"/>
  <c r="P251" i="29"/>
  <c r="Q251" i="29" s="1"/>
  <c r="P252" i="29"/>
  <c r="R252" i="29" s="1"/>
  <c r="P253" i="29"/>
  <c r="R253" i="29" s="1"/>
  <c r="P254" i="29"/>
  <c r="R254" i="29" s="1"/>
  <c r="P255" i="29"/>
  <c r="Q255" i="29" s="1"/>
  <c r="P256" i="29"/>
  <c r="Q256" i="29" s="1"/>
  <c r="P257" i="29"/>
  <c r="Q257" i="29" s="1"/>
  <c r="P258" i="29"/>
  <c r="R258" i="29" s="1"/>
  <c r="P259" i="29"/>
  <c r="R259" i="29" s="1"/>
  <c r="P260" i="29"/>
  <c r="R260" i="29" s="1"/>
  <c r="P261" i="29"/>
  <c r="R261" i="29" s="1"/>
  <c r="P262" i="29"/>
  <c r="P263" i="29"/>
  <c r="P264" i="29"/>
  <c r="Q264" i="29" s="1"/>
  <c r="P265" i="29"/>
  <c r="Q265" i="29" s="1"/>
  <c r="P266" i="29"/>
  <c r="Q266" i="29" s="1"/>
  <c r="P267" i="29"/>
  <c r="Q267" i="29" s="1"/>
  <c r="P268" i="29"/>
  <c r="Q268" i="29" s="1"/>
  <c r="P269" i="29"/>
  <c r="R269" i="29" s="1"/>
  <c r="P270" i="29"/>
  <c r="P271" i="29"/>
  <c r="Q271" i="29" s="1"/>
  <c r="P272" i="29"/>
  <c r="Q272" i="29" s="1"/>
  <c r="P273" i="29"/>
  <c r="Q273" i="29" s="1"/>
  <c r="P274" i="29"/>
  <c r="Q274" i="29" s="1"/>
  <c r="P275" i="29"/>
  <c r="Q275" i="29" s="1"/>
  <c r="P276" i="29"/>
  <c r="Q276" i="29" s="1"/>
  <c r="P277" i="29"/>
  <c r="P278" i="29"/>
  <c r="P279" i="29"/>
  <c r="Q279" i="29" s="1"/>
  <c r="P280" i="29"/>
  <c r="Q280" i="29" s="1"/>
  <c r="P281" i="29"/>
  <c r="Q281" i="29" s="1"/>
  <c r="P282" i="29"/>
  <c r="Q282" i="29" s="1"/>
  <c r="P283" i="29"/>
  <c r="R283" i="29" s="1"/>
  <c r="P284" i="29"/>
  <c r="Q284" i="29" s="1"/>
  <c r="P285" i="29"/>
  <c r="P286" i="29"/>
  <c r="R286" i="29" s="1"/>
  <c r="P287" i="29"/>
  <c r="Q287" i="29" s="1"/>
  <c r="P288" i="29"/>
  <c r="Q288" i="29" s="1"/>
  <c r="P289" i="29"/>
  <c r="R289" i="29" s="1"/>
  <c r="P290" i="29"/>
  <c r="Q290" i="29" s="1"/>
  <c r="P291" i="29"/>
  <c r="Q291" i="29" s="1"/>
  <c r="P292" i="29"/>
  <c r="P293" i="29"/>
  <c r="P294" i="29"/>
  <c r="P295" i="29"/>
  <c r="R295" i="29" s="1"/>
  <c r="P296" i="29"/>
  <c r="Q296" i="29" s="1"/>
  <c r="P297" i="29"/>
  <c r="Q297" i="29" s="1"/>
  <c r="P298" i="29"/>
  <c r="Q298" i="29" s="1"/>
  <c r="P299" i="29"/>
  <c r="R299" i="29" s="1"/>
  <c r="P300" i="29"/>
  <c r="R300" i="29" s="1"/>
  <c r="P301" i="29"/>
  <c r="P302" i="29"/>
  <c r="Q302" i="29" s="1"/>
  <c r="P303" i="29"/>
  <c r="Q303" i="29" s="1"/>
  <c r="P304" i="29"/>
  <c r="Q304" i="29" s="1"/>
  <c r="P305" i="29"/>
  <c r="Q305" i="29" s="1"/>
  <c r="P306" i="29"/>
  <c r="Q306" i="29" s="1"/>
  <c r="P307" i="29"/>
  <c r="Q307" i="29" s="1"/>
  <c r="P308" i="29"/>
  <c r="P309" i="29"/>
  <c r="Q309" i="29" s="1"/>
  <c r="P310" i="29"/>
  <c r="Q310" i="29" s="1"/>
  <c r="P311" i="29"/>
  <c r="P312" i="29"/>
  <c r="R312" i="29" s="1"/>
  <c r="P313" i="29"/>
  <c r="Q313" i="29" s="1"/>
  <c r="P314" i="29"/>
  <c r="R314" i="29" s="1"/>
  <c r="P315" i="29"/>
  <c r="Q315" i="29" s="1"/>
  <c r="P316" i="29"/>
  <c r="Q316" i="29" s="1"/>
  <c r="P317" i="29"/>
  <c r="Q317" i="29" s="1"/>
  <c r="P318" i="29"/>
  <c r="P319" i="29"/>
  <c r="Q319" i="29" s="1"/>
  <c r="P320" i="29"/>
  <c r="Q320" i="29" s="1"/>
  <c r="P321" i="29"/>
  <c r="Q321" i="29" s="1"/>
  <c r="P322" i="29"/>
  <c r="R322" i="29" s="1"/>
  <c r="P323" i="29"/>
  <c r="Q323" i="29" s="1"/>
  <c r="P324" i="29"/>
  <c r="Q324" i="29" s="1"/>
  <c r="P325" i="29"/>
  <c r="Q325" i="29" s="1"/>
  <c r="P326" i="29"/>
  <c r="P327" i="29"/>
  <c r="Q327" i="29" s="1"/>
  <c r="P328" i="29"/>
  <c r="R328" i="29" s="1"/>
  <c r="P329" i="29"/>
  <c r="Q329" i="29" s="1"/>
  <c r="P330" i="29"/>
  <c r="R330" i="29" s="1"/>
  <c r="P331" i="29"/>
  <c r="Q331" i="29" s="1"/>
  <c r="P332" i="29"/>
  <c r="Q332" i="29" s="1"/>
  <c r="P333" i="29"/>
  <c r="Q333" i="29" s="1"/>
  <c r="P334" i="29"/>
  <c r="P335" i="29"/>
  <c r="R335" i="29" s="1"/>
  <c r="P336" i="29"/>
  <c r="R336" i="29" s="1"/>
  <c r="P337" i="29"/>
  <c r="R337" i="29" s="1"/>
  <c r="P338" i="29"/>
  <c r="R338" i="29" s="1"/>
  <c r="P339" i="29"/>
  <c r="Q339" i="29" s="1"/>
  <c r="P340" i="29"/>
  <c r="Q340" i="29" s="1"/>
  <c r="P341" i="29"/>
  <c r="R341" i="29" s="1"/>
  <c r="P342" i="29"/>
  <c r="Q342" i="29" s="1"/>
  <c r="P343" i="29"/>
  <c r="R343" i="29" s="1"/>
  <c r="P344" i="29"/>
  <c r="R344" i="29" s="1"/>
  <c r="P345" i="29"/>
  <c r="Q345" i="29" s="1"/>
  <c r="P346" i="29"/>
  <c r="P347" i="29"/>
  <c r="R347" i="29" s="1"/>
  <c r="P348" i="29"/>
  <c r="R348" i="29" s="1"/>
  <c r="P349" i="29"/>
  <c r="R349" i="29" s="1"/>
  <c r="P350" i="29"/>
  <c r="Q350" i="29" s="1"/>
  <c r="P351" i="29"/>
  <c r="Q351" i="29" s="1"/>
  <c r="P352" i="29"/>
  <c r="R352" i="29" s="1"/>
  <c r="P353" i="29"/>
  <c r="Q353" i="29" s="1"/>
  <c r="P354" i="29"/>
  <c r="Q354" i="29" s="1"/>
  <c r="P355" i="29"/>
  <c r="R355" i="29" s="1"/>
  <c r="P356" i="29"/>
  <c r="Q356" i="29" s="1"/>
  <c r="P357" i="29"/>
  <c r="R357" i="29" s="1"/>
  <c r="P358" i="29"/>
  <c r="Q358" i="29" s="1"/>
  <c r="P359" i="29"/>
  <c r="R359" i="29" s="1"/>
  <c r="P360" i="29"/>
  <c r="P361" i="29"/>
  <c r="Q361" i="29" s="1"/>
  <c r="P362" i="29"/>
  <c r="R362" i="29" s="1"/>
  <c r="P363" i="29"/>
  <c r="Q363" i="29" s="1"/>
  <c r="P364" i="29"/>
  <c r="R364" i="29" s="1"/>
  <c r="P365" i="29"/>
  <c r="Q365" i="29" s="1"/>
  <c r="P366" i="29"/>
  <c r="R366" i="29" s="1"/>
  <c r="P367" i="29"/>
  <c r="R367" i="29" s="1"/>
  <c r="P368" i="29"/>
  <c r="R368" i="29" s="1"/>
  <c r="P369" i="29"/>
  <c r="Q369" i="29" s="1"/>
  <c r="P370" i="29"/>
  <c r="R370" i="29" s="1"/>
  <c r="P371" i="29"/>
  <c r="R371" i="29" s="1"/>
  <c r="P372" i="29"/>
  <c r="R372" i="29" s="1"/>
  <c r="P373" i="29"/>
  <c r="R373" i="29" s="1"/>
  <c r="P374" i="29"/>
  <c r="R374" i="29" s="1"/>
  <c r="P375" i="29"/>
  <c r="Q375" i="29" s="1"/>
  <c r="P376" i="29"/>
  <c r="R376" i="29" s="1"/>
  <c r="P377" i="29"/>
  <c r="Q377" i="29" s="1"/>
  <c r="P378" i="29"/>
  <c r="Q378" i="29" s="1"/>
  <c r="P379" i="29"/>
  <c r="R379" i="29" s="1"/>
  <c r="BI384" i="29" l="1"/>
  <c r="BU384" i="29"/>
  <c r="BM384" i="29"/>
  <c r="BN384" i="29"/>
  <c r="BL384" i="29"/>
  <c r="Z2" i="29"/>
  <c r="Q5" i="29"/>
  <c r="P2" i="29"/>
  <c r="AA2" i="29"/>
  <c r="Q27" i="29"/>
  <c r="T27" i="29" s="1"/>
  <c r="AC27" i="29" s="1"/>
  <c r="R75" i="29"/>
  <c r="T75" i="29" s="1"/>
  <c r="V75" i="29" s="1"/>
  <c r="Q336" i="29"/>
  <c r="T336" i="29" s="1"/>
  <c r="Q116" i="29"/>
  <c r="T116" i="29" s="1"/>
  <c r="R284" i="29"/>
  <c r="T284" i="29" s="1"/>
  <c r="AC284" i="29" s="1"/>
  <c r="R151" i="29"/>
  <c r="T151" i="29" s="1"/>
  <c r="U151" i="29" s="1"/>
  <c r="Q201" i="29"/>
  <c r="T201" i="29" s="1"/>
  <c r="U201" i="29" s="1"/>
  <c r="R198" i="29"/>
  <c r="T198" i="29" s="1"/>
  <c r="Q79" i="29"/>
  <c r="T79" i="29" s="1"/>
  <c r="U79" i="29" s="1"/>
  <c r="Q289" i="29"/>
  <c r="T289" i="29" s="1"/>
  <c r="U289" i="29" s="1"/>
  <c r="R342" i="29"/>
  <c r="T342" i="29" s="1"/>
  <c r="AC342" i="29" s="1"/>
  <c r="R287" i="29"/>
  <c r="T287" i="29" s="1"/>
  <c r="Q230" i="29"/>
  <c r="T230" i="29" s="1"/>
  <c r="R209" i="29"/>
  <c r="T209" i="29" s="1"/>
  <c r="U209" i="29" s="1"/>
  <c r="Q197" i="29"/>
  <c r="T197" i="29" s="1"/>
  <c r="R365" i="29"/>
  <c r="T365" i="29" s="1"/>
  <c r="R313" i="29"/>
  <c r="T313" i="29" s="1"/>
  <c r="U313" i="29" s="1"/>
  <c r="Q235" i="29"/>
  <c r="T235" i="29" s="1"/>
  <c r="Q229" i="29"/>
  <c r="T229" i="29" s="1"/>
  <c r="Q214" i="29"/>
  <c r="T214" i="29" s="1"/>
  <c r="V214" i="29" s="1"/>
  <c r="R173" i="29"/>
  <c r="T173" i="29" s="1"/>
  <c r="V173" i="29" s="1"/>
  <c r="R356" i="29"/>
  <c r="T356" i="29" s="1"/>
  <c r="R302" i="29"/>
  <c r="T302" i="29" s="1"/>
  <c r="U302" i="29" s="1"/>
  <c r="R321" i="29"/>
  <c r="T321" i="29" s="1"/>
  <c r="AC321" i="29" s="1"/>
  <c r="R147" i="29"/>
  <c r="T147" i="29" s="1"/>
  <c r="Q74" i="29"/>
  <c r="T74" i="29" s="1"/>
  <c r="Q85" i="29"/>
  <c r="T85" i="29" s="1"/>
  <c r="R332" i="29"/>
  <c r="T332" i="29" s="1"/>
  <c r="U332" i="29" s="1"/>
  <c r="R305" i="29"/>
  <c r="T305" i="29" s="1"/>
  <c r="V305" i="29" s="1"/>
  <c r="R41" i="29"/>
  <c r="T41" i="29" s="1"/>
  <c r="R377" i="29"/>
  <c r="T377" i="29" s="1"/>
  <c r="U377" i="29" s="1"/>
  <c r="Q286" i="29"/>
  <c r="T286" i="29" s="1"/>
  <c r="U286" i="29" s="1"/>
  <c r="R280" i="29"/>
  <c r="T280" i="29" s="1"/>
  <c r="U280" i="29" s="1"/>
  <c r="R274" i="29"/>
  <c r="T274" i="29" s="1"/>
  <c r="R268" i="29"/>
  <c r="T268" i="29" s="1"/>
  <c r="AC268" i="29" s="1"/>
  <c r="Q234" i="29"/>
  <c r="T234" i="29" s="1"/>
  <c r="Q133" i="29"/>
  <c r="T133" i="29" s="1"/>
  <c r="R296" i="29"/>
  <c r="T296" i="29" s="1"/>
  <c r="R273" i="29"/>
  <c r="T273" i="29" s="1"/>
  <c r="U273" i="29" s="1"/>
  <c r="Q132" i="29"/>
  <c r="T132" i="29" s="1"/>
  <c r="R112" i="29"/>
  <c r="T112" i="29" s="1"/>
  <c r="Q374" i="29"/>
  <c r="T374" i="29" s="1"/>
  <c r="R340" i="29"/>
  <c r="T340" i="29" s="1"/>
  <c r="Q199" i="29"/>
  <c r="T199" i="29" s="1"/>
  <c r="V199" i="29" s="1"/>
  <c r="R179" i="29"/>
  <c r="T179" i="29" s="1"/>
  <c r="U179" i="29" s="1"/>
  <c r="R136" i="29"/>
  <c r="T136" i="29" s="1"/>
  <c r="Q131" i="29"/>
  <c r="T131" i="29" s="1"/>
  <c r="R221" i="29"/>
  <c r="T221" i="29" s="1"/>
  <c r="V221" i="29" s="1"/>
  <c r="Q376" i="29"/>
  <c r="T376" i="29" s="1"/>
  <c r="R351" i="29"/>
  <c r="T351" i="29" s="1"/>
  <c r="U351" i="29" s="1"/>
  <c r="Q344" i="29"/>
  <c r="T344" i="29" s="1"/>
  <c r="R329" i="29"/>
  <c r="T329" i="29" s="1"/>
  <c r="U329" i="29" s="1"/>
  <c r="R304" i="29"/>
  <c r="T304" i="29" s="1"/>
  <c r="U304" i="29" s="1"/>
  <c r="Q299" i="29"/>
  <c r="T299" i="29" s="1"/>
  <c r="Q283" i="29"/>
  <c r="T283" i="29" s="1"/>
  <c r="U283" i="29" s="1"/>
  <c r="R272" i="29"/>
  <c r="T272" i="29" s="1"/>
  <c r="R89" i="29"/>
  <c r="T89" i="29" s="1"/>
  <c r="U89" i="29" s="1"/>
  <c r="R33" i="29"/>
  <c r="T33" i="29" s="1"/>
  <c r="R59" i="29"/>
  <c r="T59" i="29" s="1"/>
  <c r="R303" i="29"/>
  <c r="T303" i="29" s="1"/>
  <c r="R291" i="29"/>
  <c r="T291" i="29" s="1"/>
  <c r="R271" i="29"/>
  <c r="T271" i="29" s="1"/>
  <c r="U271" i="29" s="1"/>
  <c r="R265" i="29"/>
  <c r="T265" i="29" s="1"/>
  <c r="V265" i="29" s="1"/>
  <c r="Q260" i="29"/>
  <c r="T260" i="29" s="1"/>
  <c r="Q236" i="29"/>
  <c r="T236" i="29" s="1"/>
  <c r="AC236" i="29" s="1"/>
  <c r="R220" i="29"/>
  <c r="T220" i="29" s="1"/>
  <c r="R157" i="29"/>
  <c r="T157" i="29" s="1"/>
  <c r="Q126" i="29"/>
  <c r="T126" i="29" s="1"/>
  <c r="U126" i="29" s="1"/>
  <c r="Q110" i="29"/>
  <c r="T110" i="29" s="1"/>
  <c r="Q104" i="29"/>
  <c r="T104" i="29" s="1"/>
  <c r="U104" i="29" s="1"/>
  <c r="R92" i="29"/>
  <c r="T92" i="29" s="1"/>
  <c r="AC92" i="29" s="1"/>
  <c r="R49" i="29"/>
  <c r="T49" i="29" s="1"/>
  <c r="R264" i="29"/>
  <c r="T264" i="29" s="1"/>
  <c r="Q348" i="29"/>
  <c r="T348" i="29" s="1"/>
  <c r="U348" i="29" s="1"/>
  <c r="Q341" i="29"/>
  <c r="T341" i="29" s="1"/>
  <c r="Q252" i="29"/>
  <c r="T252" i="29" s="1"/>
  <c r="R205" i="29"/>
  <c r="T205" i="29" s="1"/>
  <c r="Q174" i="29"/>
  <c r="T174" i="29" s="1"/>
  <c r="R102" i="29"/>
  <c r="T102" i="29" s="1"/>
  <c r="Q91" i="29"/>
  <c r="T91" i="29" s="1"/>
  <c r="AC91" i="29" s="1"/>
  <c r="Q35" i="29"/>
  <c r="T35" i="29" s="1"/>
  <c r="AC35" i="29" s="1"/>
  <c r="R20" i="29"/>
  <c r="T20" i="29" s="1"/>
  <c r="Q362" i="29"/>
  <c r="T362" i="29" s="1"/>
  <c r="Q357" i="29"/>
  <c r="T357" i="29" s="1"/>
  <c r="R353" i="29"/>
  <c r="T353" i="29" s="1"/>
  <c r="Q328" i="29"/>
  <c r="T328" i="29" s="1"/>
  <c r="U328" i="29" s="1"/>
  <c r="Q312" i="29"/>
  <c r="T312" i="29" s="1"/>
  <c r="Q295" i="29"/>
  <c r="T295" i="29" s="1"/>
  <c r="Q240" i="29"/>
  <c r="T240" i="29" s="1"/>
  <c r="V240" i="29" s="1"/>
  <c r="Q215" i="29"/>
  <c r="T215" i="29" s="1"/>
  <c r="R193" i="29"/>
  <c r="T193" i="29" s="1"/>
  <c r="Q183" i="29"/>
  <c r="T183" i="29" s="1"/>
  <c r="V183" i="29" s="1"/>
  <c r="Q169" i="29"/>
  <c r="T169" i="29" s="1"/>
  <c r="R163" i="29"/>
  <c r="T163" i="29" s="1"/>
  <c r="U163" i="29" s="1"/>
  <c r="R158" i="29"/>
  <c r="T158" i="29" s="1"/>
  <c r="R122" i="29"/>
  <c r="T122" i="29" s="1"/>
  <c r="Q117" i="29"/>
  <c r="T117" i="29" s="1"/>
  <c r="Q101" i="29"/>
  <c r="T101" i="29" s="1"/>
  <c r="R45" i="29"/>
  <c r="T45" i="29" s="1"/>
  <c r="U45" i="29" s="1"/>
  <c r="Q40" i="29"/>
  <c r="T40" i="29" s="1"/>
  <c r="Q21" i="29"/>
  <c r="T21" i="29" s="1"/>
  <c r="U21" i="29" s="1"/>
  <c r="R9" i="29"/>
  <c r="T9" i="29" s="1"/>
  <c r="R375" i="29"/>
  <c r="T375" i="29" s="1"/>
  <c r="Q352" i="29"/>
  <c r="T352" i="29" s="1"/>
  <c r="Q335" i="29"/>
  <c r="T335" i="29" s="1"/>
  <c r="Q314" i="29"/>
  <c r="T314" i="29" s="1"/>
  <c r="R288" i="29"/>
  <c r="T288" i="29" s="1"/>
  <c r="U288" i="29" s="1"/>
  <c r="R279" i="29"/>
  <c r="T279" i="29" s="1"/>
  <c r="Q253" i="29"/>
  <c r="T253" i="29" s="1"/>
  <c r="R244" i="29"/>
  <c r="T244" i="29" s="1"/>
  <c r="V244" i="29" s="1"/>
  <c r="Q223" i="29"/>
  <c r="T223" i="29" s="1"/>
  <c r="U223" i="29" s="1"/>
  <c r="R185" i="29"/>
  <c r="T185" i="29" s="1"/>
  <c r="R182" i="29"/>
  <c r="T182" i="29" s="1"/>
  <c r="U182" i="29" s="1"/>
  <c r="Q140" i="29"/>
  <c r="T140" i="29" s="1"/>
  <c r="U140" i="29" s="1"/>
  <c r="R130" i="29"/>
  <c r="T130" i="29" s="1"/>
  <c r="V130" i="29" s="1"/>
  <c r="R125" i="29"/>
  <c r="T125" i="29" s="1"/>
  <c r="R99" i="29"/>
  <c r="T99" i="29" s="1"/>
  <c r="V99" i="29" s="1"/>
  <c r="Q64" i="29"/>
  <c r="T64" i="29" s="1"/>
  <c r="R53" i="29"/>
  <c r="T53" i="29" s="1"/>
  <c r="U53" i="29" s="1"/>
  <c r="Q359" i="29"/>
  <c r="T359" i="29" s="1"/>
  <c r="Q355" i="29"/>
  <c r="T355" i="29" s="1"/>
  <c r="U355" i="29" s="1"/>
  <c r="Q347" i="29"/>
  <c r="T347" i="29" s="1"/>
  <c r="R345" i="29"/>
  <c r="T345" i="29" s="1"/>
  <c r="U345" i="29" s="1"/>
  <c r="Q338" i="29"/>
  <c r="T338" i="29" s="1"/>
  <c r="V338" i="29" s="1"/>
  <c r="R325" i="29"/>
  <c r="T325" i="29" s="1"/>
  <c r="V325" i="29" s="1"/>
  <c r="R310" i="29"/>
  <c r="T310" i="29" s="1"/>
  <c r="V310" i="29" s="1"/>
  <c r="Q247" i="29"/>
  <c r="T247" i="29" s="1"/>
  <c r="Q228" i="29"/>
  <c r="T228" i="29" s="1"/>
  <c r="Q213" i="29"/>
  <c r="T213" i="29" s="1"/>
  <c r="R196" i="29"/>
  <c r="T196" i="29" s="1"/>
  <c r="Q190" i="29"/>
  <c r="T190" i="29" s="1"/>
  <c r="Q166" i="29"/>
  <c r="T166" i="29" s="1"/>
  <c r="R146" i="29"/>
  <c r="T146" i="29" s="1"/>
  <c r="Q120" i="29"/>
  <c r="T120" i="29" s="1"/>
  <c r="R115" i="29"/>
  <c r="T115" i="29" s="1"/>
  <c r="R83" i="29"/>
  <c r="T83" i="29" s="1"/>
  <c r="Q70" i="29"/>
  <c r="T70" i="29" s="1"/>
  <c r="AC70" i="29" s="1"/>
  <c r="R48" i="29"/>
  <c r="T48" i="29" s="1"/>
  <c r="AC48" i="29" s="1"/>
  <c r="R37" i="29"/>
  <c r="T37" i="29" s="1"/>
  <c r="V37" i="29" s="1"/>
  <c r="R28" i="29"/>
  <c r="T28" i="29" s="1"/>
  <c r="Q12" i="29"/>
  <c r="T12" i="29" s="1"/>
  <c r="R5" i="29"/>
  <c r="Q368" i="29"/>
  <c r="T368" i="29" s="1"/>
  <c r="U368" i="29" s="1"/>
  <c r="R358" i="29"/>
  <c r="T358" i="29" s="1"/>
  <c r="R354" i="29"/>
  <c r="T354" i="29" s="1"/>
  <c r="Q337" i="29"/>
  <c r="T337" i="29" s="1"/>
  <c r="Q261" i="29"/>
  <c r="T261" i="29" s="1"/>
  <c r="AC261" i="29" s="1"/>
  <c r="R227" i="29"/>
  <c r="T227" i="29" s="1"/>
  <c r="Q216" i="29"/>
  <c r="T216" i="29" s="1"/>
  <c r="Q212" i="29"/>
  <c r="T212" i="29" s="1"/>
  <c r="Q206" i="29"/>
  <c r="T206" i="29" s="1"/>
  <c r="Q184" i="29"/>
  <c r="T184" i="29" s="1"/>
  <c r="U184" i="29" s="1"/>
  <c r="R181" i="29"/>
  <c r="T181" i="29" s="1"/>
  <c r="Q159" i="29"/>
  <c r="T159" i="29" s="1"/>
  <c r="V159" i="29" s="1"/>
  <c r="R153" i="29"/>
  <c r="T153" i="29" s="1"/>
  <c r="Q138" i="29"/>
  <c r="T138" i="29" s="1"/>
  <c r="V138" i="29" s="1"/>
  <c r="Q114" i="29"/>
  <c r="T114" i="29" s="1"/>
  <c r="Q87" i="29"/>
  <c r="T87" i="29" s="1"/>
  <c r="Q82" i="29"/>
  <c r="T82" i="29" s="1"/>
  <c r="Q57" i="29"/>
  <c r="T57" i="29" s="1"/>
  <c r="Q51" i="29"/>
  <c r="T51" i="29" s="1"/>
  <c r="Q372" i="29"/>
  <c r="T372" i="29" s="1"/>
  <c r="Q370" i="29"/>
  <c r="T370" i="29" s="1"/>
  <c r="U370" i="29" s="1"/>
  <c r="Q343" i="29"/>
  <c r="T343" i="29" s="1"/>
  <c r="U343" i="29" s="1"/>
  <c r="Q322" i="29"/>
  <c r="T322" i="29" s="1"/>
  <c r="V322" i="29" s="1"/>
  <c r="Q300" i="29"/>
  <c r="T300" i="29" s="1"/>
  <c r="Q269" i="29"/>
  <c r="T269" i="29" s="1"/>
  <c r="U269" i="29" s="1"/>
  <c r="Q254" i="29"/>
  <c r="T254" i="29" s="1"/>
  <c r="U254" i="29" s="1"/>
  <c r="R251" i="29"/>
  <c r="T251" i="29" s="1"/>
  <c r="Q191" i="29"/>
  <c r="T191" i="29" s="1"/>
  <c r="AC191" i="29" s="1"/>
  <c r="R171" i="29"/>
  <c r="T171" i="29" s="1"/>
  <c r="U171" i="29" s="1"/>
  <c r="Q167" i="29"/>
  <c r="T167" i="29" s="1"/>
  <c r="AC167" i="29" s="1"/>
  <c r="Q154" i="29"/>
  <c r="T154" i="29" s="1"/>
  <c r="AC154" i="29" s="1"/>
  <c r="Q97" i="29"/>
  <c r="T97" i="29" s="1"/>
  <c r="V97" i="29" s="1"/>
  <c r="R61" i="29"/>
  <c r="T61" i="29" s="1"/>
  <c r="AC61" i="29" s="1"/>
  <c r="Q43" i="29"/>
  <c r="T43" i="29" s="1"/>
  <c r="V43" i="29" s="1"/>
  <c r="R17" i="29"/>
  <c r="T17" i="29" s="1"/>
  <c r="U17" i="29" s="1"/>
  <c r="Q379" i="29"/>
  <c r="T379" i="29" s="1"/>
  <c r="Q371" i="29"/>
  <c r="T371" i="29" s="1"/>
  <c r="R369" i="29"/>
  <c r="T369" i="29" s="1"/>
  <c r="Q366" i="29"/>
  <c r="T366" i="29" s="1"/>
  <c r="R333" i="29"/>
  <c r="T333" i="29" s="1"/>
  <c r="R317" i="29"/>
  <c r="T317" i="29" s="1"/>
  <c r="R250" i="29"/>
  <c r="T250" i="29" s="1"/>
  <c r="Q148" i="29"/>
  <c r="T148" i="29" s="1"/>
  <c r="Q60" i="29"/>
  <c r="T60" i="29" s="1"/>
  <c r="R24" i="29"/>
  <c r="T24" i="29" s="1"/>
  <c r="U24" i="29" s="1"/>
  <c r="R361" i="29"/>
  <c r="T361" i="29" s="1"/>
  <c r="R320" i="29"/>
  <c r="T320" i="29" s="1"/>
  <c r="R307" i="29"/>
  <c r="T307" i="29" s="1"/>
  <c r="U307" i="29" s="1"/>
  <c r="R276" i="29"/>
  <c r="T276" i="29" s="1"/>
  <c r="R211" i="29"/>
  <c r="T211" i="29" s="1"/>
  <c r="R189" i="29"/>
  <c r="T189" i="29" s="1"/>
  <c r="R165" i="29"/>
  <c r="R139" i="29"/>
  <c r="T139" i="29" s="1"/>
  <c r="R128" i="29"/>
  <c r="T128" i="29" s="1"/>
  <c r="R105" i="29"/>
  <c r="T105" i="29" s="1"/>
  <c r="R98" i="29"/>
  <c r="T98" i="29" s="1"/>
  <c r="R71" i="29"/>
  <c r="T71" i="29" s="1"/>
  <c r="R56" i="29"/>
  <c r="T56" i="29" s="1"/>
  <c r="R32" i="29"/>
  <c r="T32" i="29" s="1"/>
  <c r="R13" i="29"/>
  <c r="Q373" i="29"/>
  <c r="T373" i="29" s="1"/>
  <c r="Q364" i="29"/>
  <c r="T364" i="29" s="1"/>
  <c r="Q259" i="29"/>
  <c r="T259" i="29" s="1"/>
  <c r="Q246" i="29"/>
  <c r="T246" i="29" s="1"/>
  <c r="Q200" i="29"/>
  <c r="T200" i="29" s="1"/>
  <c r="AC200" i="29" s="1"/>
  <c r="Q175" i="29"/>
  <c r="T175" i="29" s="1"/>
  <c r="Q165" i="29"/>
  <c r="R144" i="29"/>
  <c r="T144" i="29" s="1"/>
  <c r="Q124" i="29"/>
  <c r="T124" i="29" s="1"/>
  <c r="R95" i="29"/>
  <c r="T95" i="29" s="1"/>
  <c r="Q77" i="29"/>
  <c r="T77" i="29" s="1"/>
  <c r="V77" i="29" s="1"/>
  <c r="R62" i="29"/>
  <c r="T62" i="29" s="1"/>
  <c r="Q29" i="29"/>
  <c r="T29" i="29" s="1"/>
  <c r="Q13" i="29"/>
  <c r="R350" i="29"/>
  <c r="T350" i="29" s="1"/>
  <c r="Q330" i="29"/>
  <c r="T330" i="29" s="1"/>
  <c r="Q318" i="29"/>
  <c r="R318" i="29"/>
  <c r="R256" i="29"/>
  <c r="T256" i="29" s="1"/>
  <c r="R249" i="29"/>
  <c r="Q249" i="29"/>
  <c r="Q311" i="29"/>
  <c r="R311" i="29"/>
  <c r="R306" i="29"/>
  <c r="T306" i="29" s="1"/>
  <c r="R290" i="29"/>
  <c r="T290" i="29" s="1"/>
  <c r="R275" i="29"/>
  <c r="T275" i="29" s="1"/>
  <c r="Q334" i="29"/>
  <c r="R334" i="29"/>
  <c r="Q326" i="29"/>
  <c r="R326" i="29"/>
  <c r="Q308" i="29"/>
  <c r="R308" i="29"/>
  <c r="Q292" i="29"/>
  <c r="R292" i="29"/>
  <c r="R208" i="29"/>
  <c r="Q208" i="29"/>
  <c r="Q360" i="29"/>
  <c r="Q367" i="29"/>
  <c r="T367" i="29" s="1"/>
  <c r="R339" i="29"/>
  <c r="T339" i="29" s="1"/>
  <c r="R363" i="29"/>
  <c r="T363" i="29" s="1"/>
  <c r="R331" i="29"/>
  <c r="T331" i="29" s="1"/>
  <c r="R315" i="29"/>
  <c r="T315" i="29" s="1"/>
  <c r="R237" i="29"/>
  <c r="Q237" i="29"/>
  <c r="Q346" i="29"/>
  <c r="R346" i="29"/>
  <c r="R323" i="29"/>
  <c r="T323" i="29" s="1"/>
  <c r="Q294" i="29"/>
  <c r="R294" i="29"/>
  <c r="Q278" i="29"/>
  <c r="R278" i="29"/>
  <c r="Q263" i="29"/>
  <c r="R263" i="29"/>
  <c r="R242" i="29"/>
  <c r="T242" i="29" s="1"/>
  <c r="R378" i="29"/>
  <c r="T378" i="29" s="1"/>
  <c r="R360" i="29"/>
  <c r="Q349" i="29"/>
  <c r="T349" i="29" s="1"/>
  <c r="Q203" i="29"/>
  <c r="R203" i="29"/>
  <c r="Q176" i="29"/>
  <c r="R176" i="29"/>
  <c r="R327" i="29"/>
  <c r="T327" i="29" s="1"/>
  <c r="R319" i="29"/>
  <c r="T319" i="29" s="1"/>
  <c r="Q301" i="29"/>
  <c r="R301" i="29"/>
  <c r="Q285" i="29"/>
  <c r="R285" i="29"/>
  <c r="Q270" i="29"/>
  <c r="R270" i="29"/>
  <c r="Q239" i="29"/>
  <c r="R239" i="29"/>
  <c r="Q226" i="29"/>
  <c r="R226" i="29"/>
  <c r="R324" i="29"/>
  <c r="T324" i="29" s="1"/>
  <c r="R316" i="29"/>
  <c r="T316" i="29" s="1"/>
  <c r="R309" i="29"/>
  <c r="T309" i="29" s="1"/>
  <c r="R297" i="29"/>
  <c r="T297" i="29" s="1"/>
  <c r="R281" i="29"/>
  <c r="T281" i="29" s="1"/>
  <c r="R266" i="29"/>
  <c r="T266" i="29" s="1"/>
  <c r="Q195" i="29"/>
  <c r="T195" i="29" s="1"/>
  <c r="R298" i="29"/>
  <c r="T298" i="29" s="1"/>
  <c r="R282" i="29"/>
  <c r="T282" i="29" s="1"/>
  <c r="R267" i="29"/>
  <c r="T267" i="29" s="1"/>
  <c r="Q245" i="29"/>
  <c r="R245" i="29"/>
  <c r="R238" i="29"/>
  <c r="Q238" i="29"/>
  <c r="Q262" i="29"/>
  <c r="R262" i="29"/>
  <c r="Q258" i="29"/>
  <c r="T258" i="29" s="1"/>
  <c r="R222" i="29"/>
  <c r="T222" i="29" s="1"/>
  <c r="Q178" i="29"/>
  <c r="T178" i="29" s="1"/>
  <c r="Q293" i="29"/>
  <c r="R293" i="29"/>
  <c r="Q277" i="29"/>
  <c r="R277" i="29"/>
  <c r="Q134" i="29"/>
  <c r="R134" i="29"/>
  <c r="R255" i="29"/>
  <c r="T255" i="29" s="1"/>
  <c r="R248" i="29"/>
  <c r="T248" i="29" s="1"/>
  <c r="R241" i="29"/>
  <c r="T241" i="29" s="1"/>
  <c r="R232" i="29"/>
  <c r="T232" i="29" s="1"/>
  <c r="Q217" i="29"/>
  <c r="R217" i="29"/>
  <c r="Q204" i="29"/>
  <c r="T204" i="29" s="1"/>
  <c r="Q145" i="29"/>
  <c r="R145" i="29"/>
  <c r="Q233" i="29"/>
  <c r="T233" i="29" s="1"/>
  <c r="R231" i="29"/>
  <c r="T231" i="29" s="1"/>
  <c r="R224" i="29"/>
  <c r="T224" i="29" s="1"/>
  <c r="R210" i="29"/>
  <c r="T210" i="29" s="1"/>
  <c r="Q192" i="29"/>
  <c r="T192" i="29" s="1"/>
  <c r="Q186" i="29"/>
  <c r="R186" i="29"/>
  <c r="Q161" i="29"/>
  <c r="T161" i="29" s="1"/>
  <c r="Q155" i="29"/>
  <c r="T155" i="29" s="1"/>
  <c r="Q137" i="29"/>
  <c r="R137" i="29"/>
  <c r="R257" i="29"/>
  <c r="T257" i="29" s="1"/>
  <c r="R243" i="29"/>
  <c r="T243" i="29" s="1"/>
  <c r="Q218" i="29"/>
  <c r="R218" i="29"/>
  <c r="Q172" i="29"/>
  <c r="R172" i="29"/>
  <c r="Q164" i="29"/>
  <c r="T164" i="29" s="1"/>
  <c r="R142" i="29"/>
  <c r="T142" i="29" s="1"/>
  <c r="R225" i="29"/>
  <c r="T225" i="29" s="1"/>
  <c r="Q187" i="29"/>
  <c r="R187" i="29"/>
  <c r="R177" i="29"/>
  <c r="T177" i="29" s="1"/>
  <c r="Q156" i="29"/>
  <c r="T156" i="29" s="1"/>
  <c r="Q219" i="29"/>
  <c r="T219" i="29" s="1"/>
  <c r="Q207" i="29"/>
  <c r="T207" i="29" s="1"/>
  <c r="Q202" i="29"/>
  <c r="R202" i="29"/>
  <c r="R194" i="29"/>
  <c r="T194" i="29" s="1"/>
  <c r="Q188" i="29"/>
  <c r="T188" i="29" s="1"/>
  <c r="Q170" i="29"/>
  <c r="T170" i="29" s="1"/>
  <c r="Q160" i="29"/>
  <c r="R160" i="29"/>
  <c r="Q152" i="29"/>
  <c r="R152" i="29"/>
  <c r="Q162" i="29"/>
  <c r="T162" i="29" s="1"/>
  <c r="Q111" i="29"/>
  <c r="R111" i="29"/>
  <c r="Q109" i="29"/>
  <c r="R109" i="29"/>
  <c r="R86" i="29"/>
  <c r="T86" i="29" s="1"/>
  <c r="Q180" i="29"/>
  <c r="T180" i="29" s="1"/>
  <c r="Q168" i="29"/>
  <c r="R168" i="29"/>
  <c r="Q108" i="29"/>
  <c r="R108" i="29"/>
  <c r="R123" i="29"/>
  <c r="T123" i="29" s="1"/>
  <c r="R81" i="29"/>
  <c r="T81" i="29" s="1"/>
  <c r="R149" i="29"/>
  <c r="T149" i="29" s="1"/>
  <c r="R141" i="29"/>
  <c r="T141" i="29" s="1"/>
  <c r="Q113" i="29"/>
  <c r="T113" i="29" s="1"/>
  <c r="Q90" i="29"/>
  <c r="R90" i="29"/>
  <c r="Q127" i="29"/>
  <c r="R127" i="29"/>
  <c r="Q118" i="29"/>
  <c r="T118" i="29" s="1"/>
  <c r="R106" i="29"/>
  <c r="T106" i="29" s="1"/>
  <c r="Q96" i="29"/>
  <c r="R96" i="29"/>
  <c r="Q76" i="29"/>
  <c r="R76" i="29"/>
  <c r="Q66" i="29"/>
  <c r="R66" i="29"/>
  <c r="R150" i="29"/>
  <c r="T150" i="29" s="1"/>
  <c r="R143" i="29"/>
  <c r="T143" i="29" s="1"/>
  <c r="R135" i="29"/>
  <c r="T135" i="29" s="1"/>
  <c r="R103" i="29"/>
  <c r="T103" i="29" s="1"/>
  <c r="Q129" i="29"/>
  <c r="T129" i="29" s="1"/>
  <c r="Q119" i="29"/>
  <c r="R119" i="29"/>
  <c r="R94" i="29"/>
  <c r="Q94" i="29"/>
  <c r="R72" i="29"/>
  <c r="T72" i="29" s="1"/>
  <c r="Q54" i="29"/>
  <c r="R54" i="29"/>
  <c r="R52" i="29"/>
  <c r="Q52" i="29"/>
  <c r="Q25" i="29"/>
  <c r="R25" i="29"/>
  <c r="Q121" i="29"/>
  <c r="T121" i="29" s="1"/>
  <c r="R68" i="29"/>
  <c r="Q68" i="29"/>
  <c r="Q46" i="29"/>
  <c r="R46" i="29"/>
  <c r="R107" i="29"/>
  <c r="T107" i="29" s="1"/>
  <c r="R78" i="29"/>
  <c r="T78" i="29" s="1"/>
  <c r="Q69" i="29"/>
  <c r="R69" i="29"/>
  <c r="R67" i="29"/>
  <c r="T67" i="29" s="1"/>
  <c r="R65" i="29"/>
  <c r="T65" i="29" s="1"/>
  <c r="R100" i="29"/>
  <c r="T100" i="29" s="1"/>
  <c r="R73" i="29"/>
  <c r="T73" i="29" s="1"/>
  <c r="R36" i="29"/>
  <c r="Q36" i="29"/>
  <c r="Q84" i="29"/>
  <c r="R84" i="29"/>
  <c r="R15" i="29"/>
  <c r="T15" i="29" s="1"/>
  <c r="R93" i="29"/>
  <c r="T93" i="29" s="1"/>
  <c r="R88" i="29"/>
  <c r="T88" i="29" s="1"/>
  <c r="R80" i="29"/>
  <c r="T80" i="29" s="1"/>
  <c r="R44" i="29"/>
  <c r="Q44" i="29"/>
  <c r="Q38" i="29"/>
  <c r="R38" i="29"/>
  <c r="R30" i="29"/>
  <c r="Q30" i="29"/>
  <c r="R63" i="29"/>
  <c r="T63" i="29" s="1"/>
  <c r="R23" i="29"/>
  <c r="T23" i="29" s="1"/>
  <c r="Q10" i="29"/>
  <c r="R10" i="29"/>
  <c r="Q58" i="29"/>
  <c r="R58" i="29"/>
  <c r="Q47" i="29"/>
  <c r="R47" i="29"/>
  <c r="Q39" i="29"/>
  <c r="R39" i="29"/>
  <c r="Q31" i="29"/>
  <c r="R31" i="29"/>
  <c r="Q18" i="29"/>
  <c r="R18" i="29"/>
  <c r="R55" i="29"/>
  <c r="T55" i="29" s="1"/>
  <c r="R7" i="29"/>
  <c r="T7" i="29" s="1"/>
  <c r="R50" i="29"/>
  <c r="T50" i="29" s="1"/>
  <c r="R42" i="29"/>
  <c r="T42" i="29" s="1"/>
  <c r="R34" i="29"/>
  <c r="T34" i="29" s="1"/>
  <c r="R22" i="29"/>
  <c r="T22" i="29" s="1"/>
  <c r="R14" i="29"/>
  <c r="T14" i="29" s="1"/>
  <c r="R6" i="29"/>
  <c r="T6" i="29" s="1"/>
  <c r="R26" i="29"/>
  <c r="T26" i="29" s="1"/>
  <c r="R19" i="29"/>
  <c r="T19" i="29" s="1"/>
  <c r="R11" i="29"/>
  <c r="T11" i="29" s="1"/>
  <c r="R16" i="29"/>
  <c r="T16" i="29" s="1"/>
  <c r="R8" i="29"/>
  <c r="N6" i="29"/>
  <c r="N7" i="29"/>
  <c r="N8" i="29"/>
  <c r="N9" i="29"/>
  <c r="AR9" i="29" s="1"/>
  <c r="N10" i="29"/>
  <c r="AR10" i="29" s="1"/>
  <c r="N11" i="29"/>
  <c r="AR11" i="29" s="1"/>
  <c r="N12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7" i="29"/>
  <c r="N28" i="29"/>
  <c r="N29" i="29"/>
  <c r="N30" i="29"/>
  <c r="N31" i="29"/>
  <c r="N32" i="29"/>
  <c r="N33" i="29"/>
  <c r="N34" i="29"/>
  <c r="N35" i="29"/>
  <c r="N36" i="29"/>
  <c r="N37" i="29"/>
  <c r="N38" i="29"/>
  <c r="N39" i="29"/>
  <c r="N40" i="29"/>
  <c r="N41" i="29"/>
  <c r="N42" i="29"/>
  <c r="N43" i="29"/>
  <c r="N44" i="29"/>
  <c r="N45" i="29"/>
  <c r="N46" i="29"/>
  <c r="N47" i="29"/>
  <c r="N48" i="29"/>
  <c r="N49" i="29"/>
  <c r="N50" i="29"/>
  <c r="N51" i="29"/>
  <c r="N52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N74" i="29"/>
  <c r="N75" i="29"/>
  <c r="N76" i="29"/>
  <c r="N77" i="29"/>
  <c r="N78" i="29"/>
  <c r="N79" i="29"/>
  <c r="N80" i="29"/>
  <c r="N81" i="29"/>
  <c r="N82" i="29"/>
  <c r="N83" i="29"/>
  <c r="N84" i="29"/>
  <c r="N85" i="29"/>
  <c r="N86" i="29"/>
  <c r="N87" i="29"/>
  <c r="N88" i="29"/>
  <c r="N89" i="29"/>
  <c r="N90" i="29"/>
  <c r="N91" i="29"/>
  <c r="N92" i="29"/>
  <c r="N93" i="29"/>
  <c r="N94" i="29"/>
  <c r="N95" i="29"/>
  <c r="N96" i="29"/>
  <c r="N97" i="29"/>
  <c r="N98" i="29"/>
  <c r="N99" i="29"/>
  <c r="N100" i="29"/>
  <c r="N101" i="29"/>
  <c r="N102" i="29"/>
  <c r="N103" i="29"/>
  <c r="N104" i="29"/>
  <c r="N105" i="29"/>
  <c r="N106" i="29"/>
  <c r="N107" i="29"/>
  <c r="N108" i="29"/>
  <c r="N109" i="29"/>
  <c r="N110" i="29"/>
  <c r="N111" i="29"/>
  <c r="N112" i="29"/>
  <c r="N113" i="29"/>
  <c r="N114" i="29"/>
  <c r="N115" i="29"/>
  <c r="N116" i="29"/>
  <c r="N117" i="29"/>
  <c r="N118" i="29"/>
  <c r="N119" i="29"/>
  <c r="N120" i="29"/>
  <c r="N121" i="29"/>
  <c r="N122" i="29"/>
  <c r="N123" i="29"/>
  <c r="N124" i="29"/>
  <c r="N125" i="29"/>
  <c r="N126" i="29"/>
  <c r="N127" i="29"/>
  <c r="N128" i="29"/>
  <c r="N129" i="29"/>
  <c r="N130" i="29"/>
  <c r="N131" i="29"/>
  <c r="N132" i="29"/>
  <c r="N133" i="29"/>
  <c r="N134" i="29"/>
  <c r="N135" i="29"/>
  <c r="N136" i="29"/>
  <c r="N137" i="29"/>
  <c r="N138" i="29"/>
  <c r="N139" i="29"/>
  <c r="N140" i="29"/>
  <c r="N141" i="29"/>
  <c r="N142" i="29"/>
  <c r="N143" i="29"/>
  <c r="N144" i="29"/>
  <c r="N145" i="29"/>
  <c r="N146" i="29"/>
  <c r="N147" i="29"/>
  <c r="N148" i="29"/>
  <c r="N149" i="29"/>
  <c r="N150" i="29"/>
  <c r="N151" i="29"/>
  <c r="N152" i="29"/>
  <c r="N153" i="29"/>
  <c r="N154" i="29"/>
  <c r="N155" i="29"/>
  <c r="N156" i="29"/>
  <c r="N157" i="29"/>
  <c r="N158" i="29"/>
  <c r="N159" i="29"/>
  <c r="N160" i="29"/>
  <c r="N161" i="29"/>
  <c r="N162" i="29"/>
  <c r="N163" i="29"/>
  <c r="N164" i="29"/>
  <c r="N165" i="29"/>
  <c r="N166" i="29"/>
  <c r="N167" i="29"/>
  <c r="N168" i="29"/>
  <c r="N169" i="29"/>
  <c r="N170" i="29"/>
  <c r="N171" i="29"/>
  <c r="N172" i="29"/>
  <c r="N173" i="29"/>
  <c r="N174" i="29"/>
  <c r="N175" i="29"/>
  <c r="N176" i="29"/>
  <c r="N177" i="29"/>
  <c r="N178" i="29"/>
  <c r="N179" i="29"/>
  <c r="N180" i="29"/>
  <c r="N181" i="29"/>
  <c r="N182" i="29"/>
  <c r="N183" i="29"/>
  <c r="N184" i="29"/>
  <c r="N185" i="29"/>
  <c r="N186" i="29"/>
  <c r="N187" i="29"/>
  <c r="N188" i="29"/>
  <c r="N189" i="29"/>
  <c r="N190" i="29"/>
  <c r="N191" i="29"/>
  <c r="N192" i="29"/>
  <c r="N193" i="29"/>
  <c r="N194" i="29"/>
  <c r="N195" i="29"/>
  <c r="N196" i="29"/>
  <c r="N197" i="29"/>
  <c r="N198" i="29"/>
  <c r="N199" i="29"/>
  <c r="N200" i="29"/>
  <c r="N201" i="29"/>
  <c r="N202" i="29"/>
  <c r="N203" i="29"/>
  <c r="N204" i="29"/>
  <c r="N205" i="29"/>
  <c r="N206" i="29"/>
  <c r="N207" i="29"/>
  <c r="N208" i="29"/>
  <c r="N209" i="29"/>
  <c r="N210" i="29"/>
  <c r="N211" i="29"/>
  <c r="N212" i="29"/>
  <c r="N213" i="29"/>
  <c r="N214" i="29"/>
  <c r="N215" i="29"/>
  <c r="N216" i="29"/>
  <c r="N217" i="29"/>
  <c r="N218" i="29"/>
  <c r="N220" i="29"/>
  <c r="N221" i="29"/>
  <c r="N222" i="29"/>
  <c r="N223" i="29"/>
  <c r="N224" i="29"/>
  <c r="N225" i="29"/>
  <c r="N226" i="29"/>
  <c r="N227" i="29"/>
  <c r="N228" i="29"/>
  <c r="N229" i="29"/>
  <c r="N230" i="29"/>
  <c r="N231" i="29"/>
  <c r="N232" i="29"/>
  <c r="N233" i="29"/>
  <c r="N234" i="29"/>
  <c r="N235" i="29"/>
  <c r="N236" i="29"/>
  <c r="N237" i="29"/>
  <c r="N238" i="29"/>
  <c r="N239" i="29"/>
  <c r="N240" i="29"/>
  <c r="N241" i="29"/>
  <c r="N242" i="29"/>
  <c r="N243" i="29"/>
  <c r="N244" i="29"/>
  <c r="N245" i="29"/>
  <c r="N246" i="29"/>
  <c r="N247" i="29"/>
  <c r="N248" i="29"/>
  <c r="N249" i="29"/>
  <c r="N250" i="29"/>
  <c r="N251" i="29"/>
  <c r="N252" i="29"/>
  <c r="N253" i="29"/>
  <c r="N254" i="29"/>
  <c r="N255" i="29"/>
  <c r="N256" i="29"/>
  <c r="N257" i="29"/>
  <c r="N258" i="29"/>
  <c r="N259" i="29"/>
  <c r="N260" i="29"/>
  <c r="N261" i="29"/>
  <c r="N262" i="29"/>
  <c r="N263" i="29"/>
  <c r="N264" i="29"/>
  <c r="N265" i="29"/>
  <c r="N266" i="29"/>
  <c r="N267" i="29"/>
  <c r="N268" i="29"/>
  <c r="N269" i="29"/>
  <c r="N270" i="29"/>
  <c r="N271" i="29"/>
  <c r="N272" i="29"/>
  <c r="N273" i="29"/>
  <c r="N274" i="29"/>
  <c r="N275" i="29"/>
  <c r="N276" i="29"/>
  <c r="N277" i="29"/>
  <c r="N278" i="29"/>
  <c r="N279" i="29"/>
  <c r="N280" i="29"/>
  <c r="N281" i="29"/>
  <c r="N282" i="29"/>
  <c r="N283" i="29"/>
  <c r="N284" i="29"/>
  <c r="N285" i="29"/>
  <c r="N286" i="29"/>
  <c r="N287" i="29"/>
  <c r="N288" i="29"/>
  <c r="N289" i="29"/>
  <c r="N290" i="29"/>
  <c r="N291" i="29"/>
  <c r="N292" i="29"/>
  <c r="N293" i="29"/>
  <c r="N294" i="29"/>
  <c r="N295" i="29"/>
  <c r="N296" i="29"/>
  <c r="N297" i="29"/>
  <c r="N298" i="29"/>
  <c r="N299" i="29"/>
  <c r="N300" i="29"/>
  <c r="N301" i="29"/>
  <c r="N302" i="29"/>
  <c r="N303" i="29"/>
  <c r="N304" i="29"/>
  <c r="N305" i="29"/>
  <c r="N306" i="29"/>
  <c r="N307" i="29"/>
  <c r="N308" i="29"/>
  <c r="N309" i="29"/>
  <c r="N310" i="29"/>
  <c r="N311" i="29"/>
  <c r="N312" i="29"/>
  <c r="N313" i="29"/>
  <c r="N314" i="29"/>
  <c r="N315" i="29"/>
  <c r="N316" i="29"/>
  <c r="N317" i="29"/>
  <c r="N318" i="29"/>
  <c r="N319" i="29"/>
  <c r="N320" i="29"/>
  <c r="N321" i="29"/>
  <c r="N322" i="29"/>
  <c r="N323" i="29"/>
  <c r="N324" i="29"/>
  <c r="N325" i="29"/>
  <c r="N326" i="29"/>
  <c r="N327" i="29"/>
  <c r="N328" i="29"/>
  <c r="N329" i="29"/>
  <c r="N330" i="29"/>
  <c r="N331" i="29"/>
  <c r="N332" i="29"/>
  <c r="N333" i="29"/>
  <c r="N334" i="29"/>
  <c r="N335" i="29"/>
  <c r="N336" i="29"/>
  <c r="N337" i="29"/>
  <c r="N338" i="29"/>
  <c r="N339" i="29"/>
  <c r="N340" i="29"/>
  <c r="N341" i="29"/>
  <c r="N342" i="29"/>
  <c r="N343" i="29"/>
  <c r="N344" i="29"/>
  <c r="N345" i="29"/>
  <c r="N346" i="29"/>
  <c r="N347" i="29"/>
  <c r="N348" i="29"/>
  <c r="N349" i="29"/>
  <c r="N350" i="29"/>
  <c r="N351" i="29"/>
  <c r="N352" i="29"/>
  <c r="N353" i="29"/>
  <c r="N354" i="29"/>
  <c r="N355" i="29"/>
  <c r="N356" i="29"/>
  <c r="N357" i="29"/>
  <c r="N358" i="29"/>
  <c r="N359" i="29"/>
  <c r="N360" i="29"/>
  <c r="N361" i="29"/>
  <c r="N362" i="29"/>
  <c r="N363" i="29"/>
  <c r="N364" i="29"/>
  <c r="N365" i="29"/>
  <c r="N366" i="29"/>
  <c r="N367" i="29"/>
  <c r="N368" i="29"/>
  <c r="N369" i="29"/>
  <c r="N370" i="29"/>
  <c r="N371" i="29"/>
  <c r="N372" i="29"/>
  <c r="N373" i="29"/>
  <c r="N374" i="29"/>
  <c r="N375" i="29"/>
  <c r="N376" i="29"/>
  <c r="N377" i="29"/>
  <c r="N378" i="29"/>
  <c r="N379" i="29"/>
  <c r="N5" i="29"/>
  <c r="T5" i="29" l="1"/>
  <c r="AC5" i="29" s="1"/>
  <c r="R2" i="29"/>
  <c r="Q2" i="29"/>
  <c r="AC151" i="29"/>
  <c r="AE151" i="29" s="1"/>
  <c r="AF151" i="29" s="1"/>
  <c r="V191" i="29"/>
  <c r="V151" i="29"/>
  <c r="AB151" i="29" s="1"/>
  <c r="AD151" i="29" s="1"/>
  <c r="AC273" i="29"/>
  <c r="AE273" i="29" s="1"/>
  <c r="AF273" i="29" s="1"/>
  <c r="AC75" i="29"/>
  <c r="U75" i="29"/>
  <c r="AB75" i="29" s="1"/>
  <c r="AD75" i="29" s="1"/>
  <c r="V236" i="29"/>
  <c r="U236" i="29"/>
  <c r="AE236" i="29" s="1"/>
  <c r="AF236" i="29" s="1"/>
  <c r="AC209" i="29"/>
  <c r="AE209" i="29" s="1"/>
  <c r="AF209" i="29" s="1"/>
  <c r="V209" i="29"/>
  <c r="AB209" i="29" s="1"/>
  <c r="AD209" i="29" s="1"/>
  <c r="V273" i="29"/>
  <c r="AB273" i="29" s="1"/>
  <c r="AD273" i="29" s="1"/>
  <c r="AC183" i="29"/>
  <c r="U99" i="29"/>
  <c r="AB99" i="29" s="1"/>
  <c r="AD99" i="29" s="1"/>
  <c r="AC97" i="29"/>
  <c r="U342" i="29"/>
  <c r="AE342" i="29" s="1"/>
  <c r="AF342" i="29" s="1"/>
  <c r="AC24" i="29"/>
  <c r="AE24" i="29" s="1"/>
  <c r="AF24" i="29" s="1"/>
  <c r="AC104" i="29"/>
  <c r="AE104" i="29" s="1"/>
  <c r="AF104" i="29" s="1"/>
  <c r="AC214" i="29"/>
  <c r="AC140" i="29"/>
  <c r="AE140" i="29" s="1"/>
  <c r="AF140" i="29" s="1"/>
  <c r="V261" i="29"/>
  <c r="T245" i="29"/>
  <c r="AC245" i="29" s="1"/>
  <c r="V140" i="29"/>
  <c r="AB140" i="29" s="1"/>
  <c r="AD140" i="29" s="1"/>
  <c r="U261" i="29"/>
  <c r="V332" i="29"/>
  <c r="AB332" i="29" s="1"/>
  <c r="AD332" i="29" s="1"/>
  <c r="V342" i="29"/>
  <c r="V35" i="29"/>
  <c r="AC332" i="29"/>
  <c r="AE332" i="29" s="1"/>
  <c r="AF332" i="29" s="1"/>
  <c r="V356" i="29"/>
  <c r="AC356" i="29"/>
  <c r="U356" i="29"/>
  <c r="T152" i="29"/>
  <c r="U152" i="29" s="1"/>
  <c r="AC288" i="29"/>
  <c r="AE288" i="29" s="1"/>
  <c r="AF288" i="29" s="1"/>
  <c r="V288" i="29"/>
  <c r="AB288" i="29" s="1"/>
  <c r="AD288" i="29" s="1"/>
  <c r="U199" i="29"/>
  <c r="AB199" i="29" s="1"/>
  <c r="AD199" i="29" s="1"/>
  <c r="U183" i="29"/>
  <c r="V201" i="29"/>
  <c r="AB201" i="29" s="1"/>
  <c r="AD201" i="29" s="1"/>
  <c r="U214" i="29"/>
  <c r="AB214" i="29" s="1"/>
  <c r="AD214" i="29" s="1"/>
  <c r="AC199" i="29"/>
  <c r="AC37" i="29"/>
  <c r="U321" i="29"/>
  <c r="AE321" i="29" s="1"/>
  <c r="AF321" i="29" s="1"/>
  <c r="AC201" i="29"/>
  <c r="AE201" i="29" s="1"/>
  <c r="AF201" i="29" s="1"/>
  <c r="AC89" i="29"/>
  <c r="AE89" i="29" s="1"/>
  <c r="AF89" i="29" s="1"/>
  <c r="V284" i="29"/>
  <c r="V147" i="29"/>
  <c r="U147" i="29"/>
  <c r="U87" i="29"/>
  <c r="V87" i="29"/>
  <c r="AC87" i="29"/>
  <c r="V83" i="29"/>
  <c r="U83" i="29"/>
  <c r="AC83" i="29"/>
  <c r="V122" i="29"/>
  <c r="U122" i="29"/>
  <c r="U299" i="29"/>
  <c r="V299" i="29"/>
  <c r="T285" i="29"/>
  <c r="AC285" i="29" s="1"/>
  <c r="T294" i="29"/>
  <c r="AC294" i="29" s="1"/>
  <c r="AC286" i="29"/>
  <c r="AE286" i="29" s="1"/>
  <c r="AF286" i="29" s="1"/>
  <c r="T249" i="29"/>
  <c r="V249" i="29" s="1"/>
  <c r="V104" i="29"/>
  <c r="AB104" i="29" s="1"/>
  <c r="AD104" i="29" s="1"/>
  <c r="V302" i="29"/>
  <c r="AB302" i="29" s="1"/>
  <c r="AD302" i="29" s="1"/>
  <c r="T218" i="29"/>
  <c r="AC218" i="29" s="1"/>
  <c r="AC302" i="29"/>
  <c r="AE302" i="29" s="1"/>
  <c r="AF302" i="29" s="1"/>
  <c r="AC305" i="29"/>
  <c r="U35" i="29"/>
  <c r="AE35" i="29" s="1"/>
  <c r="AF35" i="29" s="1"/>
  <c r="U97" i="29"/>
  <c r="AB97" i="29" s="1"/>
  <c r="AD97" i="29" s="1"/>
  <c r="U305" i="29"/>
  <c r="AC99" i="29"/>
  <c r="V355" i="29"/>
  <c r="AB355" i="29" s="1"/>
  <c r="AD355" i="29" s="1"/>
  <c r="AC64" i="29"/>
  <c r="U64" i="29"/>
  <c r="V64" i="29"/>
  <c r="U136" i="29"/>
  <c r="AC136" i="29"/>
  <c r="V136" i="29"/>
  <c r="AC40" i="29"/>
  <c r="U40" i="29"/>
  <c r="V40" i="29"/>
  <c r="AC102" i="29"/>
  <c r="U102" i="29"/>
  <c r="V102" i="29"/>
  <c r="V133" i="29"/>
  <c r="AC133" i="29"/>
  <c r="U133" i="29"/>
  <c r="U353" i="29"/>
  <c r="V353" i="29"/>
  <c r="AC49" i="29"/>
  <c r="U49" i="29"/>
  <c r="V49" i="29"/>
  <c r="U234" i="29"/>
  <c r="V234" i="29"/>
  <c r="AC234" i="29"/>
  <c r="V340" i="29"/>
  <c r="U340" i="29"/>
  <c r="AC340" i="29"/>
  <c r="V213" i="29"/>
  <c r="U213" i="29"/>
  <c r="AC213" i="29"/>
  <c r="U37" i="29"/>
  <c r="AC126" i="29"/>
  <c r="AE126" i="29" s="1"/>
  <c r="AF126" i="29" s="1"/>
  <c r="AC163" i="29"/>
  <c r="AE163" i="29" s="1"/>
  <c r="AF163" i="29" s="1"/>
  <c r="T38" i="29"/>
  <c r="U38" i="29" s="1"/>
  <c r="U43" i="29"/>
  <c r="AB43" i="29" s="1"/>
  <c r="AD43" i="29" s="1"/>
  <c r="V126" i="29"/>
  <c r="AB126" i="29" s="1"/>
  <c r="AD126" i="29" s="1"/>
  <c r="V163" i="29"/>
  <c r="AB163" i="29" s="1"/>
  <c r="AD163" i="29" s="1"/>
  <c r="V271" i="29"/>
  <c r="AB271" i="29" s="1"/>
  <c r="AD271" i="29" s="1"/>
  <c r="AC43" i="29"/>
  <c r="AC368" i="29"/>
  <c r="AE368" i="29" s="1"/>
  <c r="AF368" i="29" s="1"/>
  <c r="AC271" i="29"/>
  <c r="AE271" i="29" s="1"/>
  <c r="AF271" i="29" s="1"/>
  <c r="AC370" i="29"/>
  <c r="AE370" i="29" s="1"/>
  <c r="AF370" i="29" s="1"/>
  <c r="T84" i="29"/>
  <c r="V84" i="29" s="1"/>
  <c r="T18" i="29"/>
  <c r="U18" i="29" s="1"/>
  <c r="V92" i="29"/>
  <c r="V89" i="29"/>
  <c r="AB89" i="29" s="1"/>
  <c r="AD89" i="29" s="1"/>
  <c r="T145" i="29"/>
  <c r="V145" i="29" s="1"/>
  <c r="AC221" i="29"/>
  <c r="V184" i="29"/>
  <c r="AB184" i="29" s="1"/>
  <c r="AD184" i="29" s="1"/>
  <c r="U92" i="29"/>
  <c r="AE92" i="29" s="1"/>
  <c r="AF92" i="29" s="1"/>
  <c r="AC147" i="29"/>
  <c r="U221" i="29"/>
  <c r="AC184" i="29"/>
  <c r="AE184" i="29" s="1"/>
  <c r="AF184" i="29" s="1"/>
  <c r="AC355" i="29"/>
  <c r="AE355" i="29" s="1"/>
  <c r="AF355" i="29" s="1"/>
  <c r="T31" i="29"/>
  <c r="U31" i="29" s="1"/>
  <c r="T52" i="29"/>
  <c r="AC52" i="29" s="1"/>
  <c r="V321" i="29"/>
  <c r="T237" i="29"/>
  <c r="AC237" i="29" s="1"/>
  <c r="T208" i="29"/>
  <c r="U208" i="29" s="1"/>
  <c r="U191" i="29"/>
  <c r="T165" i="29"/>
  <c r="AC165" i="29" s="1"/>
  <c r="U190" i="29"/>
  <c r="V190" i="29"/>
  <c r="U117" i="29"/>
  <c r="V117" i="29"/>
  <c r="AC117" i="29"/>
  <c r="U146" i="29"/>
  <c r="V146" i="29"/>
  <c r="AC146" i="29"/>
  <c r="AC314" i="29"/>
  <c r="V314" i="29"/>
  <c r="U9" i="29"/>
  <c r="V9" i="29"/>
  <c r="AC9" i="29"/>
  <c r="AC291" i="29"/>
  <c r="U291" i="29"/>
  <c r="V291" i="29"/>
  <c r="U251" i="29"/>
  <c r="V251" i="29"/>
  <c r="AC251" i="29"/>
  <c r="U169" i="29"/>
  <c r="AC169" i="29"/>
  <c r="V169" i="29"/>
  <c r="V33" i="29"/>
  <c r="AC33" i="29"/>
  <c r="U33" i="29"/>
  <c r="V300" i="29"/>
  <c r="AC300" i="29"/>
  <c r="V51" i="29"/>
  <c r="AC51" i="29"/>
  <c r="U51" i="29"/>
  <c r="T69" i="29"/>
  <c r="U69" i="29" s="1"/>
  <c r="V48" i="29"/>
  <c r="T134" i="29"/>
  <c r="U134" i="29" s="1"/>
  <c r="T176" i="29"/>
  <c r="AC176" i="29" s="1"/>
  <c r="U284" i="29"/>
  <c r="AE284" i="29" s="1"/>
  <c r="AF284" i="29" s="1"/>
  <c r="AC313" i="29"/>
  <c r="AE313" i="29" s="1"/>
  <c r="AF313" i="29" s="1"/>
  <c r="U48" i="29"/>
  <c r="AE48" i="29" s="1"/>
  <c r="AF48" i="29" s="1"/>
  <c r="V368" i="29"/>
  <c r="AB368" i="29" s="1"/>
  <c r="AD368" i="29" s="1"/>
  <c r="U265" i="29"/>
  <c r="AB265" i="29" s="1"/>
  <c r="AD265" i="29" s="1"/>
  <c r="V286" i="29"/>
  <c r="AB286" i="29" s="1"/>
  <c r="AD286" i="29" s="1"/>
  <c r="T13" i="29"/>
  <c r="V13" i="29" s="1"/>
  <c r="V61" i="29"/>
  <c r="AC171" i="29"/>
  <c r="AE171" i="29" s="1"/>
  <c r="AF171" i="29" s="1"/>
  <c r="U61" i="29"/>
  <c r="V171" i="29"/>
  <c r="AB171" i="29" s="1"/>
  <c r="AD171" i="29" s="1"/>
  <c r="T277" i="29"/>
  <c r="U277" i="29" s="1"/>
  <c r="V70" i="29"/>
  <c r="T30" i="29"/>
  <c r="AC30" i="29" s="1"/>
  <c r="T360" i="29"/>
  <c r="V360" i="29" s="1"/>
  <c r="U70" i="29"/>
  <c r="AE70" i="29" s="1"/>
  <c r="AF70" i="29" s="1"/>
  <c r="AC283" i="29"/>
  <c r="AE283" i="29" s="1"/>
  <c r="AF283" i="29" s="1"/>
  <c r="AC304" i="29"/>
  <c r="AE304" i="29" s="1"/>
  <c r="AF304" i="29" s="1"/>
  <c r="T202" i="29"/>
  <c r="V202" i="29" s="1"/>
  <c r="T311" i="29"/>
  <c r="AC311" i="29" s="1"/>
  <c r="V304" i="29"/>
  <c r="AB304" i="29" s="1"/>
  <c r="AD304" i="29" s="1"/>
  <c r="V283" i="29"/>
  <c r="AB283" i="29" s="1"/>
  <c r="AD283" i="29" s="1"/>
  <c r="T44" i="29"/>
  <c r="V44" i="29" s="1"/>
  <c r="V45" i="29"/>
  <c r="AB45" i="29" s="1"/>
  <c r="AD45" i="29" s="1"/>
  <c r="T239" i="29"/>
  <c r="U239" i="29" s="1"/>
  <c r="U322" i="29"/>
  <c r="AB322" i="29" s="1"/>
  <c r="AD322" i="29" s="1"/>
  <c r="T346" i="29"/>
  <c r="AC346" i="29" s="1"/>
  <c r="AC328" i="29"/>
  <c r="AE328" i="29" s="1"/>
  <c r="AF328" i="29" s="1"/>
  <c r="AC280" i="29"/>
  <c r="AE280" i="29" s="1"/>
  <c r="AF280" i="29" s="1"/>
  <c r="AC299" i="29"/>
  <c r="AC322" i="29"/>
  <c r="AC175" i="29"/>
  <c r="V175" i="29"/>
  <c r="U153" i="29"/>
  <c r="V153" i="29"/>
  <c r="AC153" i="29"/>
  <c r="U373" i="29"/>
  <c r="AC373" i="29"/>
  <c r="V373" i="29"/>
  <c r="V181" i="29"/>
  <c r="U181" i="29"/>
  <c r="AC181" i="29"/>
  <c r="U185" i="29"/>
  <c r="AC185" i="29"/>
  <c r="V185" i="29"/>
  <c r="U57" i="29"/>
  <c r="V57" i="29"/>
  <c r="AC57" i="29"/>
  <c r="V337" i="29"/>
  <c r="U337" i="29"/>
  <c r="AC337" i="29"/>
  <c r="U114" i="29"/>
  <c r="V114" i="29"/>
  <c r="AC114" i="29"/>
  <c r="U120" i="29"/>
  <c r="AC120" i="29"/>
  <c r="V120" i="29"/>
  <c r="AC247" i="29"/>
  <c r="V247" i="29"/>
  <c r="U247" i="29"/>
  <c r="V125" i="29"/>
  <c r="AC125" i="29"/>
  <c r="U125" i="29"/>
  <c r="T54" i="29"/>
  <c r="V54" i="29" s="1"/>
  <c r="T127" i="29"/>
  <c r="AC127" i="29" s="1"/>
  <c r="AC190" i="29"/>
  <c r="T66" i="29"/>
  <c r="U66" i="29" s="1"/>
  <c r="T96" i="29"/>
  <c r="V96" i="29" s="1"/>
  <c r="T263" i="29"/>
  <c r="V263" i="29" s="1"/>
  <c r="T308" i="29"/>
  <c r="U308" i="29" s="1"/>
  <c r="AC343" i="29"/>
  <c r="AE343" i="29" s="1"/>
  <c r="AF343" i="29" s="1"/>
  <c r="T25" i="29"/>
  <c r="U25" i="29" s="1"/>
  <c r="T278" i="29"/>
  <c r="U278" i="29" s="1"/>
  <c r="T326" i="29"/>
  <c r="U326" i="29" s="1"/>
  <c r="AC348" i="29"/>
  <c r="AE348" i="29" s="1"/>
  <c r="AF348" i="29" s="1"/>
  <c r="U268" i="29"/>
  <c r="AE268" i="29" s="1"/>
  <c r="AF268" i="29" s="1"/>
  <c r="V268" i="29"/>
  <c r="V329" i="29"/>
  <c r="AB329" i="29" s="1"/>
  <c r="AD329" i="29" s="1"/>
  <c r="V182" i="29"/>
  <c r="AB182" i="29" s="1"/>
  <c r="AD182" i="29" s="1"/>
  <c r="AC182" i="29"/>
  <c r="AE182" i="29" s="1"/>
  <c r="AF182" i="29" s="1"/>
  <c r="T137" i="29"/>
  <c r="V137" i="29" s="1"/>
  <c r="T238" i="29"/>
  <c r="V238" i="29" s="1"/>
  <c r="V280" i="29"/>
  <c r="AB280" i="29" s="1"/>
  <c r="AD280" i="29" s="1"/>
  <c r="AC329" i="29"/>
  <c r="AE329" i="29" s="1"/>
  <c r="AF329" i="29" s="1"/>
  <c r="V79" i="29"/>
  <c r="AB79" i="29" s="1"/>
  <c r="AD79" i="29" s="1"/>
  <c r="AC79" i="29"/>
  <c r="AE79" i="29" s="1"/>
  <c r="AF79" i="29" s="1"/>
  <c r="V348" i="29"/>
  <c r="AB348" i="29" s="1"/>
  <c r="AD348" i="29" s="1"/>
  <c r="V328" i="29"/>
  <c r="AB328" i="29" s="1"/>
  <c r="AD328" i="29" s="1"/>
  <c r="U154" i="29"/>
  <c r="U77" i="29"/>
  <c r="AB77" i="29" s="1"/>
  <c r="AD77" i="29" s="1"/>
  <c r="AC159" i="29"/>
  <c r="AC173" i="29"/>
  <c r="AC353" i="29"/>
  <c r="AC138" i="29"/>
  <c r="V27" i="29"/>
  <c r="V24" i="29"/>
  <c r="AB24" i="29" s="1"/>
  <c r="AD24" i="29" s="1"/>
  <c r="AC17" i="29"/>
  <c r="AE17" i="29" s="1"/>
  <c r="AF17" i="29" s="1"/>
  <c r="AC77" i="29"/>
  <c r="U173" i="29"/>
  <c r="AB173" i="29" s="1"/>
  <c r="AD173" i="29" s="1"/>
  <c r="V167" i="29"/>
  <c r="V223" i="29"/>
  <c r="AB223" i="29" s="1"/>
  <c r="AD223" i="29" s="1"/>
  <c r="U338" i="29"/>
  <c r="AB338" i="29" s="1"/>
  <c r="AD338" i="29" s="1"/>
  <c r="AC307" i="29"/>
  <c r="AE307" i="29" s="1"/>
  <c r="AF307" i="29" s="1"/>
  <c r="U159" i="29"/>
  <c r="V343" i="29"/>
  <c r="AB343" i="29" s="1"/>
  <c r="AD343" i="29" s="1"/>
  <c r="AC269" i="29"/>
  <c r="AE269" i="29" s="1"/>
  <c r="AF269" i="29" s="1"/>
  <c r="U300" i="29"/>
  <c r="U310" i="29"/>
  <c r="AB310" i="29" s="1"/>
  <c r="AD310" i="29" s="1"/>
  <c r="V296" i="29"/>
  <c r="U296" i="29"/>
  <c r="AC351" i="29"/>
  <c r="AE351" i="29" s="1"/>
  <c r="AF351" i="29" s="1"/>
  <c r="AC21" i="29"/>
  <c r="AE21" i="29" s="1"/>
  <c r="AF21" i="29" s="1"/>
  <c r="V21" i="29"/>
  <c r="AB21" i="29" s="1"/>
  <c r="AD21" i="29" s="1"/>
  <c r="U27" i="29"/>
  <c r="AE27" i="29" s="1"/>
  <c r="AF27" i="29" s="1"/>
  <c r="AC122" i="29"/>
  <c r="V17" i="29"/>
  <c r="AB17" i="29" s="1"/>
  <c r="AD17" i="29" s="1"/>
  <c r="U167" i="29"/>
  <c r="AE167" i="29" s="1"/>
  <c r="AF167" i="29" s="1"/>
  <c r="AC223" i="29"/>
  <c r="AE223" i="29" s="1"/>
  <c r="AF223" i="29" s="1"/>
  <c r="V313" i="29"/>
  <c r="AB313" i="29" s="1"/>
  <c r="AD313" i="29" s="1"/>
  <c r="V370" i="29"/>
  <c r="AB370" i="29" s="1"/>
  <c r="AD370" i="29" s="1"/>
  <c r="V269" i="29"/>
  <c r="AB269" i="29" s="1"/>
  <c r="AD269" i="29" s="1"/>
  <c r="AC265" i="29"/>
  <c r="AC296" i="29"/>
  <c r="V154" i="29"/>
  <c r="U240" i="29"/>
  <c r="V351" i="29"/>
  <c r="AB351" i="29" s="1"/>
  <c r="AD351" i="29" s="1"/>
  <c r="V289" i="29"/>
  <c r="AB289" i="29" s="1"/>
  <c r="AD289" i="29" s="1"/>
  <c r="U325" i="29"/>
  <c r="AB325" i="29" s="1"/>
  <c r="AD325" i="29" s="1"/>
  <c r="U62" i="29"/>
  <c r="AC62" i="29"/>
  <c r="V62" i="29"/>
  <c r="AC105" i="29"/>
  <c r="U105" i="29"/>
  <c r="V105" i="29"/>
  <c r="U361" i="29"/>
  <c r="V361" i="29"/>
  <c r="AC361" i="29"/>
  <c r="V32" i="29"/>
  <c r="U32" i="29"/>
  <c r="AC32" i="29"/>
  <c r="U144" i="29"/>
  <c r="V144" i="29"/>
  <c r="AC144" i="29"/>
  <c r="V128" i="29"/>
  <c r="U128" i="29"/>
  <c r="AC128" i="29"/>
  <c r="U317" i="29"/>
  <c r="V317" i="29"/>
  <c r="AC317" i="29"/>
  <c r="AC95" i="29"/>
  <c r="U95" i="29"/>
  <c r="V95" i="29"/>
  <c r="U276" i="29"/>
  <c r="V276" i="29"/>
  <c r="AC276" i="29"/>
  <c r="U29" i="29"/>
  <c r="V29" i="29"/>
  <c r="AC29" i="29"/>
  <c r="V56" i="29"/>
  <c r="AC56" i="29"/>
  <c r="U56" i="29"/>
  <c r="V71" i="29"/>
  <c r="AC71" i="29"/>
  <c r="U175" i="29"/>
  <c r="T226" i="29"/>
  <c r="V226" i="29" s="1"/>
  <c r="T203" i="29"/>
  <c r="AC203" i="29" s="1"/>
  <c r="U244" i="29"/>
  <c r="AB244" i="29" s="1"/>
  <c r="AD244" i="29" s="1"/>
  <c r="V345" i="29"/>
  <c r="AB345" i="29" s="1"/>
  <c r="AD345" i="29" s="1"/>
  <c r="V212" i="29"/>
  <c r="U212" i="29"/>
  <c r="U91" i="29"/>
  <c r="V91" i="29"/>
  <c r="T36" i="29"/>
  <c r="AC36" i="29" s="1"/>
  <c r="T109" i="29"/>
  <c r="AC109" i="29" s="1"/>
  <c r="AC45" i="29"/>
  <c r="AE45" i="29" s="1"/>
  <c r="AF45" i="29" s="1"/>
  <c r="T160" i="29"/>
  <c r="V160" i="29" s="1"/>
  <c r="T186" i="29"/>
  <c r="AC186" i="29" s="1"/>
  <c r="T217" i="29"/>
  <c r="T292" i="29"/>
  <c r="U292" i="29" s="1"/>
  <c r="AC345" i="29"/>
  <c r="AE345" i="29" s="1"/>
  <c r="AF345" i="29" s="1"/>
  <c r="U130" i="29"/>
  <c r="AC130" i="29"/>
  <c r="U341" i="29"/>
  <c r="V341" i="29"/>
  <c r="T39" i="29"/>
  <c r="AC39" i="29" s="1"/>
  <c r="T10" i="29"/>
  <c r="T94" i="29"/>
  <c r="U94" i="29" s="1"/>
  <c r="T90" i="29"/>
  <c r="V90" i="29" s="1"/>
  <c r="T111" i="29"/>
  <c r="AC111" i="29" s="1"/>
  <c r="T262" i="29"/>
  <c r="V262" i="29" s="1"/>
  <c r="V53" i="29"/>
  <c r="AB53" i="29" s="1"/>
  <c r="AD53" i="29" s="1"/>
  <c r="AC53" i="29"/>
  <c r="AE53" i="29" s="1"/>
  <c r="AF53" i="29" s="1"/>
  <c r="V198" i="29"/>
  <c r="U198" i="29"/>
  <c r="AC198" i="29"/>
  <c r="V200" i="29"/>
  <c r="AC254" i="29"/>
  <c r="AE254" i="29" s="1"/>
  <c r="AF254" i="29" s="1"/>
  <c r="U314" i="29"/>
  <c r="AC377" i="29"/>
  <c r="AE377" i="29" s="1"/>
  <c r="AF377" i="29" s="1"/>
  <c r="U71" i="29"/>
  <c r="T47" i="29"/>
  <c r="V47" i="29" s="1"/>
  <c r="T76" i="29"/>
  <c r="U76" i="29" s="1"/>
  <c r="U200" i="29"/>
  <c r="AE200" i="29" s="1"/>
  <c r="AF200" i="29" s="1"/>
  <c r="T270" i="29"/>
  <c r="V270" i="29" s="1"/>
  <c r="T301" i="29"/>
  <c r="U301" i="29" s="1"/>
  <c r="V307" i="29"/>
  <c r="AB307" i="29" s="1"/>
  <c r="AD307" i="29" s="1"/>
  <c r="V254" i="29"/>
  <c r="AB254" i="29" s="1"/>
  <c r="AD254" i="29" s="1"/>
  <c r="AC341" i="29"/>
  <c r="AC289" i="29"/>
  <c r="AE289" i="29" s="1"/>
  <c r="AF289" i="29" s="1"/>
  <c r="U138" i="29"/>
  <c r="AB138" i="29" s="1"/>
  <c r="AD138" i="29" s="1"/>
  <c r="AC244" i="29"/>
  <c r="AC240" i="29"/>
  <c r="AC338" i="29"/>
  <c r="AC310" i="29"/>
  <c r="AC325" i="29"/>
  <c r="V377" i="29"/>
  <c r="AB377" i="29" s="1"/>
  <c r="AD377" i="29" s="1"/>
  <c r="V179" i="29"/>
  <c r="AB179" i="29" s="1"/>
  <c r="AD179" i="29" s="1"/>
  <c r="AC179" i="29"/>
  <c r="AE179" i="29" s="1"/>
  <c r="AF179" i="29" s="1"/>
  <c r="T68" i="29"/>
  <c r="U68" i="29" s="1"/>
  <c r="T108" i="29"/>
  <c r="AC108" i="29" s="1"/>
  <c r="T172" i="29"/>
  <c r="U172" i="29" s="1"/>
  <c r="AC212" i="29"/>
  <c r="T334" i="29"/>
  <c r="U334" i="29" s="1"/>
  <c r="T318" i="29"/>
  <c r="V318" i="29" s="1"/>
  <c r="V197" i="29"/>
  <c r="U197" i="29"/>
  <c r="AC197" i="29"/>
  <c r="V156" i="29"/>
  <c r="AC156" i="29"/>
  <c r="U156" i="29"/>
  <c r="AC257" i="29"/>
  <c r="U257" i="29"/>
  <c r="V257" i="29"/>
  <c r="U298" i="29"/>
  <c r="V298" i="29"/>
  <c r="AC298" i="29"/>
  <c r="V80" i="29"/>
  <c r="AC80" i="29"/>
  <c r="U80" i="29"/>
  <c r="U177" i="29"/>
  <c r="AC177" i="29"/>
  <c r="V177" i="29"/>
  <c r="U161" i="29"/>
  <c r="AC161" i="29"/>
  <c r="V161" i="29"/>
  <c r="AC309" i="29"/>
  <c r="U309" i="29"/>
  <c r="V309" i="29"/>
  <c r="V14" i="29"/>
  <c r="AC14" i="29"/>
  <c r="U14" i="29"/>
  <c r="U210" i="29"/>
  <c r="AC210" i="29"/>
  <c r="V210" i="29"/>
  <c r="AC316" i="29"/>
  <c r="U316" i="29"/>
  <c r="V316" i="29"/>
  <c r="V349" i="29"/>
  <c r="AC349" i="29"/>
  <c r="U349" i="29"/>
  <c r="AC67" i="29"/>
  <c r="U67" i="29"/>
  <c r="V67" i="29"/>
  <c r="U155" i="29"/>
  <c r="AC155" i="29"/>
  <c r="V155" i="29"/>
  <c r="V204" i="29"/>
  <c r="AC204" i="29"/>
  <c r="U204" i="29"/>
  <c r="U195" i="29"/>
  <c r="AC195" i="29"/>
  <c r="V195" i="29"/>
  <c r="U219" i="29"/>
  <c r="V219" i="29"/>
  <c r="AC219" i="29"/>
  <c r="AC233" i="29"/>
  <c r="U233" i="29"/>
  <c r="V233" i="29"/>
  <c r="U23" i="29"/>
  <c r="V23" i="29"/>
  <c r="AC23" i="29"/>
  <c r="V72" i="29"/>
  <c r="AC72" i="29"/>
  <c r="U72" i="29"/>
  <c r="U106" i="29"/>
  <c r="V106" i="29"/>
  <c r="AC106" i="29"/>
  <c r="U194" i="29"/>
  <c r="V194" i="29"/>
  <c r="AC194" i="29"/>
  <c r="AC319" i="29"/>
  <c r="U319" i="29"/>
  <c r="V319" i="29"/>
  <c r="AC367" i="29"/>
  <c r="V367" i="29"/>
  <c r="U367" i="29"/>
  <c r="U256" i="29"/>
  <c r="V256" i="29"/>
  <c r="AC256" i="29"/>
  <c r="U232" i="29"/>
  <c r="AC232" i="29"/>
  <c r="V232" i="29"/>
  <c r="AC11" i="29"/>
  <c r="V11" i="29"/>
  <c r="U11" i="29"/>
  <c r="U121" i="29"/>
  <c r="V121" i="29"/>
  <c r="AC121" i="29"/>
  <c r="AC63" i="29"/>
  <c r="U63" i="29"/>
  <c r="V63" i="29"/>
  <c r="AC135" i="29"/>
  <c r="U135" i="29"/>
  <c r="V135" i="29"/>
  <c r="U118" i="29"/>
  <c r="V118" i="29"/>
  <c r="AC118" i="29"/>
  <c r="U81" i="29"/>
  <c r="V81" i="29"/>
  <c r="AC81" i="29"/>
  <c r="AC162" i="29"/>
  <c r="U162" i="29"/>
  <c r="V162" i="29"/>
  <c r="AC192" i="29"/>
  <c r="V192" i="29"/>
  <c r="U192" i="29"/>
  <c r="U258" i="29"/>
  <c r="V258" i="29"/>
  <c r="AC258" i="29"/>
  <c r="V363" i="29"/>
  <c r="AC363" i="29"/>
  <c r="U363" i="29"/>
  <c r="AC19" i="29"/>
  <c r="U19" i="29"/>
  <c r="V19" i="29"/>
  <c r="AC143" i="29"/>
  <c r="U143" i="29"/>
  <c r="V143" i="29"/>
  <c r="V123" i="29"/>
  <c r="U123" i="29"/>
  <c r="AC123" i="29"/>
  <c r="U224" i="29"/>
  <c r="AC224" i="29"/>
  <c r="V224" i="29"/>
  <c r="U290" i="29"/>
  <c r="V290" i="29"/>
  <c r="AC290" i="29"/>
  <c r="U55" i="29"/>
  <c r="V55" i="29"/>
  <c r="AC55" i="29"/>
  <c r="U65" i="29"/>
  <c r="V65" i="29"/>
  <c r="AC65" i="29"/>
  <c r="AC150" i="29"/>
  <c r="U150" i="29"/>
  <c r="V150" i="29"/>
  <c r="U113" i="29"/>
  <c r="AC113" i="29"/>
  <c r="V113" i="29"/>
  <c r="U86" i="29"/>
  <c r="V86" i="29"/>
  <c r="AC86" i="29"/>
  <c r="U188" i="29"/>
  <c r="V188" i="29"/>
  <c r="AC188" i="29"/>
  <c r="V164" i="29"/>
  <c r="U164" i="29"/>
  <c r="AC164" i="29"/>
  <c r="V222" i="29"/>
  <c r="U222" i="29"/>
  <c r="AC222" i="29"/>
  <c r="U378" i="29"/>
  <c r="V378" i="29"/>
  <c r="AC378" i="29"/>
  <c r="U306" i="29"/>
  <c r="V306" i="29"/>
  <c r="AC306" i="29"/>
  <c r="U287" i="29"/>
  <c r="AC287" i="29"/>
  <c r="V287" i="29"/>
  <c r="AC170" i="29"/>
  <c r="U170" i="29"/>
  <c r="V170" i="29"/>
  <c r="AC207" i="29"/>
  <c r="V207" i="29"/>
  <c r="U207" i="29"/>
  <c r="U267" i="29"/>
  <c r="V267" i="29"/>
  <c r="AC267" i="29"/>
  <c r="U253" i="29"/>
  <c r="V253" i="29"/>
  <c r="AC253" i="29"/>
  <c r="V266" i="29"/>
  <c r="U266" i="29"/>
  <c r="AC266" i="29"/>
  <c r="V369" i="29"/>
  <c r="AC369" i="29"/>
  <c r="U369" i="29"/>
  <c r="V34" i="29"/>
  <c r="AC34" i="29"/>
  <c r="U34" i="29"/>
  <c r="U20" i="29"/>
  <c r="V20" i="29"/>
  <c r="AC20" i="29"/>
  <c r="U12" i="29"/>
  <c r="V12" i="29"/>
  <c r="AC12" i="29"/>
  <c r="U98" i="29"/>
  <c r="AC98" i="29"/>
  <c r="V98" i="29"/>
  <c r="U124" i="29"/>
  <c r="V124" i="29"/>
  <c r="AC124" i="29"/>
  <c r="T46" i="29"/>
  <c r="T119" i="29"/>
  <c r="V230" i="29"/>
  <c r="AC230" i="29"/>
  <c r="U230" i="29"/>
  <c r="U193" i="29"/>
  <c r="AC193" i="29"/>
  <c r="V193" i="29"/>
  <c r="V241" i="29"/>
  <c r="AC241" i="29"/>
  <c r="U241" i="29"/>
  <c r="U295" i="29"/>
  <c r="V295" i="29"/>
  <c r="AC295" i="29"/>
  <c r="U357" i="29"/>
  <c r="V357" i="29"/>
  <c r="AC357" i="29"/>
  <c r="V372" i="29"/>
  <c r="U372" i="29"/>
  <c r="AC372" i="29"/>
  <c r="U347" i="29"/>
  <c r="V347" i="29"/>
  <c r="AC347" i="29"/>
  <c r="V274" i="29"/>
  <c r="U274" i="29"/>
  <c r="AC274" i="29"/>
  <c r="V330" i="29"/>
  <c r="AC330" i="29"/>
  <c r="U330" i="29"/>
  <c r="U352" i="29"/>
  <c r="AC352" i="29"/>
  <c r="V352" i="29"/>
  <c r="V149" i="29"/>
  <c r="AC149" i="29"/>
  <c r="U149" i="29"/>
  <c r="U259" i="29"/>
  <c r="V259" i="29"/>
  <c r="AC259" i="29"/>
  <c r="U315" i="29"/>
  <c r="V315" i="29"/>
  <c r="AC315" i="29"/>
  <c r="AC365" i="29"/>
  <c r="V365" i="29"/>
  <c r="U365" i="29"/>
  <c r="U88" i="29"/>
  <c r="V88" i="29"/>
  <c r="AC88" i="29"/>
  <c r="AC107" i="29"/>
  <c r="U107" i="29"/>
  <c r="V107" i="29"/>
  <c r="V6" i="29"/>
  <c r="AC6" i="29"/>
  <c r="U6" i="29"/>
  <c r="V42" i="29"/>
  <c r="AC42" i="29"/>
  <c r="U42" i="29"/>
  <c r="V93" i="29"/>
  <c r="U93" i="29"/>
  <c r="AC93" i="29"/>
  <c r="U132" i="29"/>
  <c r="V132" i="29"/>
  <c r="AC132" i="29"/>
  <c r="U129" i="29"/>
  <c r="V129" i="29"/>
  <c r="AC129" i="29"/>
  <c r="AC85" i="29"/>
  <c r="U85" i="29"/>
  <c r="V85" i="29"/>
  <c r="U196" i="29"/>
  <c r="AC196" i="29"/>
  <c r="V196" i="29"/>
  <c r="V228" i="29"/>
  <c r="AC228" i="29"/>
  <c r="U228" i="29"/>
  <c r="V158" i="29"/>
  <c r="AC158" i="29"/>
  <c r="U158" i="29"/>
  <c r="AC246" i="29"/>
  <c r="V246" i="29"/>
  <c r="U246" i="29"/>
  <c r="U282" i="29"/>
  <c r="V282" i="29"/>
  <c r="AC282" i="29"/>
  <c r="V260" i="29"/>
  <c r="AC260" i="29"/>
  <c r="U260" i="29"/>
  <c r="U333" i="29"/>
  <c r="V333" i="29"/>
  <c r="AC333" i="29"/>
  <c r="AC358" i="29"/>
  <c r="U358" i="29"/>
  <c r="V358" i="29"/>
  <c r="U242" i="29"/>
  <c r="V242" i="29"/>
  <c r="AC242" i="29"/>
  <c r="AC331" i="29"/>
  <c r="U331" i="29"/>
  <c r="V331" i="29"/>
  <c r="U275" i="29"/>
  <c r="V275" i="29"/>
  <c r="AC275" i="29"/>
  <c r="U366" i="29"/>
  <c r="V366" i="29"/>
  <c r="AC366" i="29"/>
  <c r="V100" i="29"/>
  <c r="U100" i="29"/>
  <c r="AC100" i="29"/>
  <c r="AC215" i="29"/>
  <c r="U215" i="29"/>
  <c r="V215" i="29"/>
  <c r="U320" i="29"/>
  <c r="V320" i="29"/>
  <c r="AC320" i="29"/>
  <c r="AC220" i="29"/>
  <c r="U220" i="29"/>
  <c r="V220" i="29"/>
  <c r="AC324" i="29"/>
  <c r="U324" i="29"/>
  <c r="V324" i="29"/>
  <c r="V50" i="29"/>
  <c r="AC50" i="29"/>
  <c r="U50" i="29"/>
  <c r="T58" i="29"/>
  <c r="V131" i="29"/>
  <c r="U131" i="29"/>
  <c r="AC131" i="29"/>
  <c r="V141" i="29"/>
  <c r="AC141" i="29"/>
  <c r="U141" i="29"/>
  <c r="U112" i="29"/>
  <c r="AC112" i="29"/>
  <c r="V112" i="29"/>
  <c r="AC157" i="29"/>
  <c r="U157" i="29"/>
  <c r="V157" i="29"/>
  <c r="U264" i="29"/>
  <c r="V264" i="29"/>
  <c r="AC264" i="29"/>
  <c r="U272" i="29"/>
  <c r="AC272" i="29"/>
  <c r="V272" i="29"/>
  <c r="U303" i="29"/>
  <c r="AC303" i="29"/>
  <c r="V303" i="29"/>
  <c r="U336" i="29"/>
  <c r="V336" i="29"/>
  <c r="AC336" i="29"/>
  <c r="U359" i="29"/>
  <c r="V359" i="29"/>
  <c r="AC359" i="29"/>
  <c r="V354" i="29"/>
  <c r="AC354" i="29"/>
  <c r="U354" i="29"/>
  <c r="U374" i="29"/>
  <c r="AC374" i="29"/>
  <c r="V374" i="29"/>
  <c r="U376" i="29"/>
  <c r="AC376" i="29"/>
  <c r="V376" i="29"/>
  <c r="U73" i="29"/>
  <c r="V73" i="29"/>
  <c r="AC73" i="29"/>
  <c r="AC178" i="29"/>
  <c r="U178" i="29"/>
  <c r="V178" i="29"/>
  <c r="AC350" i="29"/>
  <c r="U350" i="29"/>
  <c r="V350" i="29"/>
  <c r="AC116" i="29"/>
  <c r="U116" i="29"/>
  <c r="V116" i="29"/>
  <c r="V235" i="29"/>
  <c r="U235" i="29"/>
  <c r="AC235" i="29"/>
  <c r="U60" i="29"/>
  <c r="V60" i="29"/>
  <c r="AC60" i="29"/>
  <c r="U101" i="29"/>
  <c r="V101" i="29"/>
  <c r="AC101" i="29"/>
  <c r="U139" i="29"/>
  <c r="V139" i="29"/>
  <c r="AC139" i="29"/>
  <c r="U148" i="29"/>
  <c r="V148" i="29"/>
  <c r="AC148" i="29"/>
  <c r="U211" i="29"/>
  <c r="AC211" i="29"/>
  <c r="V211" i="29"/>
  <c r="V206" i="29"/>
  <c r="U206" i="29"/>
  <c r="AC206" i="29"/>
  <c r="V166" i="29"/>
  <c r="AC166" i="29"/>
  <c r="U166" i="29"/>
  <c r="U227" i="29"/>
  <c r="AC227" i="29"/>
  <c r="V227" i="29"/>
  <c r="V281" i="29"/>
  <c r="U281" i="29"/>
  <c r="AC281" i="29"/>
  <c r="V362" i="29"/>
  <c r="U362" i="29"/>
  <c r="AC362" i="29"/>
  <c r="AC335" i="29"/>
  <c r="U335" i="29"/>
  <c r="V335" i="29"/>
  <c r="AC375" i="29"/>
  <c r="V375" i="29"/>
  <c r="U375" i="29"/>
  <c r="U312" i="29"/>
  <c r="V312" i="29"/>
  <c r="AC312" i="29"/>
  <c r="AC379" i="29"/>
  <c r="U379" i="29"/>
  <c r="V379" i="29"/>
  <c r="AC26" i="29"/>
  <c r="U26" i="29"/>
  <c r="V26" i="29"/>
  <c r="V248" i="29"/>
  <c r="AC248" i="29"/>
  <c r="U248" i="29"/>
  <c r="U15" i="29"/>
  <c r="V15" i="29"/>
  <c r="AC15" i="29"/>
  <c r="U78" i="29"/>
  <c r="V78" i="29"/>
  <c r="AC78" i="29"/>
  <c r="U28" i="29"/>
  <c r="V28" i="29"/>
  <c r="AC28" i="29"/>
  <c r="U41" i="29"/>
  <c r="V41" i="29"/>
  <c r="AC41" i="29"/>
  <c r="U110" i="29"/>
  <c r="V110" i="29"/>
  <c r="AC110" i="29"/>
  <c r="U103" i="29"/>
  <c r="V103" i="29"/>
  <c r="AC103" i="29"/>
  <c r="V115" i="29"/>
  <c r="AC115" i="29"/>
  <c r="U115" i="29"/>
  <c r="AC189" i="29"/>
  <c r="U189" i="29"/>
  <c r="V189" i="29"/>
  <c r="V174" i="29"/>
  <c r="AC174" i="29"/>
  <c r="U174" i="29"/>
  <c r="V229" i="29"/>
  <c r="AC229" i="29"/>
  <c r="U229" i="29"/>
  <c r="AC252" i="29"/>
  <c r="U252" i="29"/>
  <c r="V252" i="29"/>
  <c r="U216" i="29"/>
  <c r="AC216" i="29"/>
  <c r="V216" i="29"/>
  <c r="AC327" i="29"/>
  <c r="U327" i="29"/>
  <c r="V327" i="29"/>
  <c r="U323" i="29"/>
  <c r="V323" i="29"/>
  <c r="AC323" i="29"/>
  <c r="AC339" i="29"/>
  <c r="U339" i="29"/>
  <c r="V339" i="29"/>
  <c r="U7" i="29"/>
  <c r="V7" i="29"/>
  <c r="AC7" i="29"/>
  <c r="V180" i="29"/>
  <c r="U180" i="29"/>
  <c r="AC180" i="29"/>
  <c r="U142" i="29"/>
  <c r="V142" i="29"/>
  <c r="AC142" i="29"/>
  <c r="U225" i="29"/>
  <c r="V225" i="29"/>
  <c r="AC225" i="29"/>
  <c r="AC250" i="29"/>
  <c r="U250" i="29"/>
  <c r="V250" i="29"/>
  <c r="T293" i="29"/>
  <c r="V297" i="29"/>
  <c r="U297" i="29"/>
  <c r="AC297" i="29"/>
  <c r="AC16" i="29"/>
  <c r="U16" i="29"/>
  <c r="V16" i="29"/>
  <c r="V22" i="29"/>
  <c r="AC22" i="29"/>
  <c r="U22" i="29"/>
  <c r="AC74" i="29"/>
  <c r="U74" i="29"/>
  <c r="V74" i="29"/>
  <c r="AC59" i="29"/>
  <c r="U59" i="29"/>
  <c r="V59" i="29"/>
  <c r="AC82" i="29"/>
  <c r="V82" i="29"/>
  <c r="U82" i="29"/>
  <c r="T168" i="29"/>
  <c r="AC205" i="29"/>
  <c r="V205" i="29"/>
  <c r="U205" i="29"/>
  <c r="T187" i="29"/>
  <c r="AC243" i="29"/>
  <c r="U243" i="29"/>
  <c r="V243" i="29"/>
  <c r="AC231" i="29"/>
  <c r="U231" i="29"/>
  <c r="V231" i="29"/>
  <c r="V255" i="29"/>
  <c r="AC255" i="29"/>
  <c r="U255" i="29"/>
  <c r="U279" i="29"/>
  <c r="V279" i="29"/>
  <c r="AC279" i="29"/>
  <c r="V344" i="29"/>
  <c r="AC344" i="29"/>
  <c r="U344" i="29"/>
  <c r="U371" i="29"/>
  <c r="V371" i="29"/>
  <c r="AC371" i="29"/>
  <c r="U364" i="29"/>
  <c r="AC364" i="29"/>
  <c r="V364" i="29"/>
  <c r="AR346" i="29"/>
  <c r="AQ346" i="29" s="1"/>
  <c r="AR236" i="29"/>
  <c r="AM236" i="29" s="1"/>
  <c r="AN236" i="29" s="1"/>
  <c r="AR146" i="29"/>
  <c r="AM146" i="29" s="1"/>
  <c r="AN146" i="29" s="1"/>
  <c r="AR67" i="29"/>
  <c r="AM67" i="29" s="1"/>
  <c r="AN67" i="29" s="1"/>
  <c r="AR15" i="29"/>
  <c r="AM15" i="29" s="1"/>
  <c r="AN15" i="29" s="1"/>
  <c r="AR334" i="29"/>
  <c r="AR288" i="29"/>
  <c r="AQ288" i="29" s="1"/>
  <c r="AR244" i="29"/>
  <c r="AM244" i="29" s="1"/>
  <c r="AN244" i="29" s="1"/>
  <c r="AR205" i="29"/>
  <c r="AM205" i="29" s="1"/>
  <c r="AN205" i="29" s="1"/>
  <c r="AR157" i="29"/>
  <c r="AM157" i="29" s="1"/>
  <c r="AN157" i="29" s="1"/>
  <c r="AR376" i="29"/>
  <c r="AR366" i="29"/>
  <c r="AQ366" i="29" s="1"/>
  <c r="AR359" i="29"/>
  <c r="AQ359" i="29" s="1"/>
  <c r="AR352" i="29"/>
  <c r="AR333" i="29"/>
  <c r="AQ333" i="29" s="1"/>
  <c r="AR326" i="29"/>
  <c r="AR318" i="29"/>
  <c r="AR311" i="29"/>
  <c r="AQ311" i="29" s="1"/>
  <c r="AR303" i="29"/>
  <c r="AQ303" i="29" s="1"/>
  <c r="AR295" i="29"/>
  <c r="AR287" i="29"/>
  <c r="AQ287" i="29" s="1"/>
  <c r="AR279" i="29"/>
  <c r="AQ279" i="29" s="1"/>
  <c r="AR272" i="29"/>
  <c r="AQ272" i="29" s="1"/>
  <c r="AR264" i="29"/>
  <c r="AM264" i="29" s="1"/>
  <c r="AN264" i="29" s="1"/>
  <c r="AR257" i="29"/>
  <c r="AM257" i="29" s="1"/>
  <c r="AN257" i="29" s="1"/>
  <c r="AR250" i="29"/>
  <c r="AM250" i="29" s="1"/>
  <c r="AN250" i="29" s="1"/>
  <c r="AR243" i="29"/>
  <c r="AM243" i="29" s="1"/>
  <c r="AN243" i="29" s="1"/>
  <c r="AR235" i="29"/>
  <c r="AM235" i="29" s="1"/>
  <c r="AN235" i="29" s="1"/>
  <c r="AR227" i="29"/>
  <c r="AM227" i="29" s="1"/>
  <c r="AN227" i="29" s="1"/>
  <c r="AR219" i="29"/>
  <c r="AM219" i="29" s="1"/>
  <c r="AN219" i="29" s="1"/>
  <c r="AR211" i="29"/>
  <c r="AM211" i="29" s="1"/>
  <c r="AN211" i="29" s="1"/>
  <c r="AR204" i="29"/>
  <c r="AM204" i="29" s="1"/>
  <c r="AN204" i="29" s="1"/>
  <c r="AR196" i="29"/>
  <c r="AM196" i="29" s="1"/>
  <c r="AN196" i="29" s="1"/>
  <c r="AR188" i="29"/>
  <c r="AM188" i="29" s="1"/>
  <c r="AN188" i="29" s="1"/>
  <c r="AR180" i="29"/>
  <c r="AM180" i="29" s="1"/>
  <c r="AN180" i="29" s="1"/>
  <c r="AR172" i="29"/>
  <c r="AM172" i="29" s="1"/>
  <c r="AN172" i="29" s="1"/>
  <c r="AR164" i="29"/>
  <c r="AM164" i="29" s="1"/>
  <c r="AN164" i="29" s="1"/>
  <c r="AR156" i="29"/>
  <c r="AM156" i="29" s="1"/>
  <c r="AN156" i="29" s="1"/>
  <c r="AR152" i="29"/>
  <c r="AM152" i="29" s="1"/>
  <c r="AN152" i="29" s="1"/>
  <c r="AR145" i="29"/>
  <c r="AM145" i="29" s="1"/>
  <c r="AN145" i="29" s="1"/>
  <c r="AR137" i="29"/>
  <c r="AM137" i="29" s="1"/>
  <c r="AN137" i="29" s="1"/>
  <c r="AR129" i="29"/>
  <c r="AM129" i="29" s="1"/>
  <c r="AN129" i="29" s="1"/>
  <c r="AR121" i="29"/>
  <c r="AM121" i="29" s="1"/>
  <c r="AN121" i="29" s="1"/>
  <c r="AR113" i="29"/>
  <c r="AM113" i="29" s="1"/>
  <c r="AN113" i="29" s="1"/>
  <c r="AR109" i="29"/>
  <c r="AM109" i="29" s="1"/>
  <c r="AN109" i="29" s="1"/>
  <c r="AR101" i="29"/>
  <c r="AM101" i="29" s="1"/>
  <c r="AN101" i="29" s="1"/>
  <c r="AR94" i="29"/>
  <c r="AM94" i="29" s="1"/>
  <c r="AN94" i="29" s="1"/>
  <c r="AM88" i="29"/>
  <c r="AN88" i="29" s="1"/>
  <c r="AR81" i="29"/>
  <c r="AM81" i="29" s="1"/>
  <c r="AN81" i="29" s="1"/>
  <c r="AR73" i="29"/>
  <c r="AM73" i="29" s="1"/>
  <c r="AN73" i="29" s="1"/>
  <c r="AR66" i="29"/>
  <c r="AM66" i="29" s="1"/>
  <c r="AN66" i="29" s="1"/>
  <c r="AR58" i="29"/>
  <c r="AM58" i="29" s="1"/>
  <c r="AN58" i="29" s="1"/>
  <c r="AR50" i="29"/>
  <c r="AM50" i="29" s="1"/>
  <c r="AN50" i="29" s="1"/>
  <c r="AR42" i="29"/>
  <c r="AM42" i="29" s="1"/>
  <c r="AN42" i="29" s="1"/>
  <c r="AR34" i="29"/>
  <c r="AM34" i="29" s="1"/>
  <c r="AN34" i="29" s="1"/>
  <c r="AR22" i="29"/>
  <c r="AM22" i="29" s="1"/>
  <c r="AN22" i="29" s="1"/>
  <c r="AR14" i="29"/>
  <c r="AM14" i="29" s="1"/>
  <c r="AN14" i="29" s="1"/>
  <c r="AR6" i="29"/>
  <c r="AM6" i="29" s="1"/>
  <c r="AN6" i="29" s="1"/>
  <c r="AR360" i="29"/>
  <c r="AQ360" i="29" s="1"/>
  <c r="AR189" i="29"/>
  <c r="AM189" i="29" s="1"/>
  <c r="AN189" i="29" s="1"/>
  <c r="AR114" i="29"/>
  <c r="AM114" i="29" s="1"/>
  <c r="AN114" i="29" s="1"/>
  <c r="AR375" i="29"/>
  <c r="AQ375" i="29" s="1"/>
  <c r="AR365" i="29"/>
  <c r="AQ365" i="29" s="1"/>
  <c r="AR358" i="29"/>
  <c r="AQ358" i="29" s="1"/>
  <c r="AR351" i="29"/>
  <c r="AQ351" i="29" s="1"/>
  <c r="AR345" i="29"/>
  <c r="AQ345" i="29" s="1"/>
  <c r="AR340" i="29"/>
  <c r="AQ340" i="29" s="1"/>
  <c r="AR332" i="29"/>
  <c r="AQ332" i="29" s="1"/>
  <c r="AR325" i="29"/>
  <c r="AQ325" i="29" s="1"/>
  <c r="AR317" i="29"/>
  <c r="AQ317" i="29" s="1"/>
  <c r="AR310" i="29"/>
  <c r="AQ310" i="29" s="1"/>
  <c r="AR302" i="29"/>
  <c r="AQ302" i="29" s="1"/>
  <c r="AR294" i="29"/>
  <c r="AR286" i="29"/>
  <c r="AQ286" i="29" s="1"/>
  <c r="AR278" i="29"/>
  <c r="AQ278" i="29" s="1"/>
  <c r="AR271" i="29"/>
  <c r="AQ271" i="29" s="1"/>
  <c r="AR263" i="29"/>
  <c r="AM263" i="29" s="1"/>
  <c r="AN263" i="29" s="1"/>
  <c r="AR256" i="29"/>
  <c r="AM256" i="29" s="1"/>
  <c r="AN256" i="29" s="1"/>
  <c r="AR249" i="29"/>
  <c r="AM249" i="29" s="1"/>
  <c r="AN249" i="29" s="1"/>
  <c r="AR242" i="29"/>
  <c r="AM242" i="29" s="1"/>
  <c r="AN242" i="29" s="1"/>
  <c r="AR234" i="29"/>
  <c r="AM234" i="29" s="1"/>
  <c r="AN234" i="29" s="1"/>
  <c r="AR226" i="29"/>
  <c r="AM226" i="29" s="1"/>
  <c r="AN226" i="29" s="1"/>
  <c r="AR218" i="29"/>
  <c r="AM218" i="29" s="1"/>
  <c r="AN218" i="29" s="1"/>
  <c r="AR210" i="29"/>
  <c r="AM210" i="29" s="1"/>
  <c r="AN210" i="29" s="1"/>
  <c r="AR203" i="29"/>
  <c r="AM203" i="29" s="1"/>
  <c r="AN203" i="29" s="1"/>
  <c r="AR195" i="29"/>
  <c r="AM195" i="29" s="1"/>
  <c r="AN195" i="29" s="1"/>
  <c r="AR187" i="29"/>
  <c r="AM187" i="29" s="1"/>
  <c r="AN187" i="29" s="1"/>
  <c r="AR179" i="29"/>
  <c r="AM179" i="29" s="1"/>
  <c r="AN179" i="29" s="1"/>
  <c r="AR171" i="29"/>
  <c r="AM171" i="29" s="1"/>
  <c r="AN171" i="29" s="1"/>
  <c r="AR163" i="29"/>
  <c r="AM163" i="29" s="1"/>
  <c r="AN163" i="29" s="1"/>
  <c r="AR151" i="29"/>
  <c r="AM151" i="29" s="1"/>
  <c r="AN151" i="29" s="1"/>
  <c r="AR144" i="29"/>
  <c r="AM144" i="29" s="1"/>
  <c r="AN144" i="29" s="1"/>
  <c r="AP144" i="29" s="1"/>
  <c r="AR136" i="29"/>
  <c r="AM136" i="29" s="1"/>
  <c r="AN136" i="29" s="1"/>
  <c r="AR128" i="29"/>
  <c r="AM128" i="29" s="1"/>
  <c r="AN128" i="29" s="1"/>
  <c r="AR120" i="29"/>
  <c r="AM120" i="29" s="1"/>
  <c r="AN120" i="29" s="1"/>
  <c r="AR112" i="29"/>
  <c r="AM112" i="29" s="1"/>
  <c r="AN112" i="29" s="1"/>
  <c r="AR108" i="29"/>
  <c r="AM108" i="29" s="1"/>
  <c r="AN108" i="29" s="1"/>
  <c r="AR100" i="29"/>
  <c r="AM100" i="29" s="1"/>
  <c r="AN100" i="29" s="1"/>
  <c r="AR93" i="29"/>
  <c r="AM93" i="29" s="1"/>
  <c r="AN93" i="29" s="1"/>
  <c r="AR80" i="29"/>
  <c r="AM80" i="29" s="1"/>
  <c r="AN80" i="29" s="1"/>
  <c r="AR72" i="29"/>
  <c r="AM72" i="29" s="1"/>
  <c r="AN72" i="29" s="1"/>
  <c r="AR65" i="29"/>
  <c r="AM65" i="29" s="1"/>
  <c r="AN65" i="29" s="1"/>
  <c r="AR57" i="29"/>
  <c r="AM57" i="29" s="1"/>
  <c r="AN57" i="29" s="1"/>
  <c r="AR49" i="29"/>
  <c r="AM49" i="29" s="1"/>
  <c r="AN49" i="29" s="1"/>
  <c r="AR41" i="29"/>
  <c r="AM41" i="29" s="1"/>
  <c r="AN41" i="29" s="1"/>
  <c r="AR33" i="29"/>
  <c r="AM33" i="29" s="1"/>
  <c r="AN33" i="29" s="1"/>
  <c r="AR28" i="29"/>
  <c r="AM28" i="29" s="1"/>
  <c r="AN28" i="29" s="1"/>
  <c r="AP28" i="29" s="1"/>
  <c r="AR21" i="29"/>
  <c r="AM21" i="29" s="1"/>
  <c r="AN21" i="29" s="1"/>
  <c r="AR13" i="29"/>
  <c r="AM13" i="29" s="1"/>
  <c r="AN13" i="29" s="1"/>
  <c r="AR319" i="29"/>
  <c r="AR251" i="29"/>
  <c r="AM251" i="29" s="1"/>
  <c r="AN251" i="29" s="1"/>
  <c r="AR197" i="29"/>
  <c r="AM197" i="29" s="1"/>
  <c r="AN197" i="29" s="1"/>
  <c r="AR374" i="29"/>
  <c r="AR371" i="29"/>
  <c r="AQ371" i="29" s="1"/>
  <c r="AR364" i="29"/>
  <c r="AQ364" i="29" s="1"/>
  <c r="AR357" i="29"/>
  <c r="AQ357" i="29" s="1"/>
  <c r="AR350" i="29"/>
  <c r="AR339" i="29"/>
  <c r="AQ339" i="29" s="1"/>
  <c r="AR331" i="29"/>
  <c r="AQ331" i="29" s="1"/>
  <c r="AR324" i="29"/>
  <c r="AR316" i="29"/>
  <c r="AQ316" i="29" s="1"/>
  <c r="AR309" i="29"/>
  <c r="AQ309" i="29" s="1"/>
  <c r="AR301" i="29"/>
  <c r="AQ301" i="29" s="1"/>
  <c r="AR293" i="29"/>
  <c r="AR285" i="29"/>
  <c r="AQ285" i="29" s="1"/>
  <c r="AR277" i="29"/>
  <c r="AQ277" i="29" s="1"/>
  <c r="AR270" i="29"/>
  <c r="AQ270" i="29" s="1"/>
  <c r="AR262" i="29"/>
  <c r="AM262" i="29" s="1"/>
  <c r="AN262" i="29" s="1"/>
  <c r="AR255" i="29"/>
  <c r="AM255" i="29" s="1"/>
  <c r="AN255" i="29" s="1"/>
  <c r="AR248" i="29"/>
  <c r="AM248" i="29" s="1"/>
  <c r="AN248" i="29" s="1"/>
  <c r="AR241" i="29"/>
  <c r="AM241" i="29" s="1"/>
  <c r="AN241" i="29" s="1"/>
  <c r="AR233" i="29"/>
  <c r="AM233" i="29" s="1"/>
  <c r="AN233" i="29" s="1"/>
  <c r="AR225" i="29"/>
  <c r="AM225" i="29" s="1"/>
  <c r="AN225" i="29" s="1"/>
  <c r="AR217" i="29"/>
  <c r="AM217" i="29" s="1"/>
  <c r="AN217" i="29" s="1"/>
  <c r="AR209" i="29"/>
  <c r="AM209" i="29" s="1"/>
  <c r="AN209" i="29" s="1"/>
  <c r="AR202" i="29"/>
  <c r="AM202" i="29" s="1"/>
  <c r="AN202" i="29" s="1"/>
  <c r="AR194" i="29"/>
  <c r="AM194" i="29" s="1"/>
  <c r="AN194" i="29" s="1"/>
  <c r="AR186" i="29"/>
  <c r="AM186" i="29" s="1"/>
  <c r="AN186" i="29" s="1"/>
  <c r="AR178" i="29"/>
  <c r="AM178" i="29" s="1"/>
  <c r="AN178" i="29" s="1"/>
  <c r="AR170" i="29"/>
  <c r="AM170" i="29" s="1"/>
  <c r="AN170" i="29" s="1"/>
  <c r="AR162" i="29"/>
  <c r="AM162" i="29" s="1"/>
  <c r="AN162" i="29" s="1"/>
  <c r="AR150" i="29"/>
  <c r="AM150" i="29" s="1"/>
  <c r="AN150" i="29" s="1"/>
  <c r="AR143" i="29"/>
  <c r="AM143" i="29" s="1"/>
  <c r="AN143" i="29" s="1"/>
  <c r="AP143" i="29" s="1"/>
  <c r="AR135" i="29"/>
  <c r="AM135" i="29" s="1"/>
  <c r="AN135" i="29" s="1"/>
  <c r="AR127" i="29"/>
  <c r="AM127" i="29" s="1"/>
  <c r="AN127" i="29" s="1"/>
  <c r="AR119" i="29"/>
  <c r="AM119" i="29" s="1"/>
  <c r="AN119" i="29" s="1"/>
  <c r="AR111" i="29"/>
  <c r="AM111" i="29" s="1"/>
  <c r="AN111" i="29" s="1"/>
  <c r="AR107" i="29"/>
  <c r="AM107" i="29" s="1"/>
  <c r="AN107" i="29" s="1"/>
  <c r="AR99" i="29"/>
  <c r="AM99" i="29" s="1"/>
  <c r="AN99" i="29" s="1"/>
  <c r="AR92" i="29"/>
  <c r="AM92" i="29" s="1"/>
  <c r="AN92" i="29" s="1"/>
  <c r="AR87" i="29"/>
  <c r="AM87" i="29" s="1"/>
  <c r="AN87" i="29" s="1"/>
  <c r="AR79" i="29"/>
  <c r="AM79" i="29" s="1"/>
  <c r="AN79" i="29" s="1"/>
  <c r="AR71" i="29"/>
  <c r="AM71" i="29" s="1"/>
  <c r="AN71" i="29" s="1"/>
  <c r="AR64" i="29"/>
  <c r="AM64" i="29" s="1"/>
  <c r="AN64" i="29" s="1"/>
  <c r="AR56" i="29"/>
  <c r="AM56" i="29" s="1"/>
  <c r="AN56" i="29" s="1"/>
  <c r="AR48" i="29"/>
  <c r="AM48" i="29" s="1"/>
  <c r="AN48" i="29" s="1"/>
  <c r="AR40" i="29"/>
  <c r="AM40" i="29" s="1"/>
  <c r="AN40" i="29" s="1"/>
  <c r="AR32" i="29"/>
  <c r="AM32" i="29" s="1"/>
  <c r="AN32" i="29" s="1"/>
  <c r="AR27" i="29"/>
  <c r="AM27" i="29" s="1"/>
  <c r="AN27" i="29" s="1"/>
  <c r="AP27" i="29" s="1"/>
  <c r="AR20" i="29"/>
  <c r="AM20" i="29" s="1"/>
  <c r="AN20" i="29" s="1"/>
  <c r="AR12" i="29"/>
  <c r="AM12" i="29" s="1"/>
  <c r="AN12" i="29" s="1"/>
  <c r="AR377" i="29"/>
  <c r="AQ377" i="29" s="1"/>
  <c r="AR296" i="29"/>
  <c r="AR265" i="29"/>
  <c r="AM265" i="29" s="1"/>
  <c r="AN265" i="29" s="1"/>
  <c r="AR220" i="29"/>
  <c r="AM220" i="29" s="1"/>
  <c r="AN220" i="29" s="1"/>
  <c r="AR181" i="29"/>
  <c r="AM181" i="29" s="1"/>
  <c r="AN181" i="29" s="1"/>
  <c r="AR138" i="29"/>
  <c r="AM138" i="29" s="1"/>
  <c r="AN138" i="29" s="1"/>
  <c r="AR102" i="29"/>
  <c r="AM102" i="29" s="1"/>
  <c r="AN102" i="29" s="1"/>
  <c r="AR82" i="29"/>
  <c r="AM82" i="29" s="1"/>
  <c r="AN82" i="29" s="1"/>
  <c r="AR59" i="29"/>
  <c r="AM59" i="29" s="1"/>
  <c r="AN59" i="29" s="1"/>
  <c r="AR35" i="29"/>
  <c r="AM35" i="29" s="1"/>
  <c r="AN35" i="29" s="1"/>
  <c r="AR23" i="29"/>
  <c r="AM23" i="29" s="1"/>
  <c r="AN23" i="29" s="1"/>
  <c r="AR363" i="29"/>
  <c r="AQ363" i="29" s="1"/>
  <c r="AR356" i="29"/>
  <c r="AR349" i="29"/>
  <c r="AR344" i="29"/>
  <c r="AQ344" i="29" s="1"/>
  <c r="AR338" i="29"/>
  <c r="AR330" i="29"/>
  <c r="AQ330" i="29" s="1"/>
  <c r="AR323" i="29"/>
  <c r="AR315" i="29"/>
  <c r="AQ315" i="29" s="1"/>
  <c r="AR308" i="29"/>
  <c r="AQ308" i="29" s="1"/>
  <c r="AR300" i="29"/>
  <c r="AR292" i="29"/>
  <c r="AR284" i="29"/>
  <c r="AQ284" i="29" s="1"/>
  <c r="AR269" i="29"/>
  <c r="AQ269" i="29" s="1"/>
  <c r="AR261" i="29"/>
  <c r="AM261" i="29" s="1"/>
  <c r="AN261" i="29" s="1"/>
  <c r="AR254" i="29"/>
  <c r="AM254" i="29" s="1"/>
  <c r="AN254" i="29" s="1"/>
  <c r="AR247" i="29"/>
  <c r="AQ247" i="29" s="1"/>
  <c r="AR240" i="29"/>
  <c r="AM240" i="29" s="1"/>
  <c r="AN240" i="29" s="1"/>
  <c r="AR232" i="29"/>
  <c r="AM232" i="29" s="1"/>
  <c r="AN232" i="29" s="1"/>
  <c r="AR224" i="29"/>
  <c r="AM224" i="29" s="1"/>
  <c r="AN224" i="29" s="1"/>
  <c r="AR216" i="29"/>
  <c r="AM216" i="29" s="1"/>
  <c r="AN216" i="29" s="1"/>
  <c r="AR208" i="29"/>
  <c r="AM208" i="29" s="1"/>
  <c r="AN208" i="29" s="1"/>
  <c r="AR201" i="29"/>
  <c r="AM201" i="29" s="1"/>
  <c r="AN201" i="29" s="1"/>
  <c r="AR193" i="29"/>
  <c r="AM193" i="29" s="1"/>
  <c r="AN193" i="29" s="1"/>
  <c r="AR185" i="29"/>
  <c r="AM185" i="29" s="1"/>
  <c r="AN185" i="29" s="1"/>
  <c r="AR177" i="29"/>
  <c r="AM177" i="29" s="1"/>
  <c r="AN177" i="29" s="1"/>
  <c r="AR169" i="29"/>
  <c r="AM169" i="29" s="1"/>
  <c r="AN169" i="29" s="1"/>
  <c r="AR161" i="29"/>
  <c r="AM161" i="29" s="1"/>
  <c r="AN161" i="29" s="1"/>
  <c r="AR155" i="29"/>
  <c r="AM155" i="29" s="1"/>
  <c r="AN155" i="29" s="1"/>
  <c r="AR142" i="29"/>
  <c r="AM142" i="29" s="1"/>
  <c r="AN142" i="29" s="1"/>
  <c r="AP142" i="29" s="1"/>
  <c r="AR134" i="29"/>
  <c r="AM134" i="29" s="1"/>
  <c r="AN134" i="29" s="1"/>
  <c r="AR126" i="29"/>
  <c r="AM126" i="29" s="1"/>
  <c r="AN126" i="29" s="1"/>
  <c r="AR118" i="29"/>
  <c r="AM118" i="29" s="1"/>
  <c r="AN118" i="29" s="1"/>
  <c r="AR106" i="29"/>
  <c r="AM106" i="29" s="1"/>
  <c r="AN106" i="29" s="1"/>
  <c r="AR98" i="29"/>
  <c r="AM98" i="29" s="1"/>
  <c r="AN98" i="29" s="1"/>
  <c r="AR86" i="29"/>
  <c r="AM86" i="29" s="1"/>
  <c r="AN86" i="29" s="1"/>
  <c r="AR78" i="29"/>
  <c r="AM78" i="29" s="1"/>
  <c r="AN78" i="29" s="1"/>
  <c r="AR63" i="29"/>
  <c r="AM63" i="29" s="1"/>
  <c r="AN63" i="29" s="1"/>
  <c r="AR55" i="29"/>
  <c r="AM55" i="29" s="1"/>
  <c r="AN55" i="29" s="1"/>
  <c r="AP55" i="29" s="1"/>
  <c r="AR47" i="29"/>
  <c r="AM47" i="29" s="1"/>
  <c r="AN47" i="29" s="1"/>
  <c r="AR39" i="29"/>
  <c r="AM39" i="29" s="1"/>
  <c r="AN39" i="29" s="1"/>
  <c r="AM31" i="29"/>
  <c r="AN31" i="29" s="1"/>
  <c r="AR26" i="29"/>
  <c r="AM26" i="29" s="1"/>
  <c r="AN26" i="29" s="1"/>
  <c r="AR19" i="29"/>
  <c r="AM19" i="29" s="1"/>
  <c r="AN19" i="29" s="1"/>
  <c r="AQ11" i="29"/>
  <c r="AM11" i="29"/>
  <c r="AN11" i="29" s="1"/>
  <c r="AR367" i="29"/>
  <c r="AR327" i="29"/>
  <c r="AR273" i="29"/>
  <c r="AQ273" i="29" s="1"/>
  <c r="AR212" i="29"/>
  <c r="AM212" i="29" s="1"/>
  <c r="AN212" i="29" s="1"/>
  <c r="AR165" i="29"/>
  <c r="AM165" i="29" s="1"/>
  <c r="AN165" i="29" s="1"/>
  <c r="AR122" i="29"/>
  <c r="AM122" i="29" s="1"/>
  <c r="AN122" i="29" s="1"/>
  <c r="AR7" i="29"/>
  <c r="AM7" i="29" s="1"/>
  <c r="AN7" i="29" s="1"/>
  <c r="AR373" i="29"/>
  <c r="AQ373" i="29" s="1"/>
  <c r="AR370" i="29"/>
  <c r="AQ370" i="29" s="1"/>
  <c r="AR355" i="29"/>
  <c r="AQ355" i="29" s="1"/>
  <c r="AR348" i="29"/>
  <c r="AQ348" i="29" s="1"/>
  <c r="AR343" i="29"/>
  <c r="AQ343" i="29" s="1"/>
  <c r="AR337" i="29"/>
  <c r="AQ337" i="29" s="1"/>
  <c r="AR322" i="29"/>
  <c r="AQ322" i="29" s="1"/>
  <c r="AR314" i="29"/>
  <c r="AQ314" i="29" s="1"/>
  <c r="AR307" i="29"/>
  <c r="AQ307" i="29" s="1"/>
  <c r="AR299" i="29"/>
  <c r="AQ299" i="29" s="1"/>
  <c r="AR291" i="29"/>
  <c r="AQ291" i="29" s="1"/>
  <c r="AR283" i="29"/>
  <c r="AQ283" i="29" s="1"/>
  <c r="AR276" i="29"/>
  <c r="AQ276" i="29" s="1"/>
  <c r="AR268" i="29"/>
  <c r="AQ268" i="29" s="1"/>
  <c r="AR260" i="29"/>
  <c r="AM260" i="29" s="1"/>
  <c r="AN260" i="29" s="1"/>
  <c r="AR253" i="29"/>
  <c r="AM253" i="29" s="1"/>
  <c r="AN253" i="29" s="1"/>
  <c r="AR239" i="29"/>
  <c r="AM239" i="29" s="1"/>
  <c r="AN239" i="29" s="1"/>
  <c r="AR231" i="29"/>
  <c r="AM231" i="29" s="1"/>
  <c r="AN231" i="29" s="1"/>
  <c r="AR223" i="29"/>
  <c r="AM223" i="29" s="1"/>
  <c r="AN223" i="29" s="1"/>
  <c r="AR215" i="29"/>
  <c r="AM215" i="29" s="1"/>
  <c r="AN215" i="29" s="1"/>
  <c r="AR207" i="29"/>
  <c r="AM207" i="29" s="1"/>
  <c r="AN207" i="29" s="1"/>
  <c r="AR200" i="29"/>
  <c r="AM200" i="29" s="1"/>
  <c r="AN200" i="29" s="1"/>
  <c r="AR192" i="29"/>
  <c r="AM192" i="29" s="1"/>
  <c r="AN192" i="29" s="1"/>
  <c r="AR184" i="29"/>
  <c r="AM184" i="29" s="1"/>
  <c r="AN184" i="29" s="1"/>
  <c r="AR176" i="29"/>
  <c r="AM176" i="29" s="1"/>
  <c r="AN176" i="29" s="1"/>
  <c r="AR168" i="29"/>
  <c r="AM168" i="29" s="1"/>
  <c r="AN168" i="29" s="1"/>
  <c r="AP168" i="29" s="1"/>
  <c r="AT168" i="29" s="1"/>
  <c r="AR160" i="29"/>
  <c r="AM160" i="29" s="1"/>
  <c r="AN160" i="29" s="1"/>
  <c r="AR149" i="29"/>
  <c r="AM149" i="29" s="1"/>
  <c r="AN149" i="29" s="1"/>
  <c r="AR141" i="29"/>
  <c r="AM141" i="29" s="1"/>
  <c r="AN141" i="29" s="1"/>
  <c r="AP141" i="29" s="1"/>
  <c r="AR133" i="29"/>
  <c r="AM133" i="29" s="1"/>
  <c r="AN133" i="29" s="1"/>
  <c r="AR125" i="29"/>
  <c r="AM125" i="29" s="1"/>
  <c r="AN125" i="29" s="1"/>
  <c r="AR117" i="29"/>
  <c r="AM117" i="29" s="1"/>
  <c r="AN117" i="29" s="1"/>
  <c r="AR105" i="29"/>
  <c r="AM105" i="29" s="1"/>
  <c r="AN105" i="29" s="1"/>
  <c r="AR97" i="29"/>
  <c r="AM97" i="29" s="1"/>
  <c r="AN97" i="29" s="1"/>
  <c r="AR91" i="29"/>
  <c r="AM91" i="29" s="1"/>
  <c r="AN91" i="29" s="1"/>
  <c r="AR85" i="29"/>
  <c r="AM85" i="29" s="1"/>
  <c r="AN85" i="29" s="1"/>
  <c r="AR77" i="29"/>
  <c r="AM77" i="29" s="1"/>
  <c r="AN77" i="29" s="1"/>
  <c r="AR70" i="29"/>
  <c r="AM70" i="29" s="1"/>
  <c r="AN70" i="29" s="1"/>
  <c r="AR62" i="29"/>
  <c r="AM62" i="29" s="1"/>
  <c r="AN62" i="29" s="1"/>
  <c r="AM54" i="29"/>
  <c r="AN54" i="29" s="1"/>
  <c r="AR46" i="29"/>
  <c r="AM46" i="29" s="1"/>
  <c r="AN46" i="29" s="1"/>
  <c r="AR38" i="29"/>
  <c r="AM38" i="29" s="1"/>
  <c r="AN38" i="29" s="1"/>
  <c r="AM25" i="29"/>
  <c r="AN25" i="29" s="1"/>
  <c r="AR18" i="29"/>
  <c r="AM18" i="29" s="1"/>
  <c r="AN18" i="29" s="1"/>
  <c r="AQ10" i="29"/>
  <c r="AM10" i="29"/>
  <c r="AN10" i="29" s="1"/>
  <c r="AR304" i="29"/>
  <c r="AR280" i="29"/>
  <c r="AQ280" i="29" s="1"/>
  <c r="AR228" i="29"/>
  <c r="AM228" i="29" s="1"/>
  <c r="AN228" i="29" s="1"/>
  <c r="AR173" i="29"/>
  <c r="AM173" i="29" s="1"/>
  <c r="AN173" i="29" s="1"/>
  <c r="AR153" i="29"/>
  <c r="AM153" i="29" s="1"/>
  <c r="AN153" i="29" s="1"/>
  <c r="AR130" i="29"/>
  <c r="AM130" i="29" s="1"/>
  <c r="AN130" i="29" s="1"/>
  <c r="AR95" i="29"/>
  <c r="AM95" i="29" s="1"/>
  <c r="AN95" i="29" s="1"/>
  <c r="AR74" i="29"/>
  <c r="AM74" i="29" s="1"/>
  <c r="AN74" i="29" s="1"/>
  <c r="AR43" i="29"/>
  <c r="AM43" i="29" s="1"/>
  <c r="AN43" i="29" s="1"/>
  <c r="AR29" i="29"/>
  <c r="AM29" i="29" s="1"/>
  <c r="AN29" i="29" s="1"/>
  <c r="AP29" i="29" s="1"/>
  <c r="AR379" i="29"/>
  <c r="AQ379" i="29" s="1"/>
  <c r="AR372" i="29"/>
  <c r="AR369" i="29"/>
  <c r="AQ369" i="29" s="1"/>
  <c r="AR362" i="29"/>
  <c r="AQ362" i="29" s="1"/>
  <c r="AR354" i="29"/>
  <c r="AR347" i="29"/>
  <c r="AR342" i="29"/>
  <c r="AQ342" i="29" s="1"/>
  <c r="AR336" i="29"/>
  <c r="AQ336" i="29" s="1"/>
  <c r="AR329" i="29"/>
  <c r="AR321" i="29"/>
  <c r="AQ321" i="29" s="1"/>
  <c r="AR313" i="29"/>
  <c r="AQ313" i="29" s="1"/>
  <c r="AR306" i="29"/>
  <c r="AQ306" i="29" s="1"/>
  <c r="AR298" i="29"/>
  <c r="AR290" i="29"/>
  <c r="AR282" i="29"/>
  <c r="AQ282" i="29" s="1"/>
  <c r="AR275" i="29"/>
  <c r="AQ275" i="29" s="1"/>
  <c r="AR267" i="29"/>
  <c r="AM267" i="29" s="1"/>
  <c r="AN267" i="29" s="1"/>
  <c r="AR259" i="29"/>
  <c r="AM259" i="29" s="1"/>
  <c r="AN259" i="29" s="1"/>
  <c r="AR252" i="29"/>
  <c r="AM252" i="29" s="1"/>
  <c r="AN252" i="29" s="1"/>
  <c r="AR246" i="29"/>
  <c r="AM246" i="29" s="1"/>
  <c r="AN246" i="29" s="1"/>
  <c r="AR238" i="29"/>
  <c r="AM238" i="29" s="1"/>
  <c r="AN238" i="29" s="1"/>
  <c r="AR230" i="29"/>
  <c r="AM230" i="29" s="1"/>
  <c r="AN230" i="29" s="1"/>
  <c r="AR222" i="29"/>
  <c r="AM222" i="29" s="1"/>
  <c r="AN222" i="29" s="1"/>
  <c r="AR214" i="29"/>
  <c r="AM214" i="29" s="1"/>
  <c r="AN214" i="29" s="1"/>
  <c r="AR206" i="29"/>
  <c r="AM206" i="29" s="1"/>
  <c r="AN206" i="29" s="1"/>
  <c r="AR199" i="29"/>
  <c r="AM199" i="29" s="1"/>
  <c r="AN199" i="29" s="1"/>
  <c r="AR191" i="29"/>
  <c r="AM191" i="29" s="1"/>
  <c r="AN191" i="29" s="1"/>
  <c r="AR183" i="29"/>
  <c r="AM183" i="29" s="1"/>
  <c r="AN183" i="29" s="1"/>
  <c r="AR175" i="29"/>
  <c r="AM175" i="29" s="1"/>
  <c r="AN175" i="29" s="1"/>
  <c r="AR167" i="29"/>
  <c r="AM167" i="29" s="1"/>
  <c r="AN167" i="29" s="1"/>
  <c r="AR159" i="29"/>
  <c r="AM159" i="29" s="1"/>
  <c r="AN159" i="29" s="1"/>
  <c r="AR154" i="29"/>
  <c r="AM154" i="29" s="1"/>
  <c r="AN154" i="29" s="1"/>
  <c r="AR148" i="29"/>
  <c r="AM148" i="29" s="1"/>
  <c r="AN148" i="29" s="1"/>
  <c r="AR140" i="29"/>
  <c r="AM140" i="29" s="1"/>
  <c r="AN140" i="29" s="1"/>
  <c r="AM132" i="29"/>
  <c r="AN132" i="29" s="1"/>
  <c r="AR124" i="29"/>
  <c r="AM124" i="29" s="1"/>
  <c r="AN124" i="29" s="1"/>
  <c r="AR116" i="29"/>
  <c r="AM116" i="29" s="1"/>
  <c r="AN116" i="29" s="1"/>
  <c r="AR104" i="29"/>
  <c r="AM104" i="29" s="1"/>
  <c r="AN104" i="29" s="1"/>
  <c r="AR96" i="29"/>
  <c r="AM96" i="29" s="1"/>
  <c r="AN96" i="29" s="1"/>
  <c r="AR90" i="29"/>
  <c r="AM90" i="29" s="1"/>
  <c r="AN90" i="29" s="1"/>
  <c r="AR84" i="29"/>
  <c r="AM84" i="29" s="1"/>
  <c r="AN84" i="29" s="1"/>
  <c r="AP84" i="29" s="1"/>
  <c r="AR76" i="29"/>
  <c r="AM76" i="29" s="1"/>
  <c r="AN76" i="29" s="1"/>
  <c r="AR69" i="29"/>
  <c r="AM69" i="29" s="1"/>
  <c r="AN69" i="29" s="1"/>
  <c r="AM61" i="29"/>
  <c r="AN61" i="29" s="1"/>
  <c r="AR53" i="29"/>
  <c r="AM53" i="29" s="1"/>
  <c r="AN53" i="29" s="1"/>
  <c r="AR45" i="29"/>
  <c r="AM45" i="29" s="1"/>
  <c r="AN45" i="29" s="1"/>
  <c r="AR37" i="29"/>
  <c r="AM37" i="29" s="1"/>
  <c r="AN37" i="29" s="1"/>
  <c r="AR24" i="29"/>
  <c r="AM24" i="29" s="1"/>
  <c r="AN24" i="29" s="1"/>
  <c r="AR17" i="29"/>
  <c r="AM17" i="29" s="1"/>
  <c r="AN17" i="29" s="1"/>
  <c r="AQ9" i="29"/>
  <c r="AM9" i="29"/>
  <c r="AN9" i="29" s="1"/>
  <c r="AR51" i="29"/>
  <c r="AM51" i="29" s="1"/>
  <c r="AN51" i="29" s="1"/>
  <c r="AR378" i="29"/>
  <c r="AQ378" i="29" s="1"/>
  <c r="AR368" i="29"/>
  <c r="AQ368" i="29" s="1"/>
  <c r="AR361" i="29"/>
  <c r="AQ361" i="29" s="1"/>
  <c r="AR353" i="29"/>
  <c r="AQ353" i="29" s="1"/>
  <c r="AR341" i="29"/>
  <c r="AQ341" i="29" s="1"/>
  <c r="AR335" i="29"/>
  <c r="AQ335" i="29" s="1"/>
  <c r="AR328" i="29"/>
  <c r="AQ328" i="29" s="1"/>
  <c r="AR320" i="29"/>
  <c r="AQ320" i="29" s="1"/>
  <c r="AR312" i="29"/>
  <c r="AQ312" i="29" s="1"/>
  <c r="AR305" i="29"/>
  <c r="AQ305" i="29" s="1"/>
  <c r="AR297" i="29"/>
  <c r="AR289" i="29"/>
  <c r="AQ289" i="29" s="1"/>
  <c r="AR281" i="29"/>
  <c r="AQ281" i="29" s="1"/>
  <c r="AR274" i="29"/>
  <c r="AQ274" i="29" s="1"/>
  <c r="AR266" i="29"/>
  <c r="AM266" i="29" s="1"/>
  <c r="AN266" i="29" s="1"/>
  <c r="AR258" i="29"/>
  <c r="AM258" i="29" s="1"/>
  <c r="AN258" i="29" s="1"/>
  <c r="AR245" i="29"/>
  <c r="AM245" i="29" s="1"/>
  <c r="AN245" i="29" s="1"/>
  <c r="AR237" i="29"/>
  <c r="AM237" i="29" s="1"/>
  <c r="AN237" i="29" s="1"/>
  <c r="AR229" i="29"/>
  <c r="AM229" i="29" s="1"/>
  <c r="AN229" i="29" s="1"/>
  <c r="AR221" i="29"/>
  <c r="AM221" i="29" s="1"/>
  <c r="AN221" i="29" s="1"/>
  <c r="AR213" i="29"/>
  <c r="AM213" i="29" s="1"/>
  <c r="AN213" i="29" s="1"/>
  <c r="AR198" i="29"/>
  <c r="AM198" i="29" s="1"/>
  <c r="AN198" i="29" s="1"/>
  <c r="AR190" i="29"/>
  <c r="AM190" i="29" s="1"/>
  <c r="AN190" i="29" s="1"/>
  <c r="AR182" i="29"/>
  <c r="AM182" i="29" s="1"/>
  <c r="AN182" i="29" s="1"/>
  <c r="AR174" i="29"/>
  <c r="AM174" i="29" s="1"/>
  <c r="AN174" i="29" s="1"/>
  <c r="AR166" i="29"/>
  <c r="AM166" i="29" s="1"/>
  <c r="AN166" i="29" s="1"/>
  <c r="AR158" i="29"/>
  <c r="AM158" i="29" s="1"/>
  <c r="AN158" i="29" s="1"/>
  <c r="AR147" i="29"/>
  <c r="AM147" i="29" s="1"/>
  <c r="AN147" i="29" s="1"/>
  <c r="AR139" i="29"/>
  <c r="AM139" i="29" s="1"/>
  <c r="AN139" i="29" s="1"/>
  <c r="AR131" i="29"/>
  <c r="AM131" i="29" s="1"/>
  <c r="AN131" i="29" s="1"/>
  <c r="AR123" i="29"/>
  <c r="AM123" i="29" s="1"/>
  <c r="AN123" i="29" s="1"/>
  <c r="AR115" i="29"/>
  <c r="AM115" i="29" s="1"/>
  <c r="AN115" i="29" s="1"/>
  <c r="AP115" i="29" s="1"/>
  <c r="AR110" i="29"/>
  <c r="AM110" i="29" s="1"/>
  <c r="AN110" i="29" s="1"/>
  <c r="AR103" i="29"/>
  <c r="AM103" i="29" s="1"/>
  <c r="AN103" i="29" s="1"/>
  <c r="AR89" i="29"/>
  <c r="AM89" i="29" s="1"/>
  <c r="AN89" i="29" s="1"/>
  <c r="AR83" i="29"/>
  <c r="AM83" i="29" s="1"/>
  <c r="AN83" i="29" s="1"/>
  <c r="AR75" i="29"/>
  <c r="AM75" i="29" s="1"/>
  <c r="AN75" i="29" s="1"/>
  <c r="AR68" i="29"/>
  <c r="AM68" i="29" s="1"/>
  <c r="AN68" i="29" s="1"/>
  <c r="AR60" i="29"/>
  <c r="AM60" i="29" s="1"/>
  <c r="AN60" i="29" s="1"/>
  <c r="AR52" i="29"/>
  <c r="AM52" i="29" s="1"/>
  <c r="AN52" i="29" s="1"/>
  <c r="AR44" i="29"/>
  <c r="AM44" i="29" s="1"/>
  <c r="AN44" i="29" s="1"/>
  <c r="AR36" i="29"/>
  <c r="AM36" i="29" s="1"/>
  <c r="AN36" i="29" s="1"/>
  <c r="AR30" i="29"/>
  <c r="AM30" i="29" s="1"/>
  <c r="AN30" i="29" s="1"/>
  <c r="AP30" i="29" s="1"/>
  <c r="AR16" i="29"/>
  <c r="AM16" i="29" s="1"/>
  <c r="AN16" i="29" s="1"/>
  <c r="AR8" i="29"/>
  <c r="AM8" i="29" s="1"/>
  <c r="AN8" i="29" s="1"/>
  <c r="BE168" i="29" l="1"/>
  <c r="V5" i="29"/>
  <c r="U5" i="29"/>
  <c r="AQ296" i="29"/>
  <c r="AQ294" i="29"/>
  <c r="AQ318" i="29"/>
  <c r="AE51" i="29"/>
  <c r="AF51" i="29" s="1"/>
  <c r="AE99" i="29"/>
  <c r="AF99" i="29" s="1"/>
  <c r="AE356" i="29"/>
  <c r="AF356" i="29" s="1"/>
  <c r="AC278" i="29"/>
  <c r="AE278" i="29" s="1"/>
  <c r="AF278" i="29" s="1"/>
  <c r="U202" i="29"/>
  <c r="AB202" i="29" s="1"/>
  <c r="AD202" i="29" s="1"/>
  <c r="AB34" i="29"/>
  <c r="AD34" i="29" s="1"/>
  <c r="V127" i="29"/>
  <c r="AB191" i="29"/>
  <c r="AD191" i="29" s="1"/>
  <c r="AC263" i="29"/>
  <c r="U245" i="29"/>
  <c r="AE245" i="29" s="1"/>
  <c r="AF245" i="29" s="1"/>
  <c r="U52" i="29"/>
  <c r="AE75" i="29"/>
  <c r="AF75" i="29" s="1"/>
  <c r="AC94" i="29"/>
  <c r="AE94" i="29" s="1"/>
  <c r="AF94" i="29" s="1"/>
  <c r="V292" i="29"/>
  <c r="AB292" i="29" s="1"/>
  <c r="AD292" i="29" s="1"/>
  <c r="AB236" i="29"/>
  <c r="AD236" i="29" s="1"/>
  <c r="V311" i="29"/>
  <c r="V245" i="29"/>
  <c r="AB49" i="29"/>
  <c r="AD49" i="29" s="1"/>
  <c r="AB117" i="29"/>
  <c r="AD117" i="29" s="1"/>
  <c r="U311" i="29"/>
  <c r="AE311" i="29" s="1"/>
  <c r="AF311" i="29" s="1"/>
  <c r="AE221" i="29"/>
  <c r="AF221" i="29" s="1"/>
  <c r="AC202" i="29"/>
  <c r="AC38" i="29"/>
  <c r="AE38" i="29" s="1"/>
  <c r="AF38" i="29" s="1"/>
  <c r="V52" i="29"/>
  <c r="U54" i="29"/>
  <c r="AB54" i="29" s="1"/>
  <c r="AD54" i="29" s="1"/>
  <c r="AE120" i="29"/>
  <c r="AF120" i="29" s="1"/>
  <c r="AB153" i="29"/>
  <c r="AD153" i="29" s="1"/>
  <c r="V39" i="29"/>
  <c r="AB340" i="29"/>
  <c r="AD340" i="29" s="1"/>
  <c r="AC277" i="29"/>
  <c r="AE277" i="29" s="1"/>
  <c r="AF277" i="29" s="1"/>
  <c r="AE183" i="29"/>
  <c r="AF183" i="29" s="1"/>
  <c r="V277" i="29"/>
  <c r="AB277" i="29" s="1"/>
  <c r="AD277" i="29" s="1"/>
  <c r="AE97" i="29"/>
  <c r="AF97" i="29" s="1"/>
  <c r="AC326" i="29"/>
  <c r="AE326" i="29" s="1"/>
  <c r="AF326" i="29" s="1"/>
  <c r="V176" i="29"/>
  <c r="AE43" i="29"/>
  <c r="AF43" i="29" s="1"/>
  <c r="AE87" i="29"/>
  <c r="AF87" i="29" s="1"/>
  <c r="AB206" i="29"/>
  <c r="AD206" i="29" s="1"/>
  <c r="U263" i="29"/>
  <c r="AB263" i="29" s="1"/>
  <c r="AD263" i="29" s="1"/>
  <c r="AB261" i="29"/>
  <c r="AD261" i="29" s="1"/>
  <c r="AE37" i="29"/>
  <c r="AF37" i="29" s="1"/>
  <c r="AE261" i="29"/>
  <c r="AF261" i="29" s="1"/>
  <c r="AC152" i="29"/>
  <c r="AE152" i="29" s="1"/>
  <c r="AF152" i="29" s="1"/>
  <c r="AB342" i="29"/>
  <c r="AD342" i="29" s="1"/>
  <c r="AB221" i="29"/>
  <c r="AD221" i="29" s="1"/>
  <c r="AE185" i="29"/>
  <c r="AF185" i="29" s="1"/>
  <c r="AE191" i="29"/>
  <c r="AF191" i="29" s="1"/>
  <c r="AB40" i="29"/>
  <c r="AD40" i="29" s="1"/>
  <c r="AB64" i="29"/>
  <c r="AD64" i="29" s="1"/>
  <c r="AB37" i="29"/>
  <c r="AD37" i="29" s="1"/>
  <c r="AB33" i="29"/>
  <c r="AD33" i="29" s="1"/>
  <c r="AE213" i="29"/>
  <c r="AF213" i="29" s="1"/>
  <c r="AC239" i="29"/>
  <c r="AE239" i="29" s="1"/>
  <c r="AF239" i="29" s="1"/>
  <c r="AB57" i="29"/>
  <c r="AD57" i="29" s="1"/>
  <c r="V152" i="29"/>
  <c r="AB152" i="29" s="1"/>
  <c r="AD152" i="29" s="1"/>
  <c r="AC360" i="29"/>
  <c r="V69" i="29"/>
  <c r="AB69" i="29" s="1"/>
  <c r="AD69" i="29" s="1"/>
  <c r="V239" i="29"/>
  <c r="AB239" i="29" s="1"/>
  <c r="AD239" i="29" s="1"/>
  <c r="AE114" i="29"/>
  <c r="AF114" i="29" s="1"/>
  <c r="AE291" i="29"/>
  <c r="AF291" i="29" s="1"/>
  <c r="AE147" i="29"/>
  <c r="AF147" i="29" s="1"/>
  <c r="AE49" i="29"/>
  <c r="AF49" i="29" s="1"/>
  <c r="AB147" i="29"/>
  <c r="AD147" i="29" s="1"/>
  <c r="AE199" i="29"/>
  <c r="AF199" i="29" s="1"/>
  <c r="AB175" i="29"/>
  <c r="AD175" i="29" s="1"/>
  <c r="AB125" i="29"/>
  <c r="AD125" i="29" s="1"/>
  <c r="V218" i="29"/>
  <c r="AE299" i="29"/>
  <c r="AF299" i="29" s="1"/>
  <c r="U238" i="29"/>
  <c r="AB238" i="29" s="1"/>
  <c r="AD238" i="29" s="1"/>
  <c r="U218" i="29"/>
  <c r="AE314" i="29"/>
  <c r="AF314" i="29" s="1"/>
  <c r="V308" i="29"/>
  <c r="AB308" i="29" s="1"/>
  <c r="AD308" i="29" s="1"/>
  <c r="AB124" i="29"/>
  <c r="AD124" i="29" s="1"/>
  <c r="AC292" i="29"/>
  <c r="AE292" i="29" s="1"/>
  <c r="AF292" i="29" s="1"/>
  <c r="AB120" i="29"/>
  <c r="AD120" i="29" s="1"/>
  <c r="AE181" i="29"/>
  <c r="AF181" i="29" s="1"/>
  <c r="AE153" i="29"/>
  <c r="AF153" i="29" s="1"/>
  <c r="AB102" i="29"/>
  <c r="AD102" i="29" s="1"/>
  <c r="AC134" i="29"/>
  <c r="AE134" i="29" s="1"/>
  <c r="AF134" i="29" s="1"/>
  <c r="U127" i="29"/>
  <c r="AC18" i="29"/>
  <c r="AE18" i="29" s="1"/>
  <c r="AF18" i="29" s="1"/>
  <c r="AE169" i="29"/>
  <c r="AF169" i="29" s="1"/>
  <c r="U145" i="29"/>
  <c r="V134" i="29"/>
  <c r="AB134" i="29" s="1"/>
  <c r="AD134" i="29" s="1"/>
  <c r="U237" i="29"/>
  <c r="AE237" i="29" s="1"/>
  <c r="AF237" i="29" s="1"/>
  <c r="V18" i="29"/>
  <c r="AB18" i="29" s="1"/>
  <c r="AD18" i="29" s="1"/>
  <c r="AB92" i="29"/>
  <c r="AD92" i="29" s="1"/>
  <c r="U249" i="29"/>
  <c r="AB249" i="29" s="1"/>
  <c r="AD249" i="29" s="1"/>
  <c r="V237" i="29"/>
  <c r="AB356" i="29"/>
  <c r="AD356" i="29" s="1"/>
  <c r="AE214" i="29"/>
  <c r="AF214" i="29" s="1"/>
  <c r="V346" i="29"/>
  <c r="V208" i="29"/>
  <c r="AB208" i="29" s="1"/>
  <c r="AD208" i="29" s="1"/>
  <c r="AB51" i="29"/>
  <c r="AD51" i="29" s="1"/>
  <c r="AB67" i="29"/>
  <c r="AD67" i="29" s="1"/>
  <c r="AB190" i="29"/>
  <c r="AD190" i="29" s="1"/>
  <c r="AE133" i="29"/>
  <c r="AF133" i="29" s="1"/>
  <c r="AB299" i="29"/>
  <c r="AD299" i="29" s="1"/>
  <c r="AB87" i="29"/>
  <c r="AD87" i="29" s="1"/>
  <c r="AC208" i="29"/>
  <c r="AE208" i="29" s="1"/>
  <c r="AF208" i="29" s="1"/>
  <c r="U176" i="29"/>
  <c r="AE176" i="29" s="1"/>
  <c r="AF176" i="29" s="1"/>
  <c r="AB72" i="29"/>
  <c r="AD72" i="29" s="1"/>
  <c r="AB62" i="29"/>
  <c r="AD62" i="29" s="1"/>
  <c r="AE247" i="29"/>
  <c r="AF247" i="29" s="1"/>
  <c r="V326" i="29"/>
  <c r="AB326" i="29" s="1"/>
  <c r="AD326" i="29" s="1"/>
  <c r="AB291" i="29"/>
  <c r="AD291" i="29" s="1"/>
  <c r="AB122" i="29"/>
  <c r="AD122" i="29" s="1"/>
  <c r="AC31" i="29"/>
  <c r="AE31" i="29" s="1"/>
  <c r="AF31" i="29" s="1"/>
  <c r="AE190" i="29"/>
  <c r="AF190" i="29" s="1"/>
  <c r="U165" i="29"/>
  <c r="AE165" i="29" s="1"/>
  <c r="AF165" i="29" s="1"/>
  <c r="V30" i="29"/>
  <c r="AB146" i="29"/>
  <c r="AD146" i="29" s="1"/>
  <c r="AB213" i="29"/>
  <c r="AD213" i="29" s="1"/>
  <c r="V31" i="29"/>
  <c r="AB31" i="29" s="1"/>
  <c r="AD31" i="29" s="1"/>
  <c r="V38" i="29"/>
  <c r="AB38" i="29" s="1"/>
  <c r="AD38" i="29" s="1"/>
  <c r="AC96" i="29"/>
  <c r="AB251" i="29"/>
  <c r="AD251" i="29" s="1"/>
  <c r="AE320" i="29"/>
  <c r="AF320" i="29" s="1"/>
  <c r="AE40" i="29"/>
  <c r="AF40" i="29" s="1"/>
  <c r="U360" i="29"/>
  <c r="AB360" i="29" s="1"/>
  <c r="AD360" i="29" s="1"/>
  <c r="AE144" i="29"/>
  <c r="AF144" i="29" s="1"/>
  <c r="U186" i="29"/>
  <c r="U30" i="29"/>
  <c r="V285" i="29"/>
  <c r="V294" i="29"/>
  <c r="AC334" i="29"/>
  <c r="AE334" i="29" s="1"/>
  <c r="AF334" i="29" s="1"/>
  <c r="V108" i="29"/>
  <c r="AE71" i="29"/>
  <c r="AF71" i="29" s="1"/>
  <c r="AE353" i="29"/>
  <c r="AF353" i="29" s="1"/>
  <c r="AE125" i="29"/>
  <c r="AF125" i="29" s="1"/>
  <c r="AB136" i="29"/>
  <c r="AD136" i="29" s="1"/>
  <c r="AB183" i="29"/>
  <c r="AD183" i="29" s="1"/>
  <c r="AE234" i="29"/>
  <c r="AF234" i="29" s="1"/>
  <c r="AE77" i="29"/>
  <c r="AF77" i="29" s="1"/>
  <c r="U285" i="29"/>
  <c r="AE285" i="29" s="1"/>
  <c r="AF285" i="29" s="1"/>
  <c r="U44" i="29"/>
  <c r="AB44" i="29" s="1"/>
  <c r="AD44" i="29" s="1"/>
  <c r="U294" i="29"/>
  <c r="AE294" i="29" s="1"/>
  <c r="AF294" i="29" s="1"/>
  <c r="AC145" i="29"/>
  <c r="AB35" i="29"/>
  <c r="AD35" i="29" s="1"/>
  <c r="AC69" i="29"/>
  <c r="AE69" i="29" s="1"/>
  <c r="AF69" i="29" s="1"/>
  <c r="V278" i="29"/>
  <c r="AB278" i="29" s="1"/>
  <c r="AD278" i="29" s="1"/>
  <c r="AC226" i="29"/>
  <c r="V334" i="29"/>
  <c r="AB334" i="29" s="1"/>
  <c r="AD334" i="29" s="1"/>
  <c r="V301" i="29"/>
  <c r="AB301" i="29" s="1"/>
  <c r="AD301" i="29" s="1"/>
  <c r="AB133" i="29"/>
  <c r="AD133" i="29" s="1"/>
  <c r="AB321" i="29"/>
  <c r="AD321" i="29" s="1"/>
  <c r="AE305" i="29"/>
  <c r="AF305" i="29" s="1"/>
  <c r="AB32" i="29"/>
  <c r="AD32" i="29" s="1"/>
  <c r="AE180" i="29"/>
  <c r="AF180" i="29" s="1"/>
  <c r="AE251" i="29"/>
  <c r="AF251" i="29" s="1"/>
  <c r="V66" i="29"/>
  <c r="AB66" i="29" s="1"/>
  <c r="AD66" i="29" s="1"/>
  <c r="AC44" i="29"/>
  <c r="AB70" i="29"/>
  <c r="AD70" i="29" s="1"/>
  <c r="AC301" i="29"/>
  <c r="AE301" i="29" s="1"/>
  <c r="AF301" i="29" s="1"/>
  <c r="AC137" i="29"/>
  <c r="AE338" i="29"/>
  <c r="AF338" i="29" s="1"/>
  <c r="AB284" i="29"/>
  <c r="AD284" i="29" s="1"/>
  <c r="AB114" i="29"/>
  <c r="AD114" i="29" s="1"/>
  <c r="AB185" i="29"/>
  <c r="AD185" i="29" s="1"/>
  <c r="AE322" i="29"/>
  <c r="AF322" i="29" s="1"/>
  <c r="AB61" i="29"/>
  <c r="AD61" i="29" s="1"/>
  <c r="AB9" i="29"/>
  <c r="AD9" i="29" s="1"/>
  <c r="AE83" i="29"/>
  <c r="AF83" i="29" s="1"/>
  <c r="AC13" i="29"/>
  <c r="U13" i="29"/>
  <c r="AE233" i="29"/>
  <c r="AF233" i="29" s="1"/>
  <c r="AB336" i="29"/>
  <c r="AD336" i="29" s="1"/>
  <c r="AC54" i="29"/>
  <c r="U346" i="29"/>
  <c r="AE346" i="29" s="1"/>
  <c r="AF346" i="29" s="1"/>
  <c r="AE93" i="29"/>
  <c r="AF93" i="29" s="1"/>
  <c r="AE253" i="29"/>
  <c r="AF253" i="29" s="1"/>
  <c r="AB306" i="29"/>
  <c r="AD306" i="29" s="1"/>
  <c r="AE222" i="29"/>
  <c r="AF222" i="29" s="1"/>
  <c r="U39" i="29"/>
  <c r="AC238" i="29"/>
  <c r="U160" i="29"/>
  <c r="AB160" i="29" s="1"/>
  <c r="AD160" i="29" s="1"/>
  <c r="U96" i="29"/>
  <c r="AB96" i="29" s="1"/>
  <c r="AD96" i="29" s="1"/>
  <c r="U137" i="29"/>
  <c r="AB234" i="29"/>
  <c r="AD234" i="29" s="1"/>
  <c r="AE136" i="29"/>
  <c r="AF136" i="29" s="1"/>
  <c r="AE146" i="29"/>
  <c r="AF146" i="29" s="1"/>
  <c r="AB305" i="29"/>
  <c r="AD305" i="29" s="1"/>
  <c r="AC66" i="29"/>
  <c r="AE66" i="29" s="1"/>
  <c r="AF66" i="29" s="1"/>
  <c r="AE9" i="29"/>
  <c r="AF9" i="29" s="1"/>
  <c r="AB253" i="29"/>
  <c r="AD253" i="29" s="1"/>
  <c r="AC160" i="29"/>
  <c r="U47" i="29"/>
  <c r="AB47" i="29" s="1"/>
  <c r="AD47" i="29" s="1"/>
  <c r="AB337" i="29"/>
  <c r="AD337" i="29" s="1"/>
  <c r="AE64" i="29"/>
  <c r="AF64" i="29" s="1"/>
  <c r="AE61" i="29"/>
  <c r="AF61" i="29" s="1"/>
  <c r="AB50" i="29"/>
  <c r="AD50" i="29" s="1"/>
  <c r="AE57" i="29"/>
  <c r="AF57" i="29" s="1"/>
  <c r="AB369" i="29"/>
  <c r="AD369" i="29" s="1"/>
  <c r="AC84" i="29"/>
  <c r="U226" i="29"/>
  <c r="AC25" i="29"/>
  <c r="AE25" i="29" s="1"/>
  <c r="AF25" i="29" s="1"/>
  <c r="AE212" i="29"/>
  <c r="AF212" i="29" s="1"/>
  <c r="AB83" i="29"/>
  <c r="AD83" i="29" s="1"/>
  <c r="AE122" i="29"/>
  <c r="AF122" i="29" s="1"/>
  <c r="AE142" i="29"/>
  <c r="AF142" i="29" s="1"/>
  <c r="V186" i="29"/>
  <c r="AC249" i="29"/>
  <c r="AB260" i="29"/>
  <c r="AD260" i="29" s="1"/>
  <c r="U84" i="29"/>
  <c r="V25" i="29"/>
  <c r="AB25" i="29" s="1"/>
  <c r="AD25" i="29" s="1"/>
  <c r="V165" i="29"/>
  <c r="AE102" i="29"/>
  <c r="AF102" i="29" s="1"/>
  <c r="AB169" i="29"/>
  <c r="AD169" i="29" s="1"/>
  <c r="AB28" i="29"/>
  <c r="AD28" i="29" s="1"/>
  <c r="U109" i="29"/>
  <c r="AE109" i="29" s="1"/>
  <c r="AF109" i="29" s="1"/>
  <c r="AC308" i="29"/>
  <c r="AE308" i="29" s="1"/>
  <c r="AF308" i="29" s="1"/>
  <c r="AB373" i="29"/>
  <c r="AD373" i="29" s="1"/>
  <c r="AE117" i="29"/>
  <c r="AF117" i="29" s="1"/>
  <c r="AE340" i="29"/>
  <c r="AF340" i="29" s="1"/>
  <c r="AE7" i="29"/>
  <c r="AF7" i="29" s="1"/>
  <c r="AE376" i="29"/>
  <c r="AF376" i="29" s="1"/>
  <c r="AE81" i="29"/>
  <c r="AF81" i="29" s="1"/>
  <c r="AC270" i="29"/>
  <c r="AE105" i="29"/>
  <c r="AF105" i="29" s="1"/>
  <c r="AB215" i="29"/>
  <c r="AD215" i="29" s="1"/>
  <c r="AB219" i="29"/>
  <c r="AD219" i="29" s="1"/>
  <c r="AE259" i="29"/>
  <c r="AF259" i="29" s="1"/>
  <c r="U262" i="29"/>
  <c r="AB262" i="29" s="1"/>
  <c r="AD262" i="29" s="1"/>
  <c r="AB63" i="29"/>
  <c r="AD63" i="29" s="1"/>
  <c r="U36" i="29"/>
  <c r="AE36" i="29" s="1"/>
  <c r="AF36" i="29" s="1"/>
  <c r="AE373" i="29"/>
  <c r="AF373" i="29" s="1"/>
  <c r="AB132" i="29"/>
  <c r="AD132" i="29" s="1"/>
  <c r="AE347" i="29"/>
  <c r="AF347" i="29" s="1"/>
  <c r="V68" i="29"/>
  <c r="AB68" i="29" s="1"/>
  <c r="AD68" i="29" s="1"/>
  <c r="AE310" i="29"/>
  <c r="AF310" i="29" s="1"/>
  <c r="AE337" i="29"/>
  <c r="AF337" i="29" s="1"/>
  <c r="AB353" i="29"/>
  <c r="AD353" i="29" s="1"/>
  <c r="AE296" i="29"/>
  <c r="AF296" i="29" s="1"/>
  <c r="AB22" i="29"/>
  <c r="AD22" i="29" s="1"/>
  <c r="AB248" i="29"/>
  <c r="AD248" i="29" s="1"/>
  <c r="AE246" i="29"/>
  <c r="AF246" i="29" s="1"/>
  <c r="U270" i="29"/>
  <c r="AB270" i="29" s="1"/>
  <c r="AD270" i="29" s="1"/>
  <c r="AE349" i="29"/>
  <c r="AF349" i="29" s="1"/>
  <c r="AE265" i="29"/>
  <c r="AF265" i="29" s="1"/>
  <c r="AE159" i="29"/>
  <c r="AF159" i="29" s="1"/>
  <c r="AB297" i="29"/>
  <c r="AD297" i="29" s="1"/>
  <c r="AB115" i="29"/>
  <c r="AD115" i="29" s="1"/>
  <c r="AE379" i="29"/>
  <c r="AF379" i="29" s="1"/>
  <c r="AB374" i="29"/>
  <c r="AD374" i="29" s="1"/>
  <c r="AB200" i="29"/>
  <c r="AD200" i="29" s="1"/>
  <c r="AE220" i="29"/>
  <c r="AF220" i="29" s="1"/>
  <c r="AE358" i="29"/>
  <c r="AF358" i="29" s="1"/>
  <c r="V94" i="29"/>
  <c r="AB94" i="29" s="1"/>
  <c r="AD94" i="29" s="1"/>
  <c r="AB192" i="29"/>
  <c r="AD192" i="29" s="1"/>
  <c r="V36" i="29"/>
  <c r="AC172" i="29"/>
  <c r="AE172" i="29" s="1"/>
  <c r="AF172" i="29" s="1"/>
  <c r="V76" i="29"/>
  <c r="AB76" i="29" s="1"/>
  <c r="AD76" i="29" s="1"/>
  <c r="AE244" i="29"/>
  <c r="AF244" i="29" s="1"/>
  <c r="AB56" i="29"/>
  <c r="AD56" i="29" s="1"/>
  <c r="AB181" i="29"/>
  <c r="AD181" i="29" s="1"/>
  <c r="AB378" i="29"/>
  <c r="AD378" i="29" s="1"/>
  <c r="AE150" i="29"/>
  <c r="AF150" i="29" s="1"/>
  <c r="AE123" i="29"/>
  <c r="AF123" i="29" s="1"/>
  <c r="AB88" i="29"/>
  <c r="AD88" i="29" s="1"/>
  <c r="AB282" i="29"/>
  <c r="AD282" i="29" s="1"/>
  <c r="AB85" i="29"/>
  <c r="AD85" i="29" s="1"/>
  <c r="AE41" i="29"/>
  <c r="AF41" i="29" s="1"/>
  <c r="AB376" i="29"/>
  <c r="AD376" i="29" s="1"/>
  <c r="AB333" i="29"/>
  <c r="AD333" i="29" s="1"/>
  <c r="AB19" i="29"/>
  <c r="AD19" i="29" s="1"/>
  <c r="AE32" i="29"/>
  <c r="AF32" i="29" s="1"/>
  <c r="AE16" i="29"/>
  <c r="AF16" i="29" s="1"/>
  <c r="AB15" i="29"/>
  <c r="AD15" i="29" s="1"/>
  <c r="AE335" i="29"/>
  <c r="AF335" i="29" s="1"/>
  <c r="AE166" i="29"/>
  <c r="AF166" i="29" s="1"/>
  <c r="AB149" i="29"/>
  <c r="AD149" i="29" s="1"/>
  <c r="AB105" i="29"/>
  <c r="AD105" i="29" s="1"/>
  <c r="AC262" i="29"/>
  <c r="AC68" i="29"/>
  <c r="AE68" i="29" s="1"/>
  <c r="AF68" i="29" s="1"/>
  <c r="AE33" i="29"/>
  <c r="AF33" i="29" s="1"/>
  <c r="AB296" i="29"/>
  <c r="AD296" i="29" s="1"/>
  <c r="AB48" i="29"/>
  <c r="AD48" i="29" s="1"/>
  <c r="AB344" i="29"/>
  <c r="AD344" i="29" s="1"/>
  <c r="AB27" i="29"/>
  <c r="AD27" i="29" s="1"/>
  <c r="AQ255" i="29"/>
  <c r="AE103" i="29"/>
  <c r="AF103" i="29" s="1"/>
  <c r="AB242" i="29"/>
  <c r="AD242" i="29" s="1"/>
  <c r="AE260" i="29"/>
  <c r="AF260" i="29" s="1"/>
  <c r="AE34" i="29"/>
  <c r="AF34" i="29" s="1"/>
  <c r="AB287" i="29"/>
  <c r="AD287" i="29" s="1"/>
  <c r="AB23" i="29"/>
  <c r="AD23" i="29" s="1"/>
  <c r="V172" i="29"/>
  <c r="AB172" i="29" s="1"/>
  <c r="AD172" i="29" s="1"/>
  <c r="AB195" i="29"/>
  <c r="AD195" i="29" s="1"/>
  <c r="AE161" i="29"/>
  <c r="AF161" i="29" s="1"/>
  <c r="AE341" i="29"/>
  <c r="AF341" i="29" s="1"/>
  <c r="AE276" i="29"/>
  <c r="AF276" i="29" s="1"/>
  <c r="AE240" i="29"/>
  <c r="AF240" i="29" s="1"/>
  <c r="AB154" i="29"/>
  <c r="AD154" i="29" s="1"/>
  <c r="AB247" i="29"/>
  <c r="AD247" i="29" s="1"/>
  <c r="AB228" i="29"/>
  <c r="AD228" i="29" s="1"/>
  <c r="AE23" i="29"/>
  <c r="AF23" i="29" s="1"/>
  <c r="AQ99" i="29"/>
  <c r="AE372" i="29"/>
  <c r="AF372" i="29" s="1"/>
  <c r="AB193" i="29"/>
  <c r="AD193" i="29" s="1"/>
  <c r="AB268" i="29"/>
  <c r="AD268" i="29" s="1"/>
  <c r="AE272" i="29"/>
  <c r="AF272" i="29" s="1"/>
  <c r="AE50" i="29"/>
  <c r="AF50" i="29" s="1"/>
  <c r="AE158" i="29"/>
  <c r="AF158" i="29" s="1"/>
  <c r="AE132" i="29"/>
  <c r="AF132" i="29" s="1"/>
  <c r="AE352" i="29"/>
  <c r="AF352" i="29" s="1"/>
  <c r="AB372" i="29"/>
  <c r="AD372" i="29" s="1"/>
  <c r="AB295" i="29"/>
  <c r="AD295" i="29" s="1"/>
  <c r="AB164" i="29"/>
  <c r="AD164" i="29" s="1"/>
  <c r="AB233" i="29"/>
  <c r="AD233" i="29" s="1"/>
  <c r="AB349" i="29"/>
  <c r="AD349" i="29" s="1"/>
  <c r="AE177" i="29"/>
  <c r="AF177" i="29" s="1"/>
  <c r="AB298" i="29"/>
  <c r="AD298" i="29" s="1"/>
  <c r="AC76" i="29"/>
  <c r="AE76" i="29" s="1"/>
  <c r="AF76" i="29" s="1"/>
  <c r="AE95" i="29"/>
  <c r="AF95" i="29" s="1"/>
  <c r="AB142" i="29"/>
  <c r="AD142" i="29" s="1"/>
  <c r="AB220" i="29"/>
  <c r="AD220" i="29" s="1"/>
  <c r="AB80" i="29"/>
  <c r="AD80" i="29" s="1"/>
  <c r="AB341" i="29"/>
  <c r="AD341" i="29" s="1"/>
  <c r="AE361" i="29"/>
  <c r="AF361" i="29" s="1"/>
  <c r="AE74" i="29"/>
  <c r="AF74" i="29" s="1"/>
  <c r="AB347" i="29"/>
  <c r="AD347" i="29" s="1"/>
  <c r="AE306" i="29"/>
  <c r="AF306" i="29" s="1"/>
  <c r="AB143" i="29"/>
  <c r="AD143" i="29" s="1"/>
  <c r="AE232" i="29"/>
  <c r="AF232" i="29" s="1"/>
  <c r="AB319" i="29"/>
  <c r="AD319" i="29" s="1"/>
  <c r="AB205" i="29"/>
  <c r="AD205" i="29" s="1"/>
  <c r="AB231" i="29"/>
  <c r="AD231" i="29" s="1"/>
  <c r="AB216" i="29"/>
  <c r="AD216" i="29" s="1"/>
  <c r="V203" i="29"/>
  <c r="AE210" i="29"/>
  <c r="AF210" i="29" s="1"/>
  <c r="AE15" i="29"/>
  <c r="AF15" i="29" s="1"/>
  <c r="AB148" i="29"/>
  <c r="AD148" i="29" s="1"/>
  <c r="U90" i="29"/>
  <c r="U203" i="29"/>
  <c r="AB323" i="29"/>
  <c r="AD323" i="29" s="1"/>
  <c r="AB252" i="29"/>
  <c r="AD252" i="29" s="1"/>
  <c r="AB303" i="29"/>
  <c r="AD303" i="29" s="1"/>
  <c r="AB112" i="29"/>
  <c r="AD112" i="29" s="1"/>
  <c r="AE56" i="29"/>
  <c r="AF56" i="29" s="1"/>
  <c r="AE124" i="29"/>
  <c r="AF124" i="29" s="1"/>
  <c r="AE154" i="29"/>
  <c r="AF154" i="29" s="1"/>
  <c r="AE113" i="29"/>
  <c r="AF113" i="29" s="1"/>
  <c r="AB224" i="29"/>
  <c r="AD224" i="29" s="1"/>
  <c r="AC90" i="29"/>
  <c r="AB194" i="29"/>
  <c r="AD194" i="29" s="1"/>
  <c r="AE219" i="29"/>
  <c r="AF219" i="29" s="1"/>
  <c r="AB167" i="29"/>
  <c r="AD167" i="29" s="1"/>
  <c r="AB86" i="29"/>
  <c r="AD86" i="29" s="1"/>
  <c r="AE362" i="29"/>
  <c r="AF362" i="29" s="1"/>
  <c r="AB258" i="29"/>
  <c r="AD258" i="29" s="1"/>
  <c r="AE59" i="29"/>
  <c r="AF59" i="29" s="1"/>
  <c r="AB180" i="29"/>
  <c r="AD180" i="29" s="1"/>
  <c r="AE312" i="29"/>
  <c r="AF312" i="29" s="1"/>
  <c r="AB281" i="29"/>
  <c r="AD281" i="29" s="1"/>
  <c r="AB139" i="29"/>
  <c r="AD139" i="29" s="1"/>
  <c r="AB240" i="29"/>
  <c r="AD240" i="29" s="1"/>
  <c r="AB272" i="29"/>
  <c r="AD272" i="29" s="1"/>
  <c r="AE157" i="29"/>
  <c r="AF157" i="29" s="1"/>
  <c r="AE333" i="29"/>
  <c r="AF333" i="29" s="1"/>
  <c r="AE228" i="29"/>
  <c r="AF228" i="29" s="1"/>
  <c r="AE88" i="29"/>
  <c r="AF88" i="29" s="1"/>
  <c r="AB274" i="29"/>
  <c r="AD274" i="29" s="1"/>
  <c r="AB207" i="29"/>
  <c r="AD207" i="29" s="1"/>
  <c r="V111" i="29"/>
  <c r="AE363" i="29"/>
  <c r="AF363" i="29" s="1"/>
  <c r="AE135" i="29"/>
  <c r="AF135" i="29" s="1"/>
  <c r="AE67" i="29"/>
  <c r="AF67" i="29" s="1"/>
  <c r="AB316" i="29"/>
  <c r="AD316" i="29" s="1"/>
  <c r="AE257" i="29"/>
  <c r="AF257" i="29" s="1"/>
  <c r="AE317" i="29"/>
  <c r="AF317" i="29" s="1"/>
  <c r="AB159" i="29"/>
  <c r="AD159" i="29" s="1"/>
  <c r="AB91" i="29"/>
  <c r="AD91" i="29" s="1"/>
  <c r="AB26" i="29"/>
  <c r="AD26" i="29" s="1"/>
  <c r="AB60" i="29"/>
  <c r="AD60" i="29" s="1"/>
  <c r="AE173" i="29"/>
  <c r="AF173" i="29" s="1"/>
  <c r="AB275" i="29"/>
  <c r="AD275" i="29" s="1"/>
  <c r="AB357" i="29"/>
  <c r="AD357" i="29" s="1"/>
  <c r="AB290" i="29"/>
  <c r="AD290" i="29" s="1"/>
  <c r="AB162" i="29"/>
  <c r="AD162" i="29" s="1"/>
  <c r="AB256" i="29"/>
  <c r="AD256" i="29" s="1"/>
  <c r="AE366" i="29"/>
  <c r="AF366" i="29" s="1"/>
  <c r="AB6" i="29"/>
  <c r="AD6" i="29" s="1"/>
  <c r="AE188" i="29"/>
  <c r="AF188" i="29" s="1"/>
  <c r="U111" i="29"/>
  <c r="AE111" i="29" s="1"/>
  <c r="AF111" i="29" s="1"/>
  <c r="V109" i="29"/>
  <c r="AB14" i="29"/>
  <c r="AD14" i="29" s="1"/>
  <c r="AB331" i="29"/>
  <c r="AD331" i="29" s="1"/>
  <c r="AB300" i="29"/>
  <c r="AD300" i="29" s="1"/>
  <c r="AE300" i="29"/>
  <c r="AF300" i="29" s="1"/>
  <c r="AE264" i="29"/>
  <c r="AF264" i="29" s="1"/>
  <c r="AE118" i="29"/>
  <c r="AF118" i="29" s="1"/>
  <c r="AB16" i="29"/>
  <c r="AD16" i="29" s="1"/>
  <c r="AE250" i="29"/>
  <c r="AF250" i="29" s="1"/>
  <c r="AE339" i="29"/>
  <c r="AF339" i="29" s="1"/>
  <c r="AE327" i="29"/>
  <c r="AF327" i="29" s="1"/>
  <c r="AB78" i="29"/>
  <c r="AD78" i="29" s="1"/>
  <c r="AE235" i="29"/>
  <c r="AF235" i="29" s="1"/>
  <c r="AB178" i="29"/>
  <c r="AD178" i="29" s="1"/>
  <c r="AE215" i="29"/>
  <c r="AF215" i="29" s="1"/>
  <c r="AB330" i="29"/>
  <c r="AD330" i="29" s="1"/>
  <c r="AB12" i="29"/>
  <c r="AD12" i="29" s="1"/>
  <c r="AB266" i="29"/>
  <c r="AD266" i="29" s="1"/>
  <c r="AB267" i="29"/>
  <c r="AD267" i="29" s="1"/>
  <c r="AE287" i="29"/>
  <c r="AF287" i="29" s="1"/>
  <c r="AE86" i="29"/>
  <c r="AF86" i="29" s="1"/>
  <c r="AB121" i="29"/>
  <c r="AD121" i="29" s="1"/>
  <c r="AB367" i="29"/>
  <c r="AD367" i="29" s="1"/>
  <c r="AE155" i="29"/>
  <c r="AF155" i="29" s="1"/>
  <c r="AE316" i="29"/>
  <c r="AF316" i="29" s="1"/>
  <c r="U318" i="29"/>
  <c r="AB318" i="29" s="1"/>
  <c r="AD318" i="29" s="1"/>
  <c r="AE156" i="29"/>
  <c r="AF156" i="29" s="1"/>
  <c r="AE325" i="29"/>
  <c r="AF325" i="29" s="1"/>
  <c r="AE138" i="29"/>
  <c r="AF138" i="29" s="1"/>
  <c r="AB276" i="29"/>
  <c r="AD276" i="29" s="1"/>
  <c r="AE128" i="29"/>
  <c r="AF128" i="29" s="1"/>
  <c r="AE279" i="29"/>
  <c r="AF279" i="29" s="1"/>
  <c r="AB101" i="29"/>
  <c r="AD101" i="29" s="1"/>
  <c r="AB350" i="29"/>
  <c r="AD350" i="29" s="1"/>
  <c r="AE178" i="29"/>
  <c r="AF178" i="29" s="1"/>
  <c r="AB359" i="29"/>
  <c r="AD359" i="29" s="1"/>
  <c r="AE131" i="29"/>
  <c r="AF131" i="29" s="1"/>
  <c r="AE324" i="29"/>
  <c r="AF324" i="29" s="1"/>
  <c r="AE100" i="29"/>
  <c r="AF100" i="29" s="1"/>
  <c r="AE85" i="29"/>
  <c r="AF85" i="29" s="1"/>
  <c r="AB107" i="29"/>
  <c r="AD107" i="29" s="1"/>
  <c r="AB177" i="29"/>
  <c r="AD177" i="29" s="1"/>
  <c r="AE29" i="29"/>
  <c r="AF29" i="29" s="1"/>
  <c r="AB144" i="29"/>
  <c r="AD144" i="29" s="1"/>
  <c r="AB243" i="29"/>
  <c r="AD243" i="29" s="1"/>
  <c r="AE364" i="29"/>
  <c r="AF364" i="29" s="1"/>
  <c r="AE344" i="29"/>
  <c r="AF344" i="29" s="1"/>
  <c r="AE255" i="29"/>
  <c r="AF255" i="29" s="1"/>
  <c r="AB225" i="29"/>
  <c r="AD225" i="29" s="1"/>
  <c r="AE229" i="29"/>
  <c r="AF229" i="29" s="1"/>
  <c r="AB110" i="29"/>
  <c r="AD110" i="29" s="1"/>
  <c r="AB379" i="29"/>
  <c r="AD379" i="29" s="1"/>
  <c r="AE227" i="29"/>
  <c r="AF227" i="29" s="1"/>
  <c r="AB116" i="29"/>
  <c r="AD116" i="29" s="1"/>
  <c r="AE354" i="29"/>
  <c r="AF354" i="29" s="1"/>
  <c r="AB100" i="29"/>
  <c r="AD100" i="29" s="1"/>
  <c r="AE282" i="29"/>
  <c r="AF282" i="29" s="1"/>
  <c r="V217" i="29"/>
  <c r="AE6" i="29"/>
  <c r="AF6" i="29" s="1"/>
  <c r="AE330" i="29"/>
  <c r="AF330" i="29" s="1"/>
  <c r="AB20" i="29"/>
  <c r="AD20" i="29" s="1"/>
  <c r="AB150" i="29"/>
  <c r="AD150" i="29" s="1"/>
  <c r="AB55" i="29"/>
  <c r="AD55" i="29" s="1"/>
  <c r="AB81" i="29"/>
  <c r="AD81" i="29" s="1"/>
  <c r="AB11" i="29"/>
  <c r="AD11" i="29" s="1"/>
  <c r="AE106" i="29"/>
  <c r="AF106" i="29" s="1"/>
  <c r="U108" i="29"/>
  <c r="AB204" i="29"/>
  <c r="AD204" i="29" s="1"/>
  <c r="AE14" i="29"/>
  <c r="AF14" i="29" s="1"/>
  <c r="AB309" i="29"/>
  <c r="AD309" i="29" s="1"/>
  <c r="AC47" i="29"/>
  <c r="AB130" i="29"/>
  <c r="AD130" i="29" s="1"/>
  <c r="AE130" i="29"/>
  <c r="AF130" i="29" s="1"/>
  <c r="AE91" i="29"/>
  <c r="AF91" i="29" s="1"/>
  <c r="AB29" i="29"/>
  <c r="AD29" i="29" s="1"/>
  <c r="AB95" i="29"/>
  <c r="AD95" i="29" s="1"/>
  <c r="AB128" i="29"/>
  <c r="AD128" i="29" s="1"/>
  <c r="AB361" i="29"/>
  <c r="AD361" i="29" s="1"/>
  <c r="AC217" i="29"/>
  <c r="AE198" i="29"/>
  <c r="AF198" i="29" s="1"/>
  <c r="AB198" i="29"/>
  <c r="AD198" i="29" s="1"/>
  <c r="AB255" i="29"/>
  <c r="AD255" i="29" s="1"/>
  <c r="AE205" i="29"/>
  <c r="AF205" i="29" s="1"/>
  <c r="AB74" i="29"/>
  <c r="AD74" i="29" s="1"/>
  <c r="AB250" i="29"/>
  <c r="AD250" i="29" s="1"/>
  <c r="AB7" i="29"/>
  <c r="AD7" i="29" s="1"/>
  <c r="AE323" i="29"/>
  <c r="AF323" i="29" s="1"/>
  <c r="AB229" i="29"/>
  <c r="AD229" i="29" s="1"/>
  <c r="AB375" i="29"/>
  <c r="AD375" i="29" s="1"/>
  <c r="AE211" i="29"/>
  <c r="AF211" i="29" s="1"/>
  <c r="AE139" i="29"/>
  <c r="AF139" i="29" s="1"/>
  <c r="AB354" i="29"/>
  <c r="AD354" i="29" s="1"/>
  <c r="AE175" i="29"/>
  <c r="AF175" i="29" s="1"/>
  <c r="AB366" i="29"/>
  <c r="AD366" i="29" s="1"/>
  <c r="U217" i="29"/>
  <c r="AB315" i="29"/>
  <c r="AD315" i="29" s="1"/>
  <c r="AE149" i="29"/>
  <c r="AF149" i="29" s="1"/>
  <c r="AB170" i="29"/>
  <c r="AD170" i="29" s="1"/>
  <c r="AC10" i="29"/>
  <c r="AE258" i="29"/>
  <c r="AF258" i="29" s="1"/>
  <c r="AE72" i="29"/>
  <c r="AF72" i="29" s="1"/>
  <c r="AB371" i="29"/>
  <c r="AD371" i="29" s="1"/>
  <c r="AB59" i="29"/>
  <c r="AD59" i="29" s="1"/>
  <c r="AE28" i="29"/>
  <c r="AF28" i="29" s="1"/>
  <c r="AE82" i="29"/>
  <c r="AF82" i="29" s="1"/>
  <c r="AB103" i="29"/>
  <c r="AD103" i="29" s="1"/>
  <c r="AE148" i="29"/>
  <c r="AF148" i="29" s="1"/>
  <c r="AB73" i="29"/>
  <c r="AD73" i="29" s="1"/>
  <c r="AE336" i="29"/>
  <c r="AF336" i="29" s="1"/>
  <c r="AB157" i="29"/>
  <c r="AD157" i="29" s="1"/>
  <c r="AB141" i="29"/>
  <c r="AD141" i="29" s="1"/>
  <c r="AB352" i="29"/>
  <c r="AD352" i="29" s="1"/>
  <c r="AE193" i="29"/>
  <c r="AF193" i="29" s="1"/>
  <c r="AE98" i="29"/>
  <c r="AF98" i="29" s="1"/>
  <c r="AE170" i="29"/>
  <c r="AF170" i="29" s="1"/>
  <c r="AB222" i="29"/>
  <c r="AD222" i="29" s="1"/>
  <c r="AB188" i="29"/>
  <c r="AD188" i="29" s="1"/>
  <c r="AB113" i="29"/>
  <c r="AD113" i="29" s="1"/>
  <c r="V10" i="29"/>
  <c r="AE19" i="29"/>
  <c r="AF19" i="29" s="1"/>
  <c r="AB232" i="29"/>
  <c r="AD232" i="29" s="1"/>
  <c r="AB155" i="29"/>
  <c r="AD155" i="29" s="1"/>
  <c r="AC318" i="29"/>
  <c r="AE80" i="29"/>
  <c r="AF80" i="29" s="1"/>
  <c r="AB174" i="29"/>
  <c r="AD174" i="29" s="1"/>
  <c r="AB312" i="29"/>
  <c r="AD312" i="29" s="1"/>
  <c r="AE206" i="29"/>
  <c r="AF206" i="29" s="1"/>
  <c r="AE60" i="29"/>
  <c r="AF60" i="29" s="1"/>
  <c r="AE359" i="29"/>
  <c r="AF359" i="29" s="1"/>
  <c r="AE331" i="29"/>
  <c r="AF331" i="29" s="1"/>
  <c r="AB358" i="29"/>
  <c r="AD358" i="29" s="1"/>
  <c r="AE12" i="29"/>
  <c r="AF12" i="29" s="1"/>
  <c r="AE207" i="29"/>
  <c r="AF207" i="29" s="1"/>
  <c r="AE290" i="29"/>
  <c r="AF290" i="29" s="1"/>
  <c r="U10" i="29"/>
  <c r="AE192" i="29"/>
  <c r="AF192" i="29" s="1"/>
  <c r="AE121" i="29"/>
  <c r="AF121" i="29" s="1"/>
  <c r="AB314" i="29"/>
  <c r="AD314" i="29" s="1"/>
  <c r="AB317" i="29"/>
  <c r="AD317" i="29" s="1"/>
  <c r="AB197" i="29"/>
  <c r="AD197" i="29" s="1"/>
  <c r="AE197" i="29"/>
  <c r="AF197" i="29" s="1"/>
  <c r="AB279" i="29"/>
  <c r="AD279" i="29" s="1"/>
  <c r="AB189" i="29"/>
  <c r="AD189" i="29" s="1"/>
  <c r="AB41" i="29"/>
  <c r="AD41" i="29" s="1"/>
  <c r="AB235" i="29"/>
  <c r="AD235" i="29" s="1"/>
  <c r="AE374" i="29"/>
  <c r="AF374" i="29" s="1"/>
  <c r="AB264" i="29"/>
  <c r="AD264" i="29" s="1"/>
  <c r="AB324" i="29"/>
  <c r="AD324" i="29" s="1"/>
  <c r="AB320" i="29"/>
  <c r="AD320" i="29" s="1"/>
  <c r="AB246" i="29"/>
  <c r="AD246" i="29" s="1"/>
  <c r="AB196" i="29"/>
  <c r="AD196" i="29" s="1"/>
  <c r="AB129" i="29"/>
  <c r="AD129" i="29" s="1"/>
  <c r="AB42" i="29"/>
  <c r="AD42" i="29" s="1"/>
  <c r="AB365" i="29"/>
  <c r="AD365" i="29" s="1"/>
  <c r="AB259" i="29"/>
  <c r="AD259" i="29" s="1"/>
  <c r="AB241" i="29"/>
  <c r="AD241" i="29" s="1"/>
  <c r="AE230" i="29"/>
  <c r="AF230" i="29" s="1"/>
  <c r="AE20" i="29"/>
  <c r="AF20" i="29" s="1"/>
  <c r="AE266" i="29"/>
  <c r="AF266" i="29" s="1"/>
  <c r="AE378" i="29"/>
  <c r="AF378" i="29" s="1"/>
  <c r="AB65" i="29"/>
  <c r="AD65" i="29" s="1"/>
  <c r="AB123" i="29"/>
  <c r="AD123" i="29" s="1"/>
  <c r="AE143" i="29"/>
  <c r="AF143" i="29" s="1"/>
  <c r="AE162" i="29"/>
  <c r="AF162" i="29" s="1"/>
  <c r="AB135" i="29"/>
  <c r="AD135" i="29" s="1"/>
  <c r="AE63" i="29"/>
  <c r="AF63" i="29" s="1"/>
  <c r="AE319" i="29"/>
  <c r="AF319" i="29" s="1"/>
  <c r="AB106" i="29"/>
  <c r="AD106" i="29" s="1"/>
  <c r="AB161" i="29"/>
  <c r="AD161" i="29" s="1"/>
  <c r="AE298" i="29"/>
  <c r="AF298" i="29" s="1"/>
  <c r="AB71" i="29"/>
  <c r="AD71" i="29" s="1"/>
  <c r="AB212" i="29"/>
  <c r="AD212" i="29" s="1"/>
  <c r="AE62" i="29"/>
  <c r="AF62" i="29" s="1"/>
  <c r="U58" i="29"/>
  <c r="V58" i="29"/>
  <c r="AC58" i="29"/>
  <c r="AB211" i="29"/>
  <c r="AD211" i="29" s="1"/>
  <c r="AE267" i="29"/>
  <c r="AF267" i="29" s="1"/>
  <c r="AE194" i="29"/>
  <c r="AF194" i="29" s="1"/>
  <c r="AE195" i="29"/>
  <c r="AF195" i="29" s="1"/>
  <c r="AE116" i="29"/>
  <c r="AF116" i="29" s="1"/>
  <c r="AE42" i="29"/>
  <c r="AF42" i="29" s="1"/>
  <c r="AE252" i="29"/>
  <c r="AF252" i="29" s="1"/>
  <c r="AE115" i="29"/>
  <c r="AF115" i="29" s="1"/>
  <c r="AE141" i="29"/>
  <c r="AF141" i="29" s="1"/>
  <c r="AB158" i="29"/>
  <c r="AD158" i="29" s="1"/>
  <c r="AB93" i="29"/>
  <c r="AD93" i="29" s="1"/>
  <c r="AE365" i="29"/>
  <c r="AF365" i="29" s="1"/>
  <c r="AE241" i="29"/>
  <c r="AF241" i="29" s="1"/>
  <c r="AE164" i="29"/>
  <c r="AF164" i="29" s="1"/>
  <c r="AE367" i="29"/>
  <c r="AF367" i="29" s="1"/>
  <c r="AE231" i="29"/>
  <c r="AF231" i="29" s="1"/>
  <c r="AE297" i="29"/>
  <c r="AF297" i="29" s="1"/>
  <c r="AB339" i="29"/>
  <c r="AD339" i="29" s="1"/>
  <c r="AE216" i="29"/>
  <c r="AF216" i="29" s="1"/>
  <c r="AE174" i="29"/>
  <c r="AF174" i="29" s="1"/>
  <c r="AE110" i="29"/>
  <c r="AF110" i="29" s="1"/>
  <c r="AE78" i="29"/>
  <c r="AF78" i="29" s="1"/>
  <c r="AE375" i="29"/>
  <c r="AF375" i="29" s="1"/>
  <c r="AE281" i="29"/>
  <c r="AF281" i="29" s="1"/>
  <c r="AB166" i="29"/>
  <c r="AD166" i="29" s="1"/>
  <c r="AE350" i="29"/>
  <c r="AF350" i="29" s="1"/>
  <c r="AE73" i="29"/>
  <c r="AF73" i="29" s="1"/>
  <c r="AE112" i="29"/>
  <c r="AF112" i="29" s="1"/>
  <c r="AE196" i="29"/>
  <c r="AF196" i="29" s="1"/>
  <c r="AE274" i="29"/>
  <c r="AF274" i="29" s="1"/>
  <c r="AE295" i="29"/>
  <c r="AF295" i="29" s="1"/>
  <c r="AB98" i="29"/>
  <c r="AD98" i="29" s="1"/>
  <c r="AE369" i="29"/>
  <c r="AF369" i="29" s="1"/>
  <c r="AE55" i="29"/>
  <c r="AF55" i="29" s="1"/>
  <c r="AB210" i="29"/>
  <c r="AD210" i="29" s="1"/>
  <c r="AB257" i="29"/>
  <c r="AD257" i="29" s="1"/>
  <c r="AB82" i="29"/>
  <c r="AD82" i="29" s="1"/>
  <c r="AE225" i="29"/>
  <c r="AF225" i="29" s="1"/>
  <c r="AE107" i="29"/>
  <c r="AF107" i="29" s="1"/>
  <c r="AB363" i="29"/>
  <c r="AD363" i="29" s="1"/>
  <c r="AE309" i="29"/>
  <c r="AF309" i="29" s="1"/>
  <c r="AB227" i="29"/>
  <c r="AD227" i="29" s="1"/>
  <c r="AE248" i="29"/>
  <c r="AF248" i="29" s="1"/>
  <c r="AE26" i="29"/>
  <c r="AF26" i="29" s="1"/>
  <c r="AB156" i="29"/>
  <c r="AD156" i="29" s="1"/>
  <c r="AB364" i="29"/>
  <c r="AD364" i="29" s="1"/>
  <c r="AE371" i="29"/>
  <c r="AF371" i="29" s="1"/>
  <c r="AE189" i="29"/>
  <c r="AF189" i="29" s="1"/>
  <c r="AE303" i="29"/>
  <c r="AF303" i="29" s="1"/>
  <c r="AE275" i="29"/>
  <c r="AF275" i="29" s="1"/>
  <c r="AE242" i="29"/>
  <c r="AF242" i="29" s="1"/>
  <c r="AE315" i="29"/>
  <c r="AF315" i="29" s="1"/>
  <c r="AE357" i="29"/>
  <c r="AF357" i="29" s="1"/>
  <c r="AB230" i="29"/>
  <c r="AD230" i="29" s="1"/>
  <c r="AC119" i="29"/>
  <c r="U119" i="29"/>
  <c r="V119" i="29"/>
  <c r="AE65" i="29"/>
  <c r="AF65" i="29" s="1"/>
  <c r="AE11" i="29"/>
  <c r="AF11" i="29" s="1"/>
  <c r="AE256" i="29"/>
  <c r="AF256" i="29" s="1"/>
  <c r="AE243" i="29"/>
  <c r="AF243" i="29" s="1"/>
  <c r="AE101" i="29"/>
  <c r="AF101" i="29" s="1"/>
  <c r="AB131" i="29"/>
  <c r="AD131" i="29" s="1"/>
  <c r="AB327" i="29"/>
  <c r="AD327" i="29" s="1"/>
  <c r="AB335" i="29"/>
  <c r="AD335" i="29" s="1"/>
  <c r="AB362" i="29"/>
  <c r="AD362" i="29" s="1"/>
  <c r="U46" i="29"/>
  <c r="V46" i="29"/>
  <c r="AC46" i="29"/>
  <c r="AE224" i="29"/>
  <c r="AF224" i="29" s="1"/>
  <c r="AB118" i="29"/>
  <c r="AD118" i="29" s="1"/>
  <c r="AE204" i="29"/>
  <c r="AF204" i="29" s="1"/>
  <c r="AE22" i="29"/>
  <c r="AF22" i="29" s="1"/>
  <c r="V168" i="29"/>
  <c r="AC168" i="29"/>
  <c r="U168" i="29"/>
  <c r="AE129" i="29"/>
  <c r="AF129" i="29" s="1"/>
  <c r="U187" i="29"/>
  <c r="V187" i="29"/>
  <c r="AC187" i="29"/>
  <c r="U293" i="29"/>
  <c r="V293" i="29"/>
  <c r="AC293" i="29"/>
  <c r="AQ198" i="29"/>
  <c r="AQ91" i="29"/>
  <c r="AQ13" i="29"/>
  <c r="AQ226" i="29"/>
  <c r="AQ21" i="29"/>
  <c r="AQ128" i="29"/>
  <c r="AQ46" i="29"/>
  <c r="AQ207" i="29"/>
  <c r="AQ65" i="29"/>
  <c r="AQ173" i="29"/>
  <c r="AQ219" i="29"/>
  <c r="AQ74" i="29"/>
  <c r="AQ210" i="29"/>
  <c r="AQ30" i="29"/>
  <c r="AQ182" i="29"/>
  <c r="AQ23" i="29"/>
  <c r="AQ241" i="29"/>
  <c r="AQ100" i="29"/>
  <c r="AQ139" i="29"/>
  <c r="AQ222" i="29"/>
  <c r="AQ19" i="29"/>
  <c r="AQ40" i="29"/>
  <c r="AQ108" i="29"/>
  <c r="AQ151" i="29"/>
  <c r="AQ54" i="29"/>
  <c r="AQ212" i="29"/>
  <c r="AQ126" i="29"/>
  <c r="AQ205" i="29"/>
  <c r="AQ160" i="29"/>
  <c r="AQ163" i="29"/>
  <c r="AQ68" i="29"/>
  <c r="AQ246" i="29"/>
  <c r="AQ117" i="29"/>
  <c r="AQ98" i="29"/>
  <c r="AQ20" i="29"/>
  <c r="AQ64" i="29"/>
  <c r="AQ57" i="29"/>
  <c r="AQ93" i="29"/>
  <c r="AQ156" i="29"/>
  <c r="AQ18" i="29"/>
  <c r="AQ176" i="29"/>
  <c r="AQ260" i="29"/>
  <c r="AQ265" i="29"/>
  <c r="AQ33" i="29"/>
  <c r="AQ195" i="29"/>
  <c r="AQ189" i="29"/>
  <c r="AQ154" i="29"/>
  <c r="AQ213" i="29"/>
  <c r="AQ266" i="29"/>
  <c r="AQ62" i="29"/>
  <c r="AQ141" i="29"/>
  <c r="AQ223" i="29"/>
  <c r="AQ39" i="29"/>
  <c r="AQ119" i="29"/>
  <c r="AQ209" i="29"/>
  <c r="AQ248" i="29"/>
  <c r="AQ242" i="29"/>
  <c r="AQ192" i="29"/>
  <c r="AQ231" i="29"/>
  <c r="AQ92" i="29"/>
  <c r="AQ127" i="29"/>
  <c r="AQ217" i="29"/>
  <c r="AQ77" i="29"/>
  <c r="AQ155" i="29"/>
  <c r="AQ138" i="29"/>
  <c r="AQ178" i="29"/>
  <c r="AQ256" i="29"/>
  <c r="AQ8" i="29"/>
  <c r="AQ130" i="29"/>
  <c r="AQ133" i="29"/>
  <c r="AQ200" i="29"/>
  <c r="AQ254" i="29"/>
  <c r="AQ102" i="29"/>
  <c r="AQ251" i="29"/>
  <c r="AQ120" i="29"/>
  <c r="AQ187" i="29"/>
  <c r="AQ218" i="29"/>
  <c r="AQ249" i="29"/>
  <c r="AQ188" i="29"/>
  <c r="AQ15" i="29"/>
  <c r="AQ52" i="29"/>
  <c r="AQ166" i="29"/>
  <c r="AQ37" i="29"/>
  <c r="AQ191" i="29"/>
  <c r="AQ105" i="29"/>
  <c r="AQ168" i="29"/>
  <c r="AQ239" i="29"/>
  <c r="AQ216" i="29"/>
  <c r="AQ32" i="29"/>
  <c r="AQ71" i="29"/>
  <c r="AQ150" i="29"/>
  <c r="AQ186" i="29"/>
  <c r="AQ250" i="29"/>
  <c r="AQ146" i="29"/>
  <c r="AQ110" i="29"/>
  <c r="AQ229" i="29"/>
  <c r="AQ17" i="29"/>
  <c r="AQ159" i="29"/>
  <c r="AQ252" i="29"/>
  <c r="AQ85" i="29"/>
  <c r="AQ149" i="29"/>
  <c r="AQ253" i="29"/>
  <c r="AQ185" i="29"/>
  <c r="AQ41" i="29"/>
  <c r="AQ72" i="29"/>
  <c r="AQ136" i="29"/>
  <c r="AQ203" i="29"/>
  <c r="AQ234" i="29"/>
  <c r="AQ263" i="29"/>
  <c r="AQ114" i="29"/>
  <c r="AQ259" i="29"/>
  <c r="AQ83" i="29"/>
  <c r="AQ123" i="29"/>
  <c r="AQ245" i="29"/>
  <c r="AQ197" i="29"/>
  <c r="AQ49" i="29"/>
  <c r="AQ80" i="29"/>
  <c r="AQ179" i="29"/>
  <c r="AS297" i="29"/>
  <c r="AM297" i="29"/>
  <c r="AN297" i="29" s="1"/>
  <c r="AP297" i="29" s="1"/>
  <c r="AT297" i="29" s="1"/>
  <c r="AM295" i="29"/>
  <c r="AN295" i="29" s="1"/>
  <c r="AP295" i="29" s="1"/>
  <c r="AT295" i="29" s="1"/>
  <c r="AS295" i="29"/>
  <c r="AM326" i="29"/>
  <c r="AN326" i="29" s="1"/>
  <c r="AP326" i="29" s="1"/>
  <c r="AT326" i="29" s="1"/>
  <c r="AS326" i="29"/>
  <c r="AM352" i="29"/>
  <c r="AN352" i="29" s="1"/>
  <c r="AP352" i="29" s="1"/>
  <c r="AT352" i="29" s="1"/>
  <c r="AS352" i="29"/>
  <c r="AM376" i="29"/>
  <c r="AN376" i="29" s="1"/>
  <c r="AP376" i="29" s="1"/>
  <c r="AT376" i="29" s="1"/>
  <c r="AS376" i="29"/>
  <c r="AQ60" i="29"/>
  <c r="AQ89" i="29"/>
  <c r="AQ115" i="29"/>
  <c r="AQ147" i="29"/>
  <c r="AQ174" i="29"/>
  <c r="AQ237" i="29"/>
  <c r="AQ297" i="29"/>
  <c r="AS328" i="29"/>
  <c r="AM328" i="29"/>
  <c r="AN328" i="29" s="1"/>
  <c r="AP328" i="29" s="1"/>
  <c r="AT328" i="29" s="1"/>
  <c r="AM378" i="29"/>
  <c r="AN378" i="29" s="1"/>
  <c r="AP378" i="29" s="1"/>
  <c r="AT378" i="29" s="1"/>
  <c r="AS378" i="29"/>
  <c r="AQ45" i="29"/>
  <c r="AQ76" i="29"/>
  <c r="AQ104" i="29"/>
  <c r="AQ132" i="29"/>
  <c r="AM282" i="29"/>
  <c r="AN282" i="29" s="1"/>
  <c r="AP282" i="29" s="1"/>
  <c r="AT282" i="29" s="1"/>
  <c r="AS282" i="29"/>
  <c r="AS313" i="29"/>
  <c r="AM313" i="29"/>
  <c r="AN313" i="29" s="1"/>
  <c r="AP313" i="29" s="1"/>
  <c r="AT313" i="29" s="1"/>
  <c r="AM342" i="29"/>
  <c r="AN342" i="29" s="1"/>
  <c r="AP342" i="29" s="1"/>
  <c r="AT342" i="29" s="1"/>
  <c r="AS342" i="29"/>
  <c r="AM369" i="29"/>
  <c r="AN369" i="29" s="1"/>
  <c r="AP369" i="29" s="1"/>
  <c r="AT369" i="29" s="1"/>
  <c r="AS369" i="29"/>
  <c r="AQ95" i="29"/>
  <c r="AQ228" i="29"/>
  <c r="AQ38" i="29"/>
  <c r="AQ70" i="29"/>
  <c r="AQ97" i="29"/>
  <c r="AQ125" i="29"/>
  <c r="AQ184" i="29"/>
  <c r="AQ215" i="29"/>
  <c r="AQ7" i="29"/>
  <c r="AM273" i="29"/>
  <c r="AN273" i="29" s="1"/>
  <c r="AP273" i="29" s="1"/>
  <c r="AT273" i="29" s="1"/>
  <c r="AS273" i="29"/>
  <c r="AQ47" i="29"/>
  <c r="AQ78" i="29"/>
  <c r="AQ106" i="29"/>
  <c r="AQ134" i="29"/>
  <c r="AQ161" i="29"/>
  <c r="AQ193" i="29"/>
  <c r="AQ224" i="29"/>
  <c r="AS284" i="29"/>
  <c r="AM284" i="29"/>
  <c r="AN284" i="29" s="1"/>
  <c r="AP284" i="29" s="1"/>
  <c r="AT284" i="29" s="1"/>
  <c r="AM315" i="29"/>
  <c r="AN315" i="29" s="1"/>
  <c r="AP315" i="29" s="1"/>
  <c r="AT315" i="29" s="1"/>
  <c r="AS315" i="29"/>
  <c r="AS344" i="29"/>
  <c r="AM344" i="29"/>
  <c r="AN344" i="29" s="1"/>
  <c r="AP344" i="29" s="1"/>
  <c r="AT344" i="29" s="1"/>
  <c r="AQ35" i="29"/>
  <c r="AS296" i="29"/>
  <c r="AM296" i="29"/>
  <c r="AN296" i="29" s="1"/>
  <c r="AP296" i="29" s="1"/>
  <c r="AQ48" i="29"/>
  <c r="AQ79" i="29"/>
  <c r="AQ107" i="29"/>
  <c r="AQ135" i="29"/>
  <c r="AQ162" i="29"/>
  <c r="AQ194" i="29"/>
  <c r="AQ225" i="29"/>
  <c r="AM316" i="29"/>
  <c r="AN316" i="29" s="1"/>
  <c r="AP316" i="29" s="1"/>
  <c r="AT316" i="29" s="1"/>
  <c r="AS316" i="29"/>
  <c r="AM371" i="29"/>
  <c r="AN371" i="29" s="1"/>
  <c r="AP371" i="29" s="1"/>
  <c r="AT371" i="29" s="1"/>
  <c r="AS371" i="29"/>
  <c r="AM317" i="29"/>
  <c r="AN317" i="29" s="1"/>
  <c r="AP317" i="29" s="1"/>
  <c r="AT317" i="29" s="1"/>
  <c r="AS317" i="29"/>
  <c r="AQ6" i="29"/>
  <c r="AQ34" i="29"/>
  <c r="AQ66" i="29"/>
  <c r="AQ94" i="29"/>
  <c r="AQ121" i="29"/>
  <c r="AQ152" i="29"/>
  <c r="AQ180" i="29"/>
  <c r="AQ211" i="29"/>
  <c r="AQ243" i="29"/>
  <c r="AQ244" i="29"/>
  <c r="AQ67" i="29"/>
  <c r="AM307" i="29"/>
  <c r="AN307" i="29" s="1"/>
  <c r="AP307" i="29" s="1"/>
  <c r="AT307" i="29" s="1"/>
  <c r="AS307" i="29"/>
  <c r="AS338" i="29"/>
  <c r="AM338" i="29"/>
  <c r="AN338" i="29" s="1"/>
  <c r="AP338" i="29" s="1"/>
  <c r="AT338" i="29" s="1"/>
  <c r="AQ29" i="29"/>
  <c r="AM280" i="29"/>
  <c r="AN280" i="29" s="1"/>
  <c r="AP280" i="29" s="1"/>
  <c r="AT280" i="29" s="1"/>
  <c r="AS280" i="29"/>
  <c r="AS283" i="29"/>
  <c r="AM283" i="29"/>
  <c r="AN283" i="29" s="1"/>
  <c r="AP283" i="29" s="1"/>
  <c r="AT283" i="29" s="1"/>
  <c r="AS314" i="29"/>
  <c r="AM314" i="29"/>
  <c r="AN314" i="29" s="1"/>
  <c r="AP314" i="29" s="1"/>
  <c r="AT314" i="29" s="1"/>
  <c r="AM343" i="29"/>
  <c r="AN343" i="29" s="1"/>
  <c r="AP343" i="29" s="1"/>
  <c r="AT343" i="29" s="1"/>
  <c r="AS343" i="29"/>
  <c r="AS370" i="29"/>
  <c r="AM370" i="29"/>
  <c r="AN370" i="29" s="1"/>
  <c r="AP370" i="29" s="1"/>
  <c r="AT370" i="29" s="1"/>
  <c r="AM285" i="29"/>
  <c r="AN285" i="29" s="1"/>
  <c r="AP285" i="29" s="1"/>
  <c r="AT285" i="29" s="1"/>
  <c r="AS285" i="29"/>
  <c r="AM286" i="29"/>
  <c r="AN286" i="29" s="1"/>
  <c r="AP286" i="29" s="1"/>
  <c r="AT286" i="29" s="1"/>
  <c r="AS286" i="29"/>
  <c r="AM345" i="29"/>
  <c r="AN345" i="29" s="1"/>
  <c r="AP345" i="29" s="1"/>
  <c r="AT345" i="29" s="1"/>
  <c r="AS345" i="29"/>
  <c r="AM272" i="29"/>
  <c r="AN272" i="29" s="1"/>
  <c r="AP272" i="29" s="1"/>
  <c r="AT272" i="29" s="1"/>
  <c r="AS272" i="29"/>
  <c r="AS303" i="29"/>
  <c r="AM303" i="29"/>
  <c r="AN303" i="29" s="1"/>
  <c r="AP303" i="29" s="1"/>
  <c r="AT303" i="29" s="1"/>
  <c r="AM333" i="29"/>
  <c r="AN333" i="29" s="1"/>
  <c r="AP333" i="29" s="1"/>
  <c r="AT333" i="29" s="1"/>
  <c r="AS333" i="29"/>
  <c r="AM359" i="29"/>
  <c r="AN359" i="29" s="1"/>
  <c r="AP359" i="29" s="1"/>
  <c r="AT359" i="29" s="1"/>
  <c r="AS359" i="29"/>
  <c r="AS288" i="29"/>
  <c r="AM288" i="29"/>
  <c r="AN288" i="29" s="1"/>
  <c r="AP288" i="29" s="1"/>
  <c r="AT288" i="29" s="1"/>
  <c r="AS276" i="29"/>
  <c r="AM276" i="29"/>
  <c r="AN276" i="29" s="1"/>
  <c r="AP276" i="29" s="1"/>
  <c r="AT276" i="29" s="1"/>
  <c r="AM290" i="29"/>
  <c r="AN290" i="29" s="1"/>
  <c r="AP290" i="29" s="1"/>
  <c r="AT290" i="29" s="1"/>
  <c r="AS290" i="29"/>
  <c r="AM347" i="29"/>
  <c r="AN347" i="29" s="1"/>
  <c r="AP347" i="29" s="1"/>
  <c r="AT347" i="29" s="1"/>
  <c r="AS347" i="29"/>
  <c r="AM372" i="29"/>
  <c r="AN372" i="29" s="1"/>
  <c r="AP372" i="29" s="1"/>
  <c r="AT372" i="29" s="1"/>
  <c r="AS372" i="29"/>
  <c r="AM327" i="29"/>
  <c r="AN327" i="29" s="1"/>
  <c r="AP327" i="29" s="1"/>
  <c r="AT327" i="29" s="1"/>
  <c r="AS327" i="29"/>
  <c r="AS292" i="29"/>
  <c r="AM292" i="29"/>
  <c r="AN292" i="29" s="1"/>
  <c r="AP292" i="29" s="1"/>
  <c r="AT292" i="29" s="1"/>
  <c r="AS323" i="29"/>
  <c r="AM323" i="29"/>
  <c r="AN323" i="29" s="1"/>
  <c r="AP323" i="29" s="1"/>
  <c r="AT323" i="29" s="1"/>
  <c r="AS349" i="29"/>
  <c r="AM349" i="29"/>
  <c r="AN349" i="29" s="1"/>
  <c r="AP349" i="29" s="1"/>
  <c r="AT349" i="29" s="1"/>
  <c r="AM293" i="29"/>
  <c r="AN293" i="29" s="1"/>
  <c r="AP293" i="29" s="1"/>
  <c r="AT293" i="29" s="1"/>
  <c r="AS293" i="29"/>
  <c r="AM324" i="29"/>
  <c r="AN324" i="29" s="1"/>
  <c r="AP324" i="29" s="1"/>
  <c r="AT324" i="29" s="1"/>
  <c r="AS324" i="29"/>
  <c r="AM350" i="29"/>
  <c r="AN350" i="29" s="1"/>
  <c r="AP350" i="29" s="1"/>
  <c r="AT350" i="29" s="1"/>
  <c r="AS350" i="29"/>
  <c r="AM374" i="29"/>
  <c r="AN374" i="29" s="1"/>
  <c r="AP374" i="29" s="1"/>
  <c r="AT374" i="29" s="1"/>
  <c r="AS374" i="29"/>
  <c r="AM319" i="29"/>
  <c r="AN319" i="29" s="1"/>
  <c r="AP319" i="29" s="1"/>
  <c r="AT319" i="29" s="1"/>
  <c r="AS319" i="29"/>
  <c r="AS294" i="29"/>
  <c r="AM294" i="29"/>
  <c r="AN294" i="29" s="1"/>
  <c r="AP294" i="29" s="1"/>
  <c r="AM325" i="29"/>
  <c r="AN325" i="29" s="1"/>
  <c r="AP325" i="29" s="1"/>
  <c r="AT325" i="29" s="1"/>
  <c r="AS325" i="29"/>
  <c r="AM351" i="29"/>
  <c r="AN351" i="29" s="1"/>
  <c r="AP351" i="29" s="1"/>
  <c r="AT351" i="29" s="1"/>
  <c r="AS351" i="29"/>
  <c r="AM375" i="29"/>
  <c r="AN375" i="29" s="1"/>
  <c r="AP375" i="29" s="1"/>
  <c r="AT375" i="29" s="1"/>
  <c r="AS375" i="29"/>
  <c r="AQ14" i="29"/>
  <c r="AQ42" i="29"/>
  <c r="AQ73" i="29"/>
  <c r="AQ101" i="29"/>
  <c r="AQ129" i="29"/>
  <c r="AQ36" i="29"/>
  <c r="AM305" i="29"/>
  <c r="AN305" i="29" s="1"/>
  <c r="AP305" i="29" s="1"/>
  <c r="AT305" i="29" s="1"/>
  <c r="AS305" i="29"/>
  <c r="AQ16" i="29"/>
  <c r="AQ44" i="29"/>
  <c r="AQ75" i="29"/>
  <c r="AQ103" i="29"/>
  <c r="AQ131" i="29"/>
  <c r="AQ158" i="29"/>
  <c r="AQ190" i="29"/>
  <c r="AQ221" i="29"/>
  <c r="AM281" i="29"/>
  <c r="AN281" i="29" s="1"/>
  <c r="AP281" i="29" s="1"/>
  <c r="AT281" i="29" s="1"/>
  <c r="AS281" i="29"/>
  <c r="AM341" i="29"/>
  <c r="AN341" i="29" s="1"/>
  <c r="AP341" i="29" s="1"/>
  <c r="AT341" i="29" s="1"/>
  <c r="AS341" i="29"/>
  <c r="AQ24" i="29"/>
  <c r="AQ53" i="29"/>
  <c r="AQ84" i="29"/>
  <c r="AQ140" i="29"/>
  <c r="AQ167" i="29"/>
  <c r="AQ199" i="29"/>
  <c r="AQ230" i="29"/>
  <c r="AQ290" i="29"/>
  <c r="AM321" i="29"/>
  <c r="AN321" i="29" s="1"/>
  <c r="AP321" i="29" s="1"/>
  <c r="AT321" i="29" s="1"/>
  <c r="AS321" i="29"/>
  <c r="AQ347" i="29"/>
  <c r="AQ372" i="29"/>
  <c r="AM304" i="29"/>
  <c r="AN304" i="29" s="1"/>
  <c r="AP304" i="29" s="1"/>
  <c r="AT304" i="29" s="1"/>
  <c r="AS304" i="29"/>
  <c r="AM291" i="29"/>
  <c r="AN291" i="29" s="1"/>
  <c r="AP291" i="29" s="1"/>
  <c r="AT291" i="29" s="1"/>
  <c r="AS291" i="29"/>
  <c r="AM348" i="29"/>
  <c r="AN348" i="29" s="1"/>
  <c r="AP348" i="29" s="1"/>
  <c r="AT348" i="29" s="1"/>
  <c r="AS348" i="29"/>
  <c r="AS373" i="29"/>
  <c r="AM373" i="29"/>
  <c r="AN373" i="29" s="1"/>
  <c r="AP373" i="29" s="1"/>
  <c r="AT373" i="29" s="1"/>
  <c r="AQ122" i="29"/>
  <c r="AQ327" i="29"/>
  <c r="AQ26" i="29"/>
  <c r="AQ55" i="29"/>
  <c r="AQ86" i="29"/>
  <c r="AQ142" i="29"/>
  <c r="AQ169" i="29"/>
  <c r="AQ201" i="29"/>
  <c r="AQ232" i="29"/>
  <c r="AQ261" i="29"/>
  <c r="AQ292" i="29"/>
  <c r="AQ323" i="29"/>
  <c r="AQ349" i="29"/>
  <c r="AQ59" i="29"/>
  <c r="AQ181" i="29"/>
  <c r="AQ27" i="29"/>
  <c r="AQ56" i="29"/>
  <c r="AQ87" i="29"/>
  <c r="AQ111" i="29"/>
  <c r="AQ143" i="29"/>
  <c r="AQ170" i="29"/>
  <c r="AQ202" i="29"/>
  <c r="AQ233" i="29"/>
  <c r="AQ262" i="29"/>
  <c r="AQ293" i="29"/>
  <c r="AQ324" i="29"/>
  <c r="AQ350" i="29"/>
  <c r="AQ374" i="29"/>
  <c r="AQ319" i="29"/>
  <c r="AQ28" i="29"/>
  <c r="AQ112" i="29"/>
  <c r="AQ144" i="29"/>
  <c r="AQ171" i="29"/>
  <c r="AS279" i="29"/>
  <c r="AM279" i="29"/>
  <c r="AN279" i="29" s="1"/>
  <c r="AP279" i="29" s="1"/>
  <c r="AT279" i="29" s="1"/>
  <c r="AM311" i="29"/>
  <c r="AN311" i="29" s="1"/>
  <c r="AP311" i="29" s="1"/>
  <c r="AT311" i="29" s="1"/>
  <c r="AS311" i="29"/>
  <c r="AS366" i="29"/>
  <c r="AM366" i="29"/>
  <c r="AN366" i="29" s="1"/>
  <c r="AP366" i="29" s="1"/>
  <c r="AT366" i="29" s="1"/>
  <c r="AM334" i="29"/>
  <c r="AN334" i="29" s="1"/>
  <c r="AP334" i="29" s="1"/>
  <c r="AT334" i="29" s="1"/>
  <c r="AS334" i="29"/>
  <c r="AM274" i="29"/>
  <c r="AN274" i="29" s="1"/>
  <c r="AP274" i="29" s="1"/>
  <c r="AT274" i="29" s="1"/>
  <c r="AS274" i="29"/>
  <c r="AM312" i="29"/>
  <c r="AN312" i="29" s="1"/>
  <c r="AP312" i="29" s="1"/>
  <c r="AT312" i="29" s="1"/>
  <c r="AS312" i="29"/>
  <c r="AM368" i="29"/>
  <c r="AN368" i="29" s="1"/>
  <c r="AP368" i="29" s="1"/>
  <c r="AT368" i="29" s="1"/>
  <c r="AS368" i="29"/>
  <c r="AM298" i="29"/>
  <c r="AN298" i="29" s="1"/>
  <c r="AP298" i="29" s="1"/>
  <c r="AT298" i="29" s="1"/>
  <c r="AS298" i="29"/>
  <c r="AS329" i="29"/>
  <c r="AM329" i="29"/>
  <c r="AN329" i="29" s="1"/>
  <c r="AP329" i="29" s="1"/>
  <c r="AT329" i="29" s="1"/>
  <c r="AM354" i="29"/>
  <c r="AN354" i="29" s="1"/>
  <c r="AP354" i="29" s="1"/>
  <c r="AT354" i="29" s="1"/>
  <c r="AS354" i="29"/>
  <c r="AQ43" i="29"/>
  <c r="AQ153" i="29"/>
  <c r="AQ304" i="29"/>
  <c r="AQ25" i="29"/>
  <c r="AM322" i="29"/>
  <c r="AN322" i="29" s="1"/>
  <c r="AP322" i="29" s="1"/>
  <c r="AT322" i="29" s="1"/>
  <c r="AS322" i="29"/>
  <c r="AM367" i="29"/>
  <c r="AN367" i="29" s="1"/>
  <c r="AP367" i="29" s="1"/>
  <c r="AT367" i="29" s="1"/>
  <c r="AS367" i="29"/>
  <c r="AM300" i="29"/>
  <c r="AN300" i="29" s="1"/>
  <c r="AP300" i="29" s="1"/>
  <c r="AT300" i="29" s="1"/>
  <c r="AS300" i="29"/>
  <c r="AM356" i="29"/>
  <c r="AN356" i="29" s="1"/>
  <c r="AP356" i="29" s="1"/>
  <c r="AT356" i="29" s="1"/>
  <c r="AS356" i="29"/>
  <c r="AM270" i="29"/>
  <c r="AN270" i="29" s="1"/>
  <c r="AP270" i="29" s="1"/>
  <c r="AT270" i="29" s="1"/>
  <c r="AS270" i="29"/>
  <c r="AM301" i="29"/>
  <c r="AN301" i="29" s="1"/>
  <c r="AP301" i="29" s="1"/>
  <c r="AT301" i="29" s="1"/>
  <c r="AS301" i="29"/>
  <c r="AM331" i="29"/>
  <c r="AN331" i="29" s="1"/>
  <c r="AP331" i="29" s="1"/>
  <c r="AT331" i="29" s="1"/>
  <c r="AS331" i="29"/>
  <c r="AM357" i="29"/>
  <c r="AN357" i="29" s="1"/>
  <c r="AP357" i="29" s="1"/>
  <c r="AT357" i="29" s="1"/>
  <c r="AS357" i="29"/>
  <c r="AS271" i="29"/>
  <c r="AM271" i="29"/>
  <c r="AN271" i="29" s="1"/>
  <c r="AP271" i="29" s="1"/>
  <c r="AT271" i="29" s="1"/>
  <c r="AS302" i="29"/>
  <c r="AM302" i="29"/>
  <c r="AN302" i="29" s="1"/>
  <c r="AP302" i="29" s="1"/>
  <c r="AT302" i="29" s="1"/>
  <c r="AS332" i="29"/>
  <c r="AM332" i="29"/>
  <c r="AN332" i="29" s="1"/>
  <c r="AP332" i="29" s="1"/>
  <c r="AT332" i="29" s="1"/>
  <c r="AM358" i="29"/>
  <c r="AN358" i="29" s="1"/>
  <c r="AP358" i="29" s="1"/>
  <c r="AT358" i="29" s="1"/>
  <c r="AS358" i="29"/>
  <c r="AQ22" i="29"/>
  <c r="AQ50" i="29"/>
  <c r="AQ81" i="29"/>
  <c r="AQ109" i="29"/>
  <c r="AQ137" i="29"/>
  <c r="AQ164" i="29"/>
  <c r="AQ196" i="29"/>
  <c r="AQ227" i="29"/>
  <c r="AQ257" i="29"/>
  <c r="AM287" i="29"/>
  <c r="AN287" i="29" s="1"/>
  <c r="AP287" i="29" s="1"/>
  <c r="AT287" i="29" s="1"/>
  <c r="AS287" i="29"/>
  <c r="AQ157" i="29"/>
  <c r="AQ334" i="29"/>
  <c r="AQ236" i="29"/>
  <c r="AS353" i="29"/>
  <c r="AM353" i="29"/>
  <c r="AN353" i="29" s="1"/>
  <c r="AP353" i="29" s="1"/>
  <c r="AT353" i="29" s="1"/>
  <c r="AS337" i="29"/>
  <c r="AM337" i="29"/>
  <c r="AN337" i="29" s="1"/>
  <c r="AP337" i="29" s="1"/>
  <c r="AT337" i="29" s="1"/>
  <c r="AM335" i="29"/>
  <c r="AN335" i="29" s="1"/>
  <c r="AP335" i="29" s="1"/>
  <c r="AT335" i="29" s="1"/>
  <c r="AS335" i="29"/>
  <c r="AM361" i="29"/>
  <c r="AN361" i="29" s="1"/>
  <c r="AP361" i="29" s="1"/>
  <c r="AT361" i="29" s="1"/>
  <c r="AS361" i="29"/>
  <c r="AQ258" i="29"/>
  <c r="AM289" i="29"/>
  <c r="AN289" i="29" s="1"/>
  <c r="AP289" i="29" s="1"/>
  <c r="AT289" i="29" s="1"/>
  <c r="AS289" i="29"/>
  <c r="AQ51" i="29"/>
  <c r="AQ61" i="29"/>
  <c r="AQ90" i="29"/>
  <c r="AQ116" i="29"/>
  <c r="AQ148" i="29"/>
  <c r="AQ175" i="29"/>
  <c r="AQ206" i="29"/>
  <c r="AQ238" i="29"/>
  <c r="AQ267" i="29"/>
  <c r="AQ298" i="29"/>
  <c r="AQ329" i="29"/>
  <c r="AQ354" i="29"/>
  <c r="AS379" i="29"/>
  <c r="AM379" i="29"/>
  <c r="AN379" i="29" s="1"/>
  <c r="AP379" i="29" s="1"/>
  <c r="AT379" i="29" s="1"/>
  <c r="AM268" i="29"/>
  <c r="AN268" i="29" s="1"/>
  <c r="AP268" i="29" s="1"/>
  <c r="AT268" i="29" s="1"/>
  <c r="AS268" i="29"/>
  <c r="AM299" i="29"/>
  <c r="AN299" i="29" s="1"/>
  <c r="AP299" i="29" s="1"/>
  <c r="AT299" i="29" s="1"/>
  <c r="AS299" i="29"/>
  <c r="AM355" i="29"/>
  <c r="AN355" i="29" s="1"/>
  <c r="AP355" i="29" s="1"/>
  <c r="AT355" i="29" s="1"/>
  <c r="AS355" i="29"/>
  <c r="AQ165" i="29"/>
  <c r="AQ367" i="29"/>
  <c r="AQ31" i="29"/>
  <c r="AQ63" i="29"/>
  <c r="AQ118" i="29"/>
  <c r="AQ177" i="29"/>
  <c r="AQ208" i="29"/>
  <c r="AQ240" i="29"/>
  <c r="AS269" i="29"/>
  <c r="AM269" i="29"/>
  <c r="AN269" i="29" s="1"/>
  <c r="AP269" i="29" s="1"/>
  <c r="AT269" i="29" s="1"/>
  <c r="AQ300" i="29"/>
  <c r="AM330" i="29"/>
  <c r="AN330" i="29" s="1"/>
  <c r="AP330" i="29" s="1"/>
  <c r="AS330" i="29"/>
  <c r="AQ356" i="29"/>
  <c r="AQ82" i="29"/>
  <c r="AQ220" i="29"/>
  <c r="AM377" i="29"/>
  <c r="AN377" i="29" s="1"/>
  <c r="AP377" i="29" s="1"/>
  <c r="AT377" i="29" s="1"/>
  <c r="AS377" i="29"/>
  <c r="AM318" i="29"/>
  <c r="AN318" i="29" s="1"/>
  <c r="AP318" i="29" s="1"/>
  <c r="AT318" i="29" s="1"/>
  <c r="AS318" i="29"/>
  <c r="AS346" i="29"/>
  <c r="AM346" i="29"/>
  <c r="AN346" i="29" s="1"/>
  <c r="AP346" i="29" s="1"/>
  <c r="AT346" i="29" s="1"/>
  <c r="AS320" i="29"/>
  <c r="AM320" i="29"/>
  <c r="AN320" i="29" s="1"/>
  <c r="AP320" i="29" s="1"/>
  <c r="AT320" i="29" s="1"/>
  <c r="AQ69" i="29"/>
  <c r="AQ96" i="29"/>
  <c r="AQ124" i="29"/>
  <c r="AQ183" i="29"/>
  <c r="AQ214" i="29"/>
  <c r="AM275" i="29"/>
  <c r="AN275" i="29" s="1"/>
  <c r="AP275" i="29" s="1"/>
  <c r="AT275" i="29" s="1"/>
  <c r="AS275" i="29"/>
  <c r="AS306" i="29"/>
  <c r="AM306" i="29"/>
  <c r="AN306" i="29" s="1"/>
  <c r="AP306" i="29" s="1"/>
  <c r="AT306" i="29" s="1"/>
  <c r="AS336" i="29"/>
  <c r="AM336" i="29"/>
  <c r="AN336" i="29" s="1"/>
  <c r="AP336" i="29" s="1"/>
  <c r="AT336" i="29" s="1"/>
  <c r="AS362" i="29"/>
  <c r="AM362" i="29"/>
  <c r="AN362" i="29" s="1"/>
  <c r="AP362" i="29" s="1"/>
  <c r="AT362" i="29" s="1"/>
  <c r="AM247" i="29"/>
  <c r="AN247" i="29" s="1"/>
  <c r="AM308" i="29"/>
  <c r="AN308" i="29" s="1"/>
  <c r="AP308" i="29" s="1"/>
  <c r="AT308" i="29" s="1"/>
  <c r="AS308" i="29"/>
  <c r="AQ338" i="29"/>
  <c r="AM363" i="29"/>
  <c r="AN363" i="29" s="1"/>
  <c r="AP363" i="29" s="1"/>
  <c r="AT363" i="29" s="1"/>
  <c r="AS363" i="29"/>
  <c r="AQ12" i="29"/>
  <c r="AM277" i="29"/>
  <c r="AN277" i="29" s="1"/>
  <c r="AP277" i="29" s="1"/>
  <c r="AT277" i="29" s="1"/>
  <c r="AS277" i="29"/>
  <c r="AM309" i="29"/>
  <c r="AN309" i="29" s="1"/>
  <c r="AP309" i="29" s="1"/>
  <c r="AT309" i="29" s="1"/>
  <c r="AS309" i="29"/>
  <c r="AM339" i="29"/>
  <c r="AN339" i="29" s="1"/>
  <c r="AP339" i="29" s="1"/>
  <c r="AT339" i="29" s="1"/>
  <c r="AS339" i="29"/>
  <c r="AM364" i="29"/>
  <c r="AN364" i="29" s="1"/>
  <c r="AP364" i="29" s="1"/>
  <c r="AT364" i="29" s="1"/>
  <c r="AS364" i="29"/>
  <c r="AM278" i="29"/>
  <c r="AN278" i="29" s="1"/>
  <c r="AP278" i="29" s="1"/>
  <c r="AT278" i="29" s="1"/>
  <c r="AS278" i="29"/>
  <c r="AM310" i="29"/>
  <c r="AN310" i="29" s="1"/>
  <c r="AP310" i="29" s="1"/>
  <c r="AT310" i="29" s="1"/>
  <c r="AS310" i="29"/>
  <c r="AM340" i="29"/>
  <c r="AN340" i="29" s="1"/>
  <c r="AP340" i="29" s="1"/>
  <c r="AT340" i="29" s="1"/>
  <c r="AS340" i="29"/>
  <c r="AM365" i="29"/>
  <c r="AN365" i="29" s="1"/>
  <c r="AP365" i="29" s="1"/>
  <c r="AT365" i="29" s="1"/>
  <c r="AS365" i="29"/>
  <c r="AS360" i="29"/>
  <c r="AM360" i="29"/>
  <c r="AN360" i="29" s="1"/>
  <c r="AP360" i="29" s="1"/>
  <c r="AT360" i="29" s="1"/>
  <c r="AQ58" i="29"/>
  <c r="AQ88" i="29"/>
  <c r="AQ113" i="29"/>
  <c r="AQ145" i="29"/>
  <c r="AQ172" i="29"/>
  <c r="AQ204" i="29"/>
  <c r="AQ235" i="29"/>
  <c r="AQ264" i="29"/>
  <c r="AQ295" i="29"/>
  <c r="AQ326" i="29"/>
  <c r="AQ352" i="29"/>
  <c r="AQ376" i="29"/>
  <c r="AB5" i="29" l="1"/>
  <c r="AD5" i="29" s="1"/>
  <c r="AE5" i="29"/>
  <c r="AF5" i="29" s="1"/>
  <c r="BF379" i="29"/>
  <c r="BF276" i="29"/>
  <c r="BF278" i="29"/>
  <c r="BF346" i="29"/>
  <c r="BF332" i="29"/>
  <c r="BF374" i="29"/>
  <c r="BF327" i="29"/>
  <c r="BF285" i="29"/>
  <c r="BF316" i="29"/>
  <c r="BF313" i="29"/>
  <c r="BF360" i="29"/>
  <c r="BF270" i="29"/>
  <c r="BF362" i="29"/>
  <c r="BF357" i="29"/>
  <c r="BF356" i="29"/>
  <c r="BF298" i="29"/>
  <c r="BF334" i="29"/>
  <c r="BF349" i="29"/>
  <c r="BF288" i="29"/>
  <c r="BF273" i="29"/>
  <c r="BF378" i="29"/>
  <c r="BF284" i="29"/>
  <c r="BF365" i="29"/>
  <c r="BF364" i="29"/>
  <c r="BF366" i="29"/>
  <c r="BF350" i="29"/>
  <c r="BF272" i="29"/>
  <c r="BF280" i="29"/>
  <c r="BF328" i="29"/>
  <c r="BF321" i="29"/>
  <c r="BF283" i="29"/>
  <c r="BF363" i="29"/>
  <c r="BF336" i="29"/>
  <c r="BF318" i="29"/>
  <c r="BF335" i="29"/>
  <c r="BF331" i="29"/>
  <c r="BF304" i="29"/>
  <c r="BF295" i="29"/>
  <c r="BF358" i="29"/>
  <c r="BF339" i="29"/>
  <c r="BF287" i="29"/>
  <c r="BF271" i="29"/>
  <c r="BF373" i="29"/>
  <c r="BF281" i="29"/>
  <c r="BF324" i="29"/>
  <c r="BF347" i="29"/>
  <c r="BF345" i="29"/>
  <c r="BF343" i="29"/>
  <c r="BF317" i="29"/>
  <c r="BF274" i="29"/>
  <c r="BF342" i="29"/>
  <c r="BF306" i="29"/>
  <c r="BF301" i="29"/>
  <c r="BF367" i="29"/>
  <c r="BF354" i="29"/>
  <c r="BF311" i="29"/>
  <c r="BF292" i="29"/>
  <c r="BF314" i="29"/>
  <c r="BF369" i="29"/>
  <c r="BF307" i="29"/>
  <c r="BF310" i="29"/>
  <c r="BF309" i="29"/>
  <c r="BF308" i="29"/>
  <c r="BF320" i="29"/>
  <c r="BF289" i="29"/>
  <c r="BF353" i="29"/>
  <c r="BF279" i="29"/>
  <c r="BF305" i="29"/>
  <c r="BF375" i="29"/>
  <c r="BF319" i="29"/>
  <c r="BF333" i="29"/>
  <c r="BF371" i="29"/>
  <c r="BF315" i="29"/>
  <c r="AT294" i="29"/>
  <c r="AT296" i="29"/>
  <c r="AE202" i="29"/>
  <c r="AF202" i="29" s="1"/>
  <c r="AB245" i="29"/>
  <c r="AD245" i="29" s="1"/>
  <c r="AB127" i="29"/>
  <c r="AD127" i="29" s="1"/>
  <c r="AB52" i="29"/>
  <c r="AD52" i="29" s="1"/>
  <c r="AE160" i="29"/>
  <c r="AF160" i="29" s="1"/>
  <c r="AE52" i="29"/>
  <c r="AF52" i="29" s="1"/>
  <c r="AB39" i="29"/>
  <c r="AD39" i="29" s="1"/>
  <c r="AB311" i="29"/>
  <c r="AD311" i="29" s="1"/>
  <c r="AE127" i="29"/>
  <c r="AF127" i="29" s="1"/>
  <c r="AE137" i="29"/>
  <c r="AF137" i="29" s="1"/>
  <c r="AE263" i="29"/>
  <c r="AF263" i="29" s="1"/>
  <c r="AE54" i="29"/>
  <c r="AF54" i="29" s="1"/>
  <c r="AB285" i="29"/>
  <c r="AD285" i="29" s="1"/>
  <c r="AB176" i="29"/>
  <c r="AD176" i="29" s="1"/>
  <c r="AE145" i="29"/>
  <c r="AF145" i="29" s="1"/>
  <c r="AE96" i="29"/>
  <c r="AF96" i="29" s="1"/>
  <c r="AE249" i="29"/>
  <c r="AF249" i="29" s="1"/>
  <c r="AE262" i="29"/>
  <c r="AF262" i="29" s="1"/>
  <c r="AB218" i="29"/>
  <c r="AD218" i="29" s="1"/>
  <c r="AE360" i="29"/>
  <c r="AF360" i="29" s="1"/>
  <c r="AB237" i="29"/>
  <c r="AD237" i="29" s="1"/>
  <c r="AE218" i="29"/>
  <c r="AF218" i="29" s="1"/>
  <c r="AE46" i="29"/>
  <c r="AF46" i="29" s="1"/>
  <c r="AB30" i="29"/>
  <c r="AD30" i="29" s="1"/>
  <c r="AE226" i="29"/>
  <c r="AF226" i="29" s="1"/>
  <c r="AE238" i="29"/>
  <c r="AF238" i="29" s="1"/>
  <c r="AB186" i="29"/>
  <c r="AD186" i="29" s="1"/>
  <c r="AB346" i="29"/>
  <c r="AD346" i="29" s="1"/>
  <c r="AB145" i="29"/>
  <c r="AD145" i="29" s="1"/>
  <c r="AB165" i="29"/>
  <c r="AD165" i="29" s="1"/>
  <c r="AE30" i="29"/>
  <c r="AF30" i="29" s="1"/>
  <c r="AB137" i="29"/>
  <c r="AD137" i="29" s="1"/>
  <c r="AE44" i="29"/>
  <c r="AF44" i="29" s="1"/>
  <c r="AB226" i="29"/>
  <c r="AD226" i="29" s="1"/>
  <c r="AB109" i="29"/>
  <c r="AD109" i="29" s="1"/>
  <c r="AB294" i="29"/>
  <c r="AD294" i="29" s="1"/>
  <c r="AE39" i="29"/>
  <c r="AF39" i="29" s="1"/>
  <c r="AB36" i="29"/>
  <c r="AD36" i="29" s="1"/>
  <c r="AE186" i="29"/>
  <c r="AF186" i="29" s="1"/>
  <c r="AB108" i="29"/>
  <c r="AD108" i="29" s="1"/>
  <c r="AE270" i="29"/>
  <c r="AF270" i="29" s="1"/>
  <c r="AE47" i="29"/>
  <c r="AF47" i="29" s="1"/>
  <c r="AE84" i="29"/>
  <c r="AF84" i="29" s="1"/>
  <c r="AE13" i="29"/>
  <c r="AF13" i="29" s="1"/>
  <c r="AB13" i="29"/>
  <c r="AD13" i="29" s="1"/>
  <c r="AB293" i="29"/>
  <c r="AD293" i="29" s="1"/>
  <c r="AB84" i="29"/>
  <c r="AD84" i="29" s="1"/>
  <c r="AE90" i="29"/>
  <c r="AF90" i="29" s="1"/>
  <c r="AE58" i="29"/>
  <c r="AF58" i="29" s="1"/>
  <c r="AB217" i="29"/>
  <c r="AD217" i="29" s="1"/>
  <c r="AB203" i="29"/>
  <c r="AD203" i="29" s="1"/>
  <c r="AB10" i="29"/>
  <c r="AE119" i="29"/>
  <c r="AF119" i="29" s="1"/>
  <c r="AE187" i="29"/>
  <c r="AF187" i="29" s="1"/>
  <c r="AE168" i="29"/>
  <c r="AF168" i="29" s="1"/>
  <c r="AB168" i="29"/>
  <c r="AD168" i="29" s="1"/>
  <c r="AB111" i="29"/>
  <c r="AD111" i="29" s="1"/>
  <c r="AE203" i="29"/>
  <c r="AF203" i="29" s="1"/>
  <c r="AE318" i="29"/>
  <c r="AF318" i="29" s="1"/>
  <c r="AE217" i="29"/>
  <c r="AF217" i="29" s="1"/>
  <c r="AB90" i="29"/>
  <c r="AD90" i="29" s="1"/>
  <c r="AE293" i="29"/>
  <c r="AF293" i="29" s="1"/>
  <c r="AB46" i="29"/>
  <c r="AD46" i="29" s="1"/>
  <c r="AB119" i="29"/>
  <c r="AD119" i="29" s="1"/>
  <c r="AE10" i="29"/>
  <c r="AF10" i="29" s="1"/>
  <c r="AE108" i="29"/>
  <c r="AF108" i="29" s="1"/>
  <c r="AB187" i="29"/>
  <c r="AD187" i="29" s="1"/>
  <c r="AB58" i="29"/>
  <c r="AD58" i="29" s="1"/>
  <c r="AT330" i="29"/>
  <c r="BE268" i="29"/>
  <c r="AU268" i="29"/>
  <c r="BE291" i="29"/>
  <c r="AU291" i="29"/>
  <c r="BE326" i="29"/>
  <c r="AU326" i="29"/>
  <c r="BF268" i="29"/>
  <c r="BE331" i="29"/>
  <c r="AU331" i="29"/>
  <c r="BE356" i="29"/>
  <c r="AU356" i="29"/>
  <c r="BE354" i="29"/>
  <c r="AU354" i="29"/>
  <c r="BE279" i="29"/>
  <c r="AU279" i="29"/>
  <c r="BE373" i="29"/>
  <c r="AU373" i="29"/>
  <c r="BF291" i="29"/>
  <c r="BE327" i="29"/>
  <c r="AU327" i="29"/>
  <c r="BE285" i="29"/>
  <c r="AU285" i="29"/>
  <c r="BE315" i="29"/>
  <c r="AU315" i="29"/>
  <c r="BE313" i="29"/>
  <c r="AU313" i="29"/>
  <c r="BF326" i="29"/>
  <c r="BE303" i="29"/>
  <c r="AU303" i="29"/>
  <c r="BE339" i="29"/>
  <c r="AU339" i="29"/>
  <c r="BE346" i="29"/>
  <c r="AU346" i="29"/>
  <c r="BE355" i="29"/>
  <c r="AU355" i="29"/>
  <c r="BE337" i="29"/>
  <c r="AU337" i="29"/>
  <c r="BE322" i="29"/>
  <c r="AU322" i="29"/>
  <c r="BE368" i="29"/>
  <c r="AU368" i="29"/>
  <c r="BE351" i="29"/>
  <c r="AU351" i="29"/>
  <c r="BE350" i="29"/>
  <c r="AU350" i="29"/>
  <c r="BE323" i="29"/>
  <c r="AU323" i="29"/>
  <c r="BE290" i="29"/>
  <c r="AU290" i="29"/>
  <c r="BF303" i="29"/>
  <c r="BE286" i="29"/>
  <c r="AU286" i="29"/>
  <c r="BE370" i="29"/>
  <c r="AU370" i="29"/>
  <c r="BE338" i="29"/>
  <c r="AU338" i="29"/>
  <c r="BE376" i="29"/>
  <c r="AU376" i="29"/>
  <c r="BE310" i="29"/>
  <c r="AU310" i="29"/>
  <c r="BE335" i="29"/>
  <c r="AU335" i="29"/>
  <c r="BE321" i="29"/>
  <c r="AU321" i="29"/>
  <c r="BE278" i="29"/>
  <c r="AU278" i="29"/>
  <c r="BE363" i="29"/>
  <c r="AU363" i="29"/>
  <c r="BE362" i="29"/>
  <c r="AU362" i="29"/>
  <c r="BE377" i="29"/>
  <c r="AU377" i="29"/>
  <c r="BF355" i="29"/>
  <c r="BE302" i="29"/>
  <c r="AU302" i="29"/>
  <c r="BF322" i="29"/>
  <c r="BE329" i="29"/>
  <c r="AU329" i="29"/>
  <c r="BF368" i="29"/>
  <c r="BE304" i="29"/>
  <c r="AU304" i="29"/>
  <c r="BE305" i="29"/>
  <c r="AU305" i="29"/>
  <c r="BF351" i="29"/>
  <c r="BE319" i="29"/>
  <c r="AU319" i="29"/>
  <c r="BF290" i="29"/>
  <c r="BE359" i="29"/>
  <c r="AU359" i="29"/>
  <c r="BF286" i="29"/>
  <c r="BE283" i="29"/>
  <c r="AU283" i="29"/>
  <c r="BE371" i="29"/>
  <c r="AU371" i="29"/>
  <c r="BE284" i="29"/>
  <c r="AU284" i="29"/>
  <c r="BF376" i="29"/>
  <c r="BE295" i="29"/>
  <c r="AU295" i="29"/>
  <c r="BE274" i="29"/>
  <c r="AU274" i="29"/>
  <c r="BE293" i="29"/>
  <c r="AU293" i="29"/>
  <c r="BE275" i="29"/>
  <c r="AU275" i="29"/>
  <c r="BF377" i="29"/>
  <c r="BE269" i="29"/>
  <c r="AU269" i="29"/>
  <c r="BF337" i="29"/>
  <c r="BE301" i="29"/>
  <c r="AU301" i="29"/>
  <c r="BE300" i="29"/>
  <c r="AU300" i="29"/>
  <c r="BE341" i="29"/>
  <c r="AU341" i="29"/>
  <c r="BF323" i="29"/>
  <c r="BE372" i="29"/>
  <c r="AU372" i="29"/>
  <c r="BE276" i="29"/>
  <c r="AU276" i="29"/>
  <c r="BF359" i="29"/>
  <c r="BE272" i="29"/>
  <c r="AU272" i="29"/>
  <c r="BF370" i="29"/>
  <c r="BF338" i="29"/>
  <c r="BE369" i="29"/>
  <c r="AU369" i="29"/>
  <c r="BE378" i="29"/>
  <c r="AU378" i="29"/>
  <c r="BE289" i="29"/>
  <c r="AU289" i="29"/>
  <c r="BE366" i="29"/>
  <c r="AU366" i="29"/>
  <c r="BE309" i="29"/>
  <c r="AU309" i="29"/>
  <c r="BF275" i="29"/>
  <c r="BE299" i="29"/>
  <c r="AU299" i="29"/>
  <c r="BE379" i="29"/>
  <c r="AU379" i="29"/>
  <c r="BE361" i="29"/>
  <c r="AU361" i="29"/>
  <c r="BE353" i="29"/>
  <c r="AU353" i="29"/>
  <c r="BF302" i="29"/>
  <c r="BF300" i="29"/>
  <c r="BF329" i="29"/>
  <c r="BE312" i="29"/>
  <c r="AU312" i="29"/>
  <c r="BE348" i="29"/>
  <c r="AU348" i="29"/>
  <c r="BF341" i="29"/>
  <c r="BE325" i="29"/>
  <c r="AU325" i="29"/>
  <c r="BE324" i="29"/>
  <c r="AU324" i="29"/>
  <c r="BE292" i="29"/>
  <c r="AU292" i="29"/>
  <c r="BF372" i="29"/>
  <c r="BE344" i="29"/>
  <c r="AU344" i="29"/>
  <c r="BE282" i="29"/>
  <c r="AU282" i="29"/>
  <c r="BE352" i="29"/>
  <c r="AU352" i="29"/>
  <c r="BE297" i="29"/>
  <c r="AU297" i="29"/>
  <c r="BE277" i="29"/>
  <c r="AU277" i="29"/>
  <c r="BE314" i="29"/>
  <c r="AU314" i="29"/>
  <c r="BE365" i="29"/>
  <c r="AU365" i="29"/>
  <c r="BE340" i="29"/>
  <c r="AU340" i="29"/>
  <c r="BE336" i="29"/>
  <c r="AU336" i="29"/>
  <c r="BE360" i="29"/>
  <c r="AU360" i="29"/>
  <c r="BF340" i="29"/>
  <c r="BE320" i="29"/>
  <c r="AU320" i="29"/>
  <c r="BF269" i="29"/>
  <c r="BF299" i="29"/>
  <c r="BF361" i="29"/>
  <c r="BE358" i="29"/>
  <c r="AU358" i="29"/>
  <c r="BE271" i="29"/>
  <c r="AU271" i="29"/>
  <c r="BE357" i="29"/>
  <c r="AU357" i="29"/>
  <c r="BF312" i="29"/>
  <c r="BE334" i="29"/>
  <c r="AU334" i="29"/>
  <c r="BF348" i="29"/>
  <c r="BF325" i="29"/>
  <c r="BE333" i="29"/>
  <c r="AU333" i="29"/>
  <c r="BE343" i="29"/>
  <c r="AU343" i="29"/>
  <c r="BE316" i="29"/>
  <c r="AU316" i="29"/>
  <c r="BE273" i="29"/>
  <c r="AU273" i="29"/>
  <c r="BF282" i="29"/>
  <c r="BE328" i="29"/>
  <c r="AU328" i="29"/>
  <c r="BF352" i="29"/>
  <c r="BE306" i="29"/>
  <c r="AU306" i="29"/>
  <c r="BE332" i="29"/>
  <c r="AU332" i="29"/>
  <c r="BE364" i="29"/>
  <c r="AU364" i="29"/>
  <c r="BF277" i="29"/>
  <c r="BE308" i="29"/>
  <c r="AU308" i="29"/>
  <c r="BE287" i="29"/>
  <c r="AU287" i="29"/>
  <c r="BE270" i="29"/>
  <c r="AU270" i="29"/>
  <c r="BE367" i="29"/>
  <c r="AU367" i="29"/>
  <c r="BE298" i="29"/>
  <c r="AU298" i="29"/>
  <c r="BE311" i="29"/>
  <c r="AU311" i="29"/>
  <c r="BE281" i="29"/>
  <c r="AU281" i="29"/>
  <c r="BE375" i="29"/>
  <c r="AU375" i="29"/>
  <c r="BE374" i="29"/>
  <c r="AU374" i="29"/>
  <c r="BF293" i="29"/>
  <c r="BE349" i="29"/>
  <c r="AU349" i="29"/>
  <c r="BE347" i="29"/>
  <c r="AU347" i="29"/>
  <c r="BE288" i="29"/>
  <c r="AU288" i="29"/>
  <c r="BE345" i="29"/>
  <c r="AU345" i="29"/>
  <c r="BE280" i="29"/>
  <c r="AU280" i="29"/>
  <c r="BE307" i="29"/>
  <c r="AU307" i="29"/>
  <c r="BE317" i="29"/>
  <c r="AU317" i="29"/>
  <c r="BF344" i="29"/>
  <c r="BE342" i="29"/>
  <c r="AU342" i="29"/>
  <c r="BF297" i="29"/>
  <c r="AS72" i="29"/>
  <c r="BF330" i="29" l="1"/>
  <c r="BF294" i="29"/>
  <c r="AU296" i="29"/>
  <c r="AV296" i="29" s="1"/>
  <c r="BF296" i="29"/>
  <c r="AD10" i="29"/>
  <c r="AU294" i="29"/>
  <c r="AV294" i="29" s="1"/>
  <c r="AU318" i="29"/>
  <c r="AV318" i="29" s="1"/>
  <c r="BE296" i="29"/>
  <c r="BE294" i="29"/>
  <c r="BE318" i="29"/>
  <c r="AU330" i="29"/>
  <c r="AV330" i="29" s="1"/>
  <c r="BE330" i="29"/>
  <c r="AV311" i="29"/>
  <c r="AW311" i="29"/>
  <c r="AW374" i="29"/>
  <c r="AV374" i="29"/>
  <c r="AV376" i="29"/>
  <c r="AW376" i="29"/>
  <c r="AW323" i="29"/>
  <c r="AV323" i="29"/>
  <c r="AV346" i="29"/>
  <c r="AW346" i="29"/>
  <c r="AW315" i="29"/>
  <c r="AV315" i="29"/>
  <c r="AW354" i="29"/>
  <c r="AV354" i="29"/>
  <c r="AV326" i="29"/>
  <c r="AW326" i="29"/>
  <c r="AW347" i="29"/>
  <c r="AV347" i="29"/>
  <c r="AW298" i="29"/>
  <c r="AV298" i="29"/>
  <c r="AW364" i="29"/>
  <c r="AV364" i="29"/>
  <c r="AV360" i="29"/>
  <c r="AW360" i="29"/>
  <c r="AW282" i="29"/>
  <c r="AV282" i="29"/>
  <c r="AW378" i="29"/>
  <c r="AV378" i="29"/>
  <c r="AW276" i="29"/>
  <c r="AV276" i="29"/>
  <c r="AW341" i="29"/>
  <c r="AV341" i="29"/>
  <c r="AW284" i="29"/>
  <c r="AV284" i="29"/>
  <c r="AW329" i="29"/>
  <c r="AV329" i="29"/>
  <c r="AW363" i="29"/>
  <c r="AV363" i="29"/>
  <c r="AV286" i="29"/>
  <c r="AW286" i="29"/>
  <c r="AV351" i="29"/>
  <c r="AW351" i="29"/>
  <c r="AV280" i="29"/>
  <c r="AW280" i="29"/>
  <c r="AW277" i="29"/>
  <c r="AV277" i="29"/>
  <c r="AW299" i="29"/>
  <c r="AV299" i="29"/>
  <c r="AV287" i="29"/>
  <c r="AW287" i="29"/>
  <c r="AV365" i="29"/>
  <c r="AW365" i="29"/>
  <c r="AW348" i="29"/>
  <c r="AV348" i="29"/>
  <c r="AW301" i="29"/>
  <c r="AV301" i="29"/>
  <c r="AW283" i="29"/>
  <c r="AV283" i="29"/>
  <c r="AV304" i="29"/>
  <c r="AW304" i="29"/>
  <c r="AW335" i="29"/>
  <c r="AV335" i="29"/>
  <c r="AW337" i="29"/>
  <c r="AV337" i="29"/>
  <c r="AW373" i="29"/>
  <c r="AV373" i="29"/>
  <c r="AV288" i="29"/>
  <c r="AW288" i="29"/>
  <c r="AW270" i="29"/>
  <c r="AV270" i="29"/>
  <c r="AW292" i="29"/>
  <c r="AV292" i="29"/>
  <c r="AW269" i="29"/>
  <c r="AV269" i="29"/>
  <c r="AV271" i="29"/>
  <c r="AW271" i="29"/>
  <c r="AV366" i="29"/>
  <c r="AW366" i="29"/>
  <c r="AV345" i="29"/>
  <c r="AW345" i="29"/>
  <c r="AW349" i="29"/>
  <c r="AV349" i="29"/>
  <c r="AW281" i="29"/>
  <c r="AV281" i="29"/>
  <c r="AW328" i="29"/>
  <c r="AV328" i="29"/>
  <c r="AV334" i="29"/>
  <c r="AW334" i="29"/>
  <c r="AW297" i="29"/>
  <c r="AV297" i="29"/>
  <c r="AW324" i="29"/>
  <c r="AV324" i="29"/>
  <c r="AW372" i="29"/>
  <c r="AV372" i="29"/>
  <c r="AV319" i="29"/>
  <c r="AW319" i="29"/>
  <c r="AV377" i="29"/>
  <c r="AW377" i="29"/>
  <c r="AW338" i="29"/>
  <c r="AV338" i="29"/>
  <c r="AW339" i="29"/>
  <c r="AV339" i="29"/>
  <c r="AW285" i="29"/>
  <c r="AV285" i="29"/>
  <c r="AW356" i="29"/>
  <c r="AV356" i="29"/>
  <c r="AW291" i="29"/>
  <c r="AV291" i="29"/>
  <c r="AW320" i="29"/>
  <c r="AV320" i="29"/>
  <c r="AW344" i="29"/>
  <c r="AV344" i="29"/>
  <c r="AV278" i="29"/>
  <c r="AW278" i="29"/>
  <c r="AW368" i="29"/>
  <c r="AV368" i="29"/>
  <c r="AV317" i="29"/>
  <c r="AW317" i="29"/>
  <c r="AV367" i="29"/>
  <c r="AW367" i="29"/>
  <c r="AV332" i="29"/>
  <c r="AW332" i="29"/>
  <c r="AW336" i="29"/>
  <c r="AV336" i="29"/>
  <c r="AW353" i="29"/>
  <c r="AV353" i="29"/>
  <c r="AW369" i="29"/>
  <c r="AV369" i="29"/>
  <c r="AW293" i="29"/>
  <c r="AV293" i="29"/>
  <c r="AW307" i="29"/>
  <c r="AV307" i="29"/>
  <c r="AV375" i="29"/>
  <c r="AW375" i="29"/>
  <c r="AW308" i="29"/>
  <c r="AV308" i="29"/>
  <c r="AW316" i="29"/>
  <c r="AV316" i="29"/>
  <c r="AV333" i="29"/>
  <c r="AW333" i="29"/>
  <c r="AV358" i="29"/>
  <c r="AW358" i="29"/>
  <c r="AW314" i="29"/>
  <c r="AV314" i="29"/>
  <c r="AW379" i="29"/>
  <c r="AV379" i="29"/>
  <c r="AW289" i="29"/>
  <c r="AV289" i="29"/>
  <c r="AV272" i="29"/>
  <c r="AW272" i="29"/>
  <c r="AV295" i="29"/>
  <c r="AW295" i="29"/>
  <c r="AV310" i="29"/>
  <c r="AW310" i="29"/>
  <c r="AW290" i="29"/>
  <c r="AV290" i="29"/>
  <c r="AW355" i="29"/>
  <c r="AV355" i="29"/>
  <c r="AW313" i="29"/>
  <c r="AV313" i="29"/>
  <c r="AV279" i="29"/>
  <c r="AW279" i="29"/>
  <c r="AV352" i="29"/>
  <c r="AW352" i="29"/>
  <c r="AV325" i="29"/>
  <c r="AW325" i="29"/>
  <c r="AW312" i="29"/>
  <c r="AV312" i="29"/>
  <c r="AW275" i="29"/>
  <c r="AV275" i="29"/>
  <c r="AV359" i="29"/>
  <c r="AW359" i="29"/>
  <c r="AV302" i="29"/>
  <c r="AW302" i="29"/>
  <c r="AW362" i="29"/>
  <c r="AV362" i="29"/>
  <c r="AW370" i="29"/>
  <c r="AV370" i="29"/>
  <c r="AW350" i="29"/>
  <c r="AV350" i="29"/>
  <c r="AV303" i="29"/>
  <c r="AW303" i="29"/>
  <c r="AV327" i="29"/>
  <c r="AW327" i="29"/>
  <c r="AW331" i="29"/>
  <c r="AV331" i="29"/>
  <c r="AW268" i="29"/>
  <c r="AV268" i="29"/>
  <c r="AW342" i="29"/>
  <c r="AV342" i="29"/>
  <c r="AW306" i="29"/>
  <c r="AV306" i="29"/>
  <c r="AV273" i="29"/>
  <c r="AW273" i="29"/>
  <c r="AW343" i="29"/>
  <c r="AV343" i="29"/>
  <c r="AW357" i="29"/>
  <c r="AV357" i="29"/>
  <c r="AV340" i="29"/>
  <c r="AW340" i="29"/>
  <c r="AW361" i="29"/>
  <c r="AV361" i="29"/>
  <c r="AW309" i="29"/>
  <c r="AV309" i="29"/>
  <c r="AW300" i="29"/>
  <c r="AV300" i="29"/>
  <c r="AW274" i="29"/>
  <c r="AV274" i="29"/>
  <c r="AW371" i="29"/>
  <c r="AV371" i="29"/>
  <c r="AW305" i="29"/>
  <c r="AV305" i="29"/>
  <c r="AW321" i="29"/>
  <c r="AV321" i="29"/>
  <c r="AW322" i="29"/>
  <c r="AV322" i="29"/>
  <c r="AW296" i="29" l="1"/>
  <c r="AY296" i="29" s="1"/>
  <c r="AW330" i="29"/>
  <c r="AY330" i="29" s="1"/>
  <c r="BH330" i="29" s="1"/>
  <c r="AW294" i="29"/>
  <c r="AY294" i="29" s="1"/>
  <c r="AW318" i="29"/>
  <c r="AY318" i="29" s="1"/>
  <c r="BH318" i="29" s="1"/>
  <c r="AY352" i="29"/>
  <c r="BH352" i="29" s="1"/>
  <c r="AY357" i="29"/>
  <c r="BA357" i="29" s="1"/>
  <c r="AY312" i="29"/>
  <c r="AZ312" i="29" s="1"/>
  <c r="AY279" i="29"/>
  <c r="BH279" i="29" s="1"/>
  <c r="AY313" i="29"/>
  <c r="BH313" i="29" s="1"/>
  <c r="AY379" i="29"/>
  <c r="BA379" i="29" s="1"/>
  <c r="AY344" i="29"/>
  <c r="BH344" i="29" s="1"/>
  <c r="AY285" i="29"/>
  <c r="BA285" i="29" s="1"/>
  <c r="AY328" i="29"/>
  <c r="AZ328" i="29" s="1"/>
  <c r="AY269" i="29"/>
  <c r="BH269" i="29" s="1"/>
  <c r="AY288" i="29"/>
  <c r="AZ288" i="29" s="1"/>
  <c r="AY280" i="29"/>
  <c r="BA280" i="29" s="1"/>
  <c r="AY378" i="29"/>
  <c r="BA378" i="29" s="1"/>
  <c r="AY371" i="29"/>
  <c r="AZ371" i="29" s="1"/>
  <c r="AY361" i="29"/>
  <c r="BH361" i="29" s="1"/>
  <c r="AY370" i="29"/>
  <c r="BA370" i="29" s="1"/>
  <c r="AY364" i="29"/>
  <c r="BA364" i="29" s="1"/>
  <c r="AY354" i="29"/>
  <c r="AZ354" i="29" s="1"/>
  <c r="AY298" i="29"/>
  <c r="BA298" i="29" s="1"/>
  <c r="AY374" i="29"/>
  <c r="AZ374" i="29" s="1"/>
  <c r="AY355" i="29"/>
  <c r="BH355" i="29" s="1"/>
  <c r="AY324" i="29"/>
  <c r="AZ324" i="29" s="1"/>
  <c r="AY281" i="29"/>
  <c r="BH281" i="29" s="1"/>
  <c r="AY271" i="29"/>
  <c r="BA271" i="29" s="1"/>
  <c r="AY373" i="29"/>
  <c r="BH373" i="29" s="1"/>
  <c r="AY283" i="29"/>
  <c r="AZ283" i="29" s="1"/>
  <c r="AY348" i="29"/>
  <c r="BA348" i="29" s="1"/>
  <c r="AY363" i="29"/>
  <c r="AZ363" i="29" s="1"/>
  <c r="AY347" i="29"/>
  <c r="BA347" i="29" s="1"/>
  <c r="AY346" i="29"/>
  <c r="BA346" i="29" s="1"/>
  <c r="AY367" i="29"/>
  <c r="BA367" i="29" s="1"/>
  <c r="AY314" i="29"/>
  <c r="BH314" i="29" s="1"/>
  <c r="AY350" i="29"/>
  <c r="BH350" i="29" s="1"/>
  <c r="AY289" i="29"/>
  <c r="BH289" i="29" s="1"/>
  <c r="AY333" i="29"/>
  <c r="AZ333" i="29" s="1"/>
  <c r="AY307" i="29"/>
  <c r="BH307" i="29" s="1"/>
  <c r="AY336" i="29"/>
  <c r="AZ336" i="29" s="1"/>
  <c r="AY277" i="29"/>
  <c r="BH277" i="29" s="1"/>
  <c r="AY343" i="29"/>
  <c r="BA343" i="29" s="1"/>
  <c r="AY268" i="29"/>
  <c r="BH268" i="29" s="1"/>
  <c r="AY359" i="29"/>
  <c r="BA359" i="29" s="1"/>
  <c r="AY356" i="29"/>
  <c r="BA356" i="29" s="1"/>
  <c r="AY338" i="29"/>
  <c r="BH338" i="29" s="1"/>
  <c r="AY335" i="29"/>
  <c r="AZ335" i="29" s="1"/>
  <c r="AY326" i="29"/>
  <c r="AZ326" i="29" s="1"/>
  <c r="AY275" i="29"/>
  <c r="AZ275" i="29" s="1"/>
  <c r="AY293" i="29"/>
  <c r="BA293" i="29" s="1"/>
  <c r="AY351" i="29"/>
  <c r="AZ351" i="29" s="1"/>
  <c r="AY329" i="29"/>
  <c r="BA329" i="29" s="1"/>
  <c r="AY276" i="29"/>
  <c r="BA276" i="29" s="1"/>
  <c r="AY295" i="29"/>
  <c r="AY287" i="29"/>
  <c r="AZ287" i="29" s="1"/>
  <c r="AY273" i="29"/>
  <c r="BA273" i="29" s="1"/>
  <c r="AY340" i="29"/>
  <c r="BA340" i="29" s="1"/>
  <c r="AY297" i="29"/>
  <c r="AZ297" i="29" s="1"/>
  <c r="AY337" i="29"/>
  <c r="BH337" i="29" s="1"/>
  <c r="AY365" i="29"/>
  <c r="BH365" i="29" s="1"/>
  <c r="AY274" i="29"/>
  <c r="BA274" i="29" s="1"/>
  <c r="AY306" i="29"/>
  <c r="BH306" i="29" s="1"/>
  <c r="AY327" i="29"/>
  <c r="AZ327" i="29" s="1"/>
  <c r="AY325" i="29"/>
  <c r="BH325" i="29" s="1"/>
  <c r="AY272" i="29"/>
  <c r="BA272" i="29" s="1"/>
  <c r="AY358" i="29"/>
  <c r="BA358" i="29" s="1"/>
  <c r="AY353" i="29"/>
  <c r="BA353" i="29" s="1"/>
  <c r="AY339" i="29"/>
  <c r="BH339" i="29" s="1"/>
  <c r="AY284" i="29"/>
  <c r="BA284" i="29" s="1"/>
  <c r="AY323" i="29"/>
  <c r="AZ323" i="29" s="1"/>
  <c r="AY376" i="29"/>
  <c r="BA376" i="29" s="1"/>
  <c r="AY303" i="29"/>
  <c r="AZ303" i="29" s="1"/>
  <c r="AY278" i="29"/>
  <c r="BA278" i="29" s="1"/>
  <c r="AY345" i="29"/>
  <c r="BH345" i="29" s="1"/>
  <c r="AY331" i="29"/>
  <c r="AZ331" i="29" s="1"/>
  <c r="AY369" i="29"/>
  <c r="AZ369" i="29" s="1"/>
  <c r="AY377" i="29"/>
  <c r="BH377" i="29" s="1"/>
  <c r="AY304" i="29"/>
  <c r="BH304" i="29" s="1"/>
  <c r="AY311" i="29"/>
  <c r="BA311" i="29" s="1"/>
  <c r="AY305" i="29"/>
  <c r="AZ305" i="29" s="1"/>
  <c r="AY300" i="29"/>
  <c r="BA300" i="29" s="1"/>
  <c r="AY302" i="29"/>
  <c r="BH302" i="29" s="1"/>
  <c r="AY332" i="29"/>
  <c r="BH332" i="29" s="1"/>
  <c r="AY319" i="29"/>
  <c r="BH319" i="29" s="1"/>
  <c r="AY322" i="29"/>
  <c r="BH322" i="29" s="1"/>
  <c r="AY309" i="29"/>
  <c r="BH309" i="29" s="1"/>
  <c r="AY375" i="29"/>
  <c r="BH375" i="29" s="1"/>
  <c r="AY366" i="29"/>
  <c r="BA366" i="29" s="1"/>
  <c r="AY270" i="29"/>
  <c r="AZ270" i="29" s="1"/>
  <c r="AY286" i="29"/>
  <c r="AZ286" i="29" s="1"/>
  <c r="AY360" i="29"/>
  <c r="BA360" i="29" s="1"/>
  <c r="AY315" i="29"/>
  <c r="BH315" i="29" s="1"/>
  <c r="AY321" i="29"/>
  <c r="BA321" i="29" s="1"/>
  <c r="AY342" i="29"/>
  <c r="BH342" i="29" s="1"/>
  <c r="AY299" i="29"/>
  <c r="AZ299" i="29" s="1"/>
  <c r="AY290" i="29"/>
  <c r="BH290" i="29" s="1"/>
  <c r="AY316" i="29"/>
  <c r="AY317" i="29"/>
  <c r="BH317" i="29" s="1"/>
  <c r="AY320" i="29"/>
  <c r="BH320" i="29" s="1"/>
  <c r="AY372" i="29"/>
  <c r="BA372" i="29" s="1"/>
  <c r="AY349" i="29"/>
  <c r="BH349" i="29" s="1"/>
  <c r="AY292" i="29"/>
  <c r="BH292" i="29" s="1"/>
  <c r="AY301" i="29"/>
  <c r="BH301" i="29" s="1"/>
  <c r="AY362" i="29"/>
  <c r="AZ362" i="29" s="1"/>
  <c r="AY368" i="29"/>
  <c r="AZ368" i="29" s="1"/>
  <c r="AY310" i="29"/>
  <c r="BH310" i="29" s="1"/>
  <c r="AY308" i="29"/>
  <c r="BH308" i="29" s="1"/>
  <c r="AY291" i="29"/>
  <c r="AZ291" i="29" s="1"/>
  <c r="AY334" i="29"/>
  <c r="BH334" i="29" s="1"/>
  <c r="AY341" i="29"/>
  <c r="BA341" i="29" s="1"/>
  <c r="AY282" i="29"/>
  <c r="BH282" i="29" s="1"/>
  <c r="BA296" i="29" l="1"/>
  <c r="BH296" i="29"/>
  <c r="AZ294" i="29"/>
  <c r="BH294" i="29"/>
  <c r="AZ295" i="29"/>
  <c r="BH295" i="29"/>
  <c r="BA328" i="29"/>
  <c r="BG328" i="29" s="1"/>
  <c r="AZ364" i="29"/>
  <c r="BG364" i="29" s="1"/>
  <c r="BU364" i="29" s="1"/>
  <c r="BA279" i="29"/>
  <c r="BA312" i="29"/>
  <c r="BG312" i="29" s="1"/>
  <c r="BH312" i="29"/>
  <c r="BJ312" i="29" s="1"/>
  <c r="BK312" i="29" s="1"/>
  <c r="BN312" i="29" s="1"/>
  <c r="AZ379" i="29"/>
  <c r="BG379" i="29" s="1"/>
  <c r="BA350" i="29"/>
  <c r="AZ357" i="29"/>
  <c r="BA361" i="29"/>
  <c r="BA314" i="29"/>
  <c r="AZ348" i="29"/>
  <c r="BG348" i="29" s="1"/>
  <c r="AZ367" i="29"/>
  <c r="BG367" i="29" s="1"/>
  <c r="AZ314" i="29"/>
  <c r="AZ313" i="29"/>
  <c r="BJ313" i="29" s="1"/>
  <c r="BK313" i="29" s="1"/>
  <c r="AZ293" i="29"/>
  <c r="BG293" i="29" s="1"/>
  <c r="BH354" i="29"/>
  <c r="BJ354" i="29" s="1"/>
  <c r="BK354" i="29" s="1"/>
  <c r="BN354" i="29" s="1"/>
  <c r="BA297" i="29"/>
  <c r="BG297" i="29" s="1"/>
  <c r="BU297" i="29" s="1"/>
  <c r="AZ355" i="29"/>
  <c r="AZ280" i="29"/>
  <c r="BG280" i="29" s="1"/>
  <c r="AZ325" i="29"/>
  <c r="BJ325" i="29" s="1"/>
  <c r="BK325" i="29" s="1"/>
  <c r="AZ289" i="29"/>
  <c r="BJ289" i="29" s="1"/>
  <c r="BK289" i="29" s="1"/>
  <c r="BA354" i="29"/>
  <c r="BG354" i="29" s="1"/>
  <c r="BH297" i="29"/>
  <c r="BJ297" i="29" s="1"/>
  <c r="BK297" i="29" s="1"/>
  <c r="AZ378" i="29"/>
  <c r="BH298" i="29"/>
  <c r="BA373" i="29"/>
  <c r="BA355" i="29"/>
  <c r="AZ373" i="29"/>
  <c r="BJ373" i="29" s="1"/>
  <c r="BK373" i="29" s="1"/>
  <c r="BM373" i="29" s="1"/>
  <c r="BH280" i="29"/>
  <c r="BH370" i="29"/>
  <c r="AZ361" i="29"/>
  <c r="BA352" i="29"/>
  <c r="AZ370" i="29"/>
  <c r="BG370" i="29" s="1"/>
  <c r="BU370" i="29" s="1"/>
  <c r="AZ352" i="29"/>
  <c r="BJ352" i="29" s="1"/>
  <c r="BK352" i="29" s="1"/>
  <c r="AZ304" i="29"/>
  <c r="BJ304" i="29" s="1"/>
  <c r="BK304" i="29" s="1"/>
  <c r="BM304" i="29" s="1"/>
  <c r="BA333" i="29"/>
  <c r="BG333" i="29" s="1"/>
  <c r="BU333" i="29" s="1"/>
  <c r="BA303" i="29"/>
  <c r="BG303" i="29" s="1"/>
  <c r="AZ285" i="29"/>
  <c r="BG285" i="29" s="1"/>
  <c r="BH324" i="29"/>
  <c r="BJ324" i="29" s="1"/>
  <c r="BK324" i="29" s="1"/>
  <c r="BH285" i="29"/>
  <c r="BH357" i="29"/>
  <c r="AZ296" i="29"/>
  <c r="BH328" i="29"/>
  <c r="BJ328" i="29" s="1"/>
  <c r="BK328" i="29" s="1"/>
  <c r="BN328" i="29" s="1"/>
  <c r="BH378" i="29"/>
  <c r="BH369" i="29"/>
  <c r="BJ369" i="29" s="1"/>
  <c r="BK369" i="29" s="1"/>
  <c r="BM369" i="29" s="1"/>
  <c r="AZ308" i="29"/>
  <c r="BJ308" i="29" s="1"/>
  <c r="BK308" i="29" s="1"/>
  <c r="BH351" i="29"/>
  <c r="BJ351" i="29" s="1"/>
  <c r="BK351" i="29" s="1"/>
  <c r="BN351" i="29" s="1"/>
  <c r="BH323" i="29"/>
  <c r="BJ323" i="29" s="1"/>
  <c r="BK323" i="29" s="1"/>
  <c r="BM323" i="29" s="1"/>
  <c r="BA327" i="29"/>
  <c r="BG327" i="29" s="1"/>
  <c r="BA269" i="29"/>
  <c r="BH283" i="29"/>
  <c r="BJ283" i="29" s="1"/>
  <c r="BK283" i="29" s="1"/>
  <c r="BN283" i="29" s="1"/>
  <c r="BA323" i="29"/>
  <c r="BG323" i="29" s="1"/>
  <c r="BU323" i="29" s="1"/>
  <c r="BA324" i="29"/>
  <c r="BG324" i="29" s="1"/>
  <c r="BU324" i="29" s="1"/>
  <c r="AZ268" i="29"/>
  <c r="BJ268" i="29" s="1"/>
  <c r="BK268" i="29" s="1"/>
  <c r="BN268" i="29" s="1"/>
  <c r="BH327" i="29"/>
  <c r="BJ327" i="29" s="1"/>
  <c r="BK327" i="29" s="1"/>
  <c r="BA313" i="29"/>
  <c r="BA318" i="29"/>
  <c r="AZ269" i="29"/>
  <c r="BJ269" i="29" s="1"/>
  <c r="BK269" i="29" s="1"/>
  <c r="BA283" i="29"/>
  <c r="BG283" i="29" s="1"/>
  <c r="BA292" i="29"/>
  <c r="BA369" i="29"/>
  <c r="BG369" i="29" s="1"/>
  <c r="BH371" i="29"/>
  <c r="BJ371" i="29" s="1"/>
  <c r="BK371" i="29" s="1"/>
  <c r="BN371" i="29" s="1"/>
  <c r="AZ350" i="29"/>
  <c r="BJ350" i="29" s="1"/>
  <c r="BK350" i="29" s="1"/>
  <c r="BH331" i="29"/>
  <c r="BJ331" i="29" s="1"/>
  <c r="BK331" i="29" s="1"/>
  <c r="BM331" i="29" s="1"/>
  <c r="AZ284" i="29"/>
  <c r="BG284" i="29" s="1"/>
  <c r="BU284" i="29" s="1"/>
  <c r="AZ376" i="29"/>
  <c r="BG376" i="29" s="1"/>
  <c r="BA371" i="29"/>
  <c r="BG371" i="29" s="1"/>
  <c r="BU371" i="29" s="1"/>
  <c r="BH374" i="29"/>
  <c r="BJ374" i="29" s="1"/>
  <c r="BK374" i="29" s="1"/>
  <c r="AZ344" i="29"/>
  <c r="BJ344" i="29" s="1"/>
  <c r="BK344" i="29" s="1"/>
  <c r="BN344" i="29" s="1"/>
  <c r="AZ276" i="29"/>
  <c r="BG276" i="29" s="1"/>
  <c r="BU276" i="29" s="1"/>
  <c r="BH326" i="29"/>
  <c r="BJ326" i="29" s="1"/>
  <c r="BK326" i="29" s="1"/>
  <c r="AZ279" i="29"/>
  <c r="BA338" i="29"/>
  <c r="BH348" i="29"/>
  <c r="BA344" i="29"/>
  <c r="AZ359" i="29"/>
  <c r="BG359" i="29" s="1"/>
  <c r="BH364" i="29"/>
  <c r="BA325" i="29"/>
  <c r="BA351" i="29"/>
  <c r="BG351" i="29" s="1"/>
  <c r="BU351" i="29" s="1"/>
  <c r="BA268" i="29"/>
  <c r="BH293" i="29"/>
  <c r="BH359" i="29"/>
  <c r="AZ277" i="29"/>
  <c r="AZ322" i="29"/>
  <c r="BJ322" i="29" s="1"/>
  <c r="BK322" i="29" s="1"/>
  <c r="BN322" i="29" s="1"/>
  <c r="BA334" i="29"/>
  <c r="AZ301" i="29"/>
  <c r="BJ301" i="29" s="1"/>
  <c r="BK301" i="29" s="1"/>
  <c r="BM301" i="29" s="1"/>
  <c r="BA308" i="29"/>
  <c r="BH358" i="29"/>
  <c r="BH271" i="29"/>
  <c r="AZ274" i="29"/>
  <c r="BG274" i="29" s="1"/>
  <c r="BU274" i="29" s="1"/>
  <c r="AZ298" i="29"/>
  <c r="BH379" i="29"/>
  <c r="BA374" i="29"/>
  <c r="BG374" i="29" s="1"/>
  <c r="BU374" i="29" s="1"/>
  <c r="BA304" i="29"/>
  <c r="AZ319" i="29"/>
  <c r="BJ319" i="29" s="1"/>
  <c r="BK319" i="29" s="1"/>
  <c r="BN319" i="29" s="1"/>
  <c r="BA377" i="29"/>
  <c r="BH275" i="29"/>
  <c r="BJ275" i="29" s="1"/>
  <c r="BK275" i="29" s="1"/>
  <c r="BA299" i="29"/>
  <c r="BG299" i="29" s="1"/>
  <c r="BU299" i="29" s="1"/>
  <c r="BH356" i="29"/>
  <c r="BH287" i="29"/>
  <c r="BJ287" i="29" s="1"/>
  <c r="BK287" i="29" s="1"/>
  <c r="AZ339" i="29"/>
  <c r="BJ339" i="29" s="1"/>
  <c r="BK339" i="29" s="1"/>
  <c r="BA287" i="29"/>
  <c r="BG287" i="29" s="1"/>
  <c r="BH288" i="29"/>
  <c r="BJ288" i="29" s="1"/>
  <c r="BK288" i="29" s="1"/>
  <c r="BN288" i="29" s="1"/>
  <c r="AZ346" i="29"/>
  <c r="BG346" i="29" s="1"/>
  <c r="AZ365" i="29"/>
  <c r="BJ365" i="29" s="1"/>
  <c r="BK365" i="29" s="1"/>
  <c r="BN365" i="29" s="1"/>
  <c r="BH336" i="29"/>
  <c r="BJ336" i="29" s="1"/>
  <c r="BK336" i="29" s="1"/>
  <c r="BN336" i="29" s="1"/>
  <c r="AZ271" i="29"/>
  <c r="BA288" i="29"/>
  <c r="BG288" i="29" s="1"/>
  <c r="BH346" i="29"/>
  <c r="BH376" i="29"/>
  <c r="BA365" i="29"/>
  <c r="BA336" i="29"/>
  <c r="BG336" i="29" s="1"/>
  <c r="AZ290" i="29"/>
  <c r="BJ290" i="29" s="1"/>
  <c r="BK290" i="29" s="1"/>
  <c r="BM290" i="29" s="1"/>
  <c r="BA322" i="29"/>
  <c r="BH329" i="29"/>
  <c r="BH363" i="29"/>
  <c r="BJ363" i="29" s="1"/>
  <c r="BK363" i="29" s="1"/>
  <c r="BA309" i="29"/>
  <c r="BH303" i="29"/>
  <c r="BJ303" i="29" s="1"/>
  <c r="BK303" i="29" s="1"/>
  <c r="BM303" i="29" s="1"/>
  <c r="BA363" i="29"/>
  <c r="BG363" i="29" s="1"/>
  <c r="BU363" i="29" s="1"/>
  <c r="AZ309" i="29"/>
  <c r="BJ309" i="29" s="1"/>
  <c r="BK309" i="29" s="1"/>
  <c r="BA301" i="29"/>
  <c r="BH347" i="29"/>
  <c r="AZ372" i="29"/>
  <c r="BG372" i="29" s="1"/>
  <c r="BH299" i="29"/>
  <c r="BJ299" i="29" s="1"/>
  <c r="BK299" i="29" s="1"/>
  <c r="BA307" i="29"/>
  <c r="AZ347" i="29"/>
  <c r="BG347" i="29" s="1"/>
  <c r="AZ317" i="29"/>
  <c r="BJ317" i="29" s="1"/>
  <c r="BK317" i="29" s="1"/>
  <c r="BN317" i="29" s="1"/>
  <c r="BA281" i="29"/>
  <c r="AZ307" i="29"/>
  <c r="AZ281" i="29"/>
  <c r="AZ278" i="29"/>
  <c r="BG278" i="29" s="1"/>
  <c r="BU278" i="29" s="1"/>
  <c r="BA368" i="29"/>
  <c r="BG368" i="29" s="1"/>
  <c r="AZ318" i="29"/>
  <c r="BA290" i="29"/>
  <c r="AZ338" i="29"/>
  <c r="BJ338" i="29" s="1"/>
  <c r="BK338" i="29" s="1"/>
  <c r="AZ356" i="29"/>
  <c r="BG356" i="29" s="1"/>
  <c r="BH273" i="29"/>
  <c r="BH333" i="29"/>
  <c r="BJ333" i="29" s="1"/>
  <c r="BK333" i="29" s="1"/>
  <c r="BM333" i="29" s="1"/>
  <c r="BH270" i="29"/>
  <c r="BJ270" i="29" s="1"/>
  <c r="BK270" i="29" s="1"/>
  <c r="AZ341" i="29"/>
  <c r="BG341" i="29" s="1"/>
  <c r="BH343" i="29"/>
  <c r="BA291" i="29"/>
  <c r="BG291" i="29" s="1"/>
  <c r="BU291" i="29" s="1"/>
  <c r="BH366" i="29"/>
  <c r="AZ272" i="29"/>
  <c r="BA294" i="29"/>
  <c r="BH284" i="29"/>
  <c r="BA277" i="29"/>
  <c r="AZ343" i="29"/>
  <c r="BG343" i="29" s="1"/>
  <c r="BA306" i="29"/>
  <c r="BA275" i="29"/>
  <c r="BG275" i="29" s="1"/>
  <c r="BU275" i="29" s="1"/>
  <c r="AZ358" i="29"/>
  <c r="BG358" i="29" s="1"/>
  <c r="BH372" i="29"/>
  <c r="AZ306" i="29"/>
  <c r="BJ306" i="29" s="1"/>
  <c r="BK306" i="29" s="1"/>
  <c r="BM306" i="29" s="1"/>
  <c r="AZ273" i="29"/>
  <c r="BG273" i="29" s="1"/>
  <c r="BU273" i="29" s="1"/>
  <c r="BA310" i="29"/>
  <c r="AZ366" i="29"/>
  <c r="BH272" i="29"/>
  <c r="BH321" i="29"/>
  <c r="BA330" i="29"/>
  <c r="BA331" i="29"/>
  <c r="BG331" i="29" s="1"/>
  <c r="BU331" i="29" s="1"/>
  <c r="BH274" i="29"/>
  <c r="AZ340" i="29"/>
  <c r="BG340" i="29" s="1"/>
  <c r="BA326" i="29"/>
  <c r="BG326" i="29" s="1"/>
  <c r="AZ321" i="29"/>
  <c r="BG321" i="29" s="1"/>
  <c r="AZ329" i="29"/>
  <c r="BH367" i="29"/>
  <c r="AZ330" i="29"/>
  <c r="BJ330" i="29" s="1"/>
  <c r="BK330" i="29" s="1"/>
  <c r="BM330" i="29" s="1"/>
  <c r="AZ302" i="29"/>
  <c r="BJ302" i="29" s="1"/>
  <c r="BK302" i="29" s="1"/>
  <c r="BM302" i="29" s="1"/>
  <c r="BA289" i="29"/>
  <c r="BA342" i="29"/>
  <c r="BA332" i="29"/>
  <c r="BH340" i="29"/>
  <c r="BA302" i="29"/>
  <c r="AZ377" i="29"/>
  <c r="BJ377" i="29" s="1"/>
  <c r="BK377" i="29" s="1"/>
  <c r="BH278" i="29"/>
  <c r="BA335" i="29"/>
  <c r="BG335" i="29" s="1"/>
  <c r="BU335" i="29" s="1"/>
  <c r="BH276" i="29"/>
  <c r="BH368" i="29"/>
  <c r="BJ368" i="29" s="1"/>
  <c r="BK368" i="29" s="1"/>
  <c r="BA295" i="29"/>
  <c r="BA317" i="29"/>
  <c r="AZ353" i="29"/>
  <c r="BG353" i="29" s="1"/>
  <c r="AZ337" i="29"/>
  <c r="BJ337" i="29" s="1"/>
  <c r="BK337" i="29" s="1"/>
  <c r="BN337" i="29" s="1"/>
  <c r="BH311" i="29"/>
  <c r="BH353" i="29"/>
  <c r="BA337" i="29"/>
  <c r="AZ311" i="29"/>
  <c r="BG311" i="29" s="1"/>
  <c r="AZ292" i="29"/>
  <c r="BJ292" i="29" s="1"/>
  <c r="BK292" i="29" s="1"/>
  <c r="BM292" i="29" s="1"/>
  <c r="BH305" i="29"/>
  <c r="BJ305" i="29" s="1"/>
  <c r="BK305" i="29" s="1"/>
  <c r="BH341" i="29"/>
  <c r="BH335" i="29"/>
  <c r="BJ335" i="29" s="1"/>
  <c r="BK335" i="29" s="1"/>
  <c r="BM335" i="29" s="1"/>
  <c r="BA305" i="29"/>
  <c r="BG305" i="29" s="1"/>
  <c r="BU305" i="29" s="1"/>
  <c r="AZ375" i="29"/>
  <c r="BJ375" i="29" s="1"/>
  <c r="BK375" i="29" s="1"/>
  <c r="BA319" i="29"/>
  <c r="AZ334" i="29"/>
  <c r="AZ300" i="29"/>
  <c r="BA339" i="29"/>
  <c r="AZ310" i="29"/>
  <c r="BJ310" i="29" s="1"/>
  <c r="BK310" i="29" s="1"/>
  <c r="BA345" i="29"/>
  <c r="BA315" i="29"/>
  <c r="AZ345" i="29"/>
  <c r="BJ345" i="29" s="1"/>
  <c r="BK345" i="29" s="1"/>
  <c r="BN345" i="29" s="1"/>
  <c r="AZ315" i="29"/>
  <c r="BJ315" i="29" s="1"/>
  <c r="BK315" i="29" s="1"/>
  <c r="BA320" i="29"/>
  <c r="BH360" i="29"/>
  <c r="AZ320" i="29"/>
  <c r="AZ360" i="29"/>
  <c r="BG360" i="29" s="1"/>
  <c r="BU360" i="29" s="1"/>
  <c r="BA375" i="29"/>
  <c r="BH300" i="29"/>
  <c r="BH362" i="29"/>
  <c r="BJ362" i="29" s="1"/>
  <c r="BK362" i="29" s="1"/>
  <c r="AZ332" i="29"/>
  <c r="BA362" i="29"/>
  <c r="BG362" i="29" s="1"/>
  <c r="BU362" i="29" s="1"/>
  <c r="BH286" i="29"/>
  <c r="BJ286" i="29" s="1"/>
  <c r="BK286" i="29" s="1"/>
  <c r="BA316" i="29"/>
  <c r="BA349" i="29"/>
  <c r="BH316" i="29"/>
  <c r="AZ342" i="29"/>
  <c r="BA282" i="29"/>
  <c r="BH291" i="29"/>
  <c r="BJ291" i="29" s="1"/>
  <c r="BK291" i="29" s="1"/>
  <c r="BA286" i="29"/>
  <c r="BG286" i="29" s="1"/>
  <c r="AZ349" i="29"/>
  <c r="AZ316" i="29"/>
  <c r="AZ282" i="29"/>
  <c r="BA270" i="29"/>
  <c r="BG270" i="29" s="1"/>
  <c r="BU270" i="29" s="1"/>
  <c r="BI327" i="29" l="1"/>
  <c r="BU327" i="29"/>
  <c r="BI328" i="29"/>
  <c r="BU328" i="29"/>
  <c r="BI311" i="29"/>
  <c r="BU311" i="29"/>
  <c r="BI356" i="29"/>
  <c r="BU356" i="29"/>
  <c r="BI336" i="29"/>
  <c r="BU336" i="29"/>
  <c r="BI346" i="29"/>
  <c r="BU346" i="29"/>
  <c r="BI358" i="29"/>
  <c r="BU358" i="29"/>
  <c r="BI293" i="29"/>
  <c r="BU293" i="29"/>
  <c r="BI376" i="29"/>
  <c r="BU376" i="29"/>
  <c r="BI347" i="29"/>
  <c r="BU347" i="29"/>
  <c r="BI287" i="29"/>
  <c r="BU287" i="29"/>
  <c r="BI285" i="29"/>
  <c r="BU285" i="29"/>
  <c r="BI354" i="29"/>
  <c r="BU354" i="29"/>
  <c r="BI379" i="29"/>
  <c r="BU379" i="29"/>
  <c r="BI353" i="29"/>
  <c r="BU353" i="29"/>
  <c r="BI369" i="29"/>
  <c r="BU369" i="29"/>
  <c r="BI303" i="29"/>
  <c r="BU303" i="29"/>
  <c r="BI340" i="29"/>
  <c r="BU340" i="29"/>
  <c r="BI321" i="29"/>
  <c r="BU321" i="29"/>
  <c r="BI343" i="29"/>
  <c r="BU343" i="29"/>
  <c r="BI341" i="29"/>
  <c r="BU341" i="29"/>
  <c r="BI368" i="29"/>
  <c r="BU368" i="29"/>
  <c r="BI288" i="29"/>
  <c r="BU288" i="29"/>
  <c r="BI359" i="29"/>
  <c r="BU359" i="29"/>
  <c r="BI367" i="29"/>
  <c r="BU367" i="29"/>
  <c r="BI312" i="29"/>
  <c r="BU312" i="29"/>
  <c r="BI286" i="29"/>
  <c r="BU286" i="29"/>
  <c r="BI326" i="29"/>
  <c r="BU326" i="29"/>
  <c r="BI372" i="29"/>
  <c r="BU372" i="29"/>
  <c r="BI283" i="29"/>
  <c r="BU283" i="29"/>
  <c r="BI280" i="29"/>
  <c r="BU280" i="29"/>
  <c r="BI348" i="29"/>
  <c r="BU348" i="29"/>
  <c r="BI273" i="29"/>
  <c r="BI299" i="29"/>
  <c r="BI274" i="29"/>
  <c r="BI364" i="29"/>
  <c r="BI284" i="29"/>
  <c r="BI370" i="29"/>
  <c r="BI297" i="29"/>
  <c r="BI335" i="29"/>
  <c r="BI331" i="29"/>
  <c r="BI305" i="29"/>
  <c r="BI363" i="29"/>
  <c r="BI351" i="29"/>
  <c r="BI270" i="29"/>
  <c r="BI275" i="29"/>
  <c r="BI291" i="29"/>
  <c r="BI276" i="29"/>
  <c r="BI362" i="29"/>
  <c r="BI360" i="29"/>
  <c r="BI374" i="29"/>
  <c r="BI324" i="29"/>
  <c r="BI323" i="29"/>
  <c r="BI333" i="29"/>
  <c r="BI278" i="29"/>
  <c r="BI371" i="29"/>
  <c r="BG296" i="29"/>
  <c r="BU296" i="29" s="1"/>
  <c r="BL358" i="29"/>
  <c r="BL368" i="29"/>
  <c r="BL321" i="29"/>
  <c r="BL326" i="29"/>
  <c r="BL369" i="29"/>
  <c r="BL347" i="29"/>
  <c r="BL286" i="29"/>
  <c r="BL340" i="29"/>
  <c r="BL283" i="29"/>
  <c r="BL354" i="29"/>
  <c r="BL356" i="29"/>
  <c r="BL336" i="29"/>
  <c r="BL346" i="29"/>
  <c r="BL379" i="29"/>
  <c r="BL367" i="29"/>
  <c r="BL353" i="29"/>
  <c r="BL348" i="29"/>
  <c r="BJ295" i="29"/>
  <c r="BK295" i="29" s="1"/>
  <c r="BM295" i="29" s="1"/>
  <c r="BJ294" i="29"/>
  <c r="BK294" i="29" s="1"/>
  <c r="BM294" i="29" s="1"/>
  <c r="BG294" i="29"/>
  <c r="BG295" i="29"/>
  <c r="BL364" i="29"/>
  <c r="BJ376" i="29"/>
  <c r="BK376" i="29" s="1"/>
  <c r="BN376" i="29" s="1"/>
  <c r="BG325" i="29"/>
  <c r="BJ364" i="29"/>
  <c r="BK364" i="29" s="1"/>
  <c r="BM364" i="29" s="1"/>
  <c r="BJ293" i="29"/>
  <c r="BK293" i="29" s="1"/>
  <c r="BN293" i="29" s="1"/>
  <c r="BG279" i="29"/>
  <c r="BG301" i="29"/>
  <c r="BG322" i="29"/>
  <c r="BG361" i="29"/>
  <c r="BG289" i="29"/>
  <c r="BJ367" i="29"/>
  <c r="BK367" i="29" s="1"/>
  <c r="BN367" i="29" s="1"/>
  <c r="BJ378" i="29"/>
  <c r="BK378" i="29" s="1"/>
  <c r="BN378" i="29" s="1"/>
  <c r="BG308" i="29"/>
  <c r="BM288" i="29"/>
  <c r="BG365" i="29"/>
  <c r="BJ379" i="29"/>
  <c r="BK379" i="29" s="1"/>
  <c r="BM379" i="29" s="1"/>
  <c r="BJ357" i="29"/>
  <c r="BK357" i="29" s="1"/>
  <c r="BM357" i="29" s="1"/>
  <c r="BG314" i="29"/>
  <c r="BG378" i="29"/>
  <c r="BJ298" i="29"/>
  <c r="BK298" i="29" s="1"/>
  <c r="BM298" i="29" s="1"/>
  <c r="BJ280" i="29"/>
  <c r="BK280" i="29" s="1"/>
  <c r="BM280" i="29" s="1"/>
  <c r="BG334" i="29"/>
  <c r="BG357" i="29"/>
  <c r="BU357" i="29" s="1"/>
  <c r="BL370" i="29"/>
  <c r="BL293" i="29"/>
  <c r="BJ274" i="29"/>
  <c r="BK274" i="29" s="1"/>
  <c r="BN274" i="29" s="1"/>
  <c r="BG277" i="29"/>
  <c r="BJ285" i="29"/>
  <c r="BK285" i="29" s="1"/>
  <c r="BN285" i="29" s="1"/>
  <c r="BG373" i="29"/>
  <c r="BG355" i="29"/>
  <c r="BG298" i="29"/>
  <c r="BJ348" i="29"/>
  <c r="BK348" i="29" s="1"/>
  <c r="BM348" i="29" s="1"/>
  <c r="BG309" i="29"/>
  <c r="BJ314" i="29"/>
  <c r="BK314" i="29" s="1"/>
  <c r="BN314" i="29" s="1"/>
  <c r="BJ296" i="29"/>
  <c r="BK296" i="29" s="1"/>
  <c r="BM296" i="29" s="1"/>
  <c r="BN352" i="29"/>
  <c r="BM352" i="29"/>
  <c r="BJ271" i="29"/>
  <c r="BK271" i="29" s="1"/>
  <c r="BM271" i="29" s="1"/>
  <c r="BJ277" i="29"/>
  <c r="BK277" i="29" s="1"/>
  <c r="BN277" i="29" s="1"/>
  <c r="BJ340" i="29"/>
  <c r="BK340" i="29" s="1"/>
  <c r="BN340" i="29" s="1"/>
  <c r="BG313" i="29"/>
  <c r="BJ355" i="29"/>
  <c r="BK355" i="29" s="1"/>
  <c r="BM355" i="29" s="1"/>
  <c r="BG318" i="29"/>
  <c r="BG304" i="29"/>
  <c r="BJ370" i="29"/>
  <c r="BK370" i="29" s="1"/>
  <c r="BM370" i="29" s="1"/>
  <c r="BN339" i="29"/>
  <c r="BM339" i="29"/>
  <c r="BL333" i="29"/>
  <c r="BM268" i="29"/>
  <c r="BG337" i="29"/>
  <c r="BL312" i="29"/>
  <c r="BJ361" i="29"/>
  <c r="BK361" i="29" s="1"/>
  <c r="BM361" i="29" s="1"/>
  <c r="BJ278" i="29"/>
  <c r="BK278" i="29" s="1"/>
  <c r="BM278" i="29" s="1"/>
  <c r="BG271" i="29"/>
  <c r="BL280" i="29"/>
  <c r="BG338" i="29"/>
  <c r="BG350" i="29"/>
  <c r="BL343" i="29"/>
  <c r="BG344" i="29"/>
  <c r="BG269" i="29"/>
  <c r="BG352" i="29"/>
  <c r="BU352" i="29" s="1"/>
  <c r="BG268" i="29"/>
  <c r="BL351" i="29"/>
  <c r="BL324" i="29"/>
  <c r="BM363" i="29"/>
  <c r="BN363" i="29"/>
  <c r="BN308" i="29"/>
  <c r="BM308" i="29"/>
  <c r="BL276" i="29"/>
  <c r="BN275" i="29"/>
  <c r="BM275" i="29"/>
  <c r="BN350" i="29"/>
  <c r="BM350" i="29"/>
  <c r="BJ356" i="29"/>
  <c r="BK356" i="29" s="1"/>
  <c r="BN356" i="29" s="1"/>
  <c r="BJ279" i="29"/>
  <c r="BK279" i="29" s="1"/>
  <c r="BM279" i="29" s="1"/>
  <c r="BG345" i="29"/>
  <c r="BM328" i="29"/>
  <c r="BG342" i="29"/>
  <c r="BJ366" i="29"/>
  <c r="BK366" i="29" s="1"/>
  <c r="BN366" i="29" s="1"/>
  <c r="BG307" i="29"/>
  <c r="BJ341" i="29"/>
  <c r="BK341" i="29" s="1"/>
  <c r="BM341" i="29" s="1"/>
  <c r="BL285" i="29"/>
  <c r="BJ359" i="29"/>
  <c r="BK359" i="29" s="1"/>
  <c r="BM359" i="29" s="1"/>
  <c r="BG339" i="29"/>
  <c r="BM365" i="29"/>
  <c r="BJ318" i="29"/>
  <c r="BK318" i="29" s="1"/>
  <c r="BN318" i="29" s="1"/>
  <c r="BG292" i="29"/>
  <c r="BL374" i="29"/>
  <c r="BM326" i="29"/>
  <c r="BN326" i="29"/>
  <c r="BG290" i="29"/>
  <c r="BG319" i="29"/>
  <c r="BJ346" i="29"/>
  <c r="BK346" i="29" s="1"/>
  <c r="BM346" i="29" s="1"/>
  <c r="BG366" i="29"/>
  <c r="BN331" i="29"/>
  <c r="BJ276" i="29"/>
  <c r="BK276" i="29" s="1"/>
  <c r="BM276" i="29" s="1"/>
  <c r="BJ329" i="29"/>
  <c r="BK329" i="29" s="1"/>
  <c r="BM329" i="29" s="1"/>
  <c r="BJ284" i="29"/>
  <c r="BK284" i="29" s="1"/>
  <c r="BN284" i="29" s="1"/>
  <c r="BG320" i="29"/>
  <c r="BJ358" i="29"/>
  <c r="BK358" i="29" s="1"/>
  <c r="BM358" i="29" s="1"/>
  <c r="BM299" i="29"/>
  <c r="BN299" i="29"/>
  <c r="BG306" i="29"/>
  <c r="BN292" i="29"/>
  <c r="BN301" i="29"/>
  <c r="BL303" i="29"/>
  <c r="BJ273" i="29"/>
  <c r="BK273" i="29" s="1"/>
  <c r="BN273" i="29" s="1"/>
  <c r="BJ334" i="29"/>
  <c r="BK334" i="29" s="1"/>
  <c r="BM334" i="29" s="1"/>
  <c r="BJ347" i="29"/>
  <c r="BK347" i="29" s="1"/>
  <c r="BN347" i="29" s="1"/>
  <c r="BL341" i="29"/>
  <c r="BM351" i="29"/>
  <c r="BG281" i="29"/>
  <c r="BN338" i="29"/>
  <c r="BM338" i="29"/>
  <c r="BL278" i="29"/>
  <c r="BL327" i="29"/>
  <c r="BL287" i="29"/>
  <c r="BJ307" i="29"/>
  <c r="BK307" i="29" s="1"/>
  <c r="BG302" i="29"/>
  <c r="BJ321" i="29"/>
  <c r="BK321" i="29" s="1"/>
  <c r="BM321" i="29" s="1"/>
  <c r="BN369" i="29"/>
  <c r="BL311" i="29"/>
  <c r="BJ343" i="29"/>
  <c r="BK343" i="29" s="1"/>
  <c r="BM343" i="29" s="1"/>
  <c r="BJ372" i="29"/>
  <c r="BK372" i="29" s="1"/>
  <c r="BN372" i="29" s="1"/>
  <c r="BJ300" i="29"/>
  <c r="BK300" i="29" s="1"/>
  <c r="BN300" i="29" s="1"/>
  <c r="BJ272" i="29"/>
  <c r="BK272" i="29" s="1"/>
  <c r="BN272" i="29" s="1"/>
  <c r="BN306" i="29"/>
  <c r="BJ281" i="29"/>
  <c r="BK281" i="29" s="1"/>
  <c r="BM336" i="29"/>
  <c r="BG317" i="29"/>
  <c r="BG330" i="29"/>
  <c r="BM377" i="29"/>
  <c r="BN377" i="29"/>
  <c r="BL273" i="29"/>
  <c r="BL305" i="29"/>
  <c r="BM337" i="29"/>
  <c r="BG329" i="29"/>
  <c r="BN290" i="29"/>
  <c r="BG377" i="29"/>
  <c r="BM317" i="29"/>
  <c r="BJ353" i="29"/>
  <c r="BK353" i="29" s="1"/>
  <c r="BM353" i="29" s="1"/>
  <c r="BG272" i="29"/>
  <c r="BG332" i="29"/>
  <c r="BG375" i="29"/>
  <c r="BJ311" i="29"/>
  <c r="BK311" i="29" s="1"/>
  <c r="BN311" i="29" s="1"/>
  <c r="BJ360" i="29"/>
  <c r="BK360" i="29" s="1"/>
  <c r="BN310" i="29"/>
  <c r="BM310" i="29"/>
  <c r="BM319" i="29"/>
  <c r="BG310" i="29"/>
  <c r="BU310" i="29" s="1"/>
  <c r="BG300" i="29"/>
  <c r="BU300" i="29" s="1"/>
  <c r="BM312" i="29"/>
  <c r="BL359" i="29"/>
  <c r="BM371" i="29"/>
  <c r="BN333" i="29"/>
  <c r="BN330" i="29"/>
  <c r="BM345" i="29"/>
  <c r="BJ320" i="29"/>
  <c r="BK320" i="29" s="1"/>
  <c r="BN335" i="29"/>
  <c r="BM354" i="29"/>
  <c r="BL376" i="29"/>
  <c r="BN302" i="29"/>
  <c r="BN373" i="29"/>
  <c r="BM322" i="29"/>
  <c r="BL362" i="29"/>
  <c r="BM291" i="29"/>
  <c r="BN291" i="29"/>
  <c r="BN323" i="29"/>
  <c r="BL372" i="29"/>
  <c r="BG316" i="29"/>
  <c r="BU316" i="29" s="1"/>
  <c r="BG315" i="29"/>
  <c r="BU315" i="29" s="1"/>
  <c r="BM344" i="29"/>
  <c r="BL328" i="29"/>
  <c r="BN304" i="29"/>
  <c r="BL270" i="29"/>
  <c r="BG282" i="29"/>
  <c r="BU282" i="29" s="1"/>
  <c r="BM283" i="29"/>
  <c r="BN303" i="29"/>
  <c r="BJ282" i="29"/>
  <c r="BK282" i="29" s="1"/>
  <c r="BN282" i="29" s="1"/>
  <c r="BL288" i="29"/>
  <c r="BG349" i="29"/>
  <c r="BU349" i="29" s="1"/>
  <c r="BJ349" i="29"/>
  <c r="BK349" i="29" s="1"/>
  <c r="BJ332" i="29"/>
  <c r="BK332" i="29" s="1"/>
  <c r="BN332" i="29" s="1"/>
  <c r="BJ342" i="29"/>
  <c r="BK342" i="29" s="1"/>
  <c r="BJ316" i="29"/>
  <c r="BK316" i="29" s="1"/>
  <c r="BL371" i="29"/>
  <c r="BM269" i="29"/>
  <c r="BN269" i="29"/>
  <c r="BL331" i="29"/>
  <c r="BM309" i="29"/>
  <c r="BN309" i="29"/>
  <c r="BM368" i="29"/>
  <c r="BN368" i="29"/>
  <c r="BN286" i="29"/>
  <c r="BM286" i="29"/>
  <c r="BM325" i="29"/>
  <c r="BN325" i="29"/>
  <c r="BN313" i="29"/>
  <c r="BM313" i="29"/>
  <c r="BM287" i="29"/>
  <c r="BN287" i="29"/>
  <c r="BM362" i="29"/>
  <c r="BN362" i="29"/>
  <c r="BL284" i="29"/>
  <c r="BM324" i="29"/>
  <c r="BN324" i="29"/>
  <c r="BM289" i="29"/>
  <c r="BN289" i="29"/>
  <c r="BL291" i="29"/>
  <c r="BL323" i="29"/>
  <c r="BM305" i="29"/>
  <c r="BN305" i="29"/>
  <c r="BL274" i="29"/>
  <c r="BL297" i="29"/>
  <c r="BM297" i="29"/>
  <c r="BN297" i="29"/>
  <c r="BL299" i="29"/>
  <c r="BL275" i="29"/>
  <c r="BN375" i="29"/>
  <c r="BM375" i="29"/>
  <c r="BL360" i="29"/>
  <c r="BM327" i="29"/>
  <c r="BN327" i="29"/>
  <c r="BL335" i="29"/>
  <c r="BM315" i="29"/>
  <c r="BN315" i="29"/>
  <c r="BM374" i="29"/>
  <c r="BN374" i="29"/>
  <c r="BM270" i="29"/>
  <c r="BN270" i="29"/>
  <c r="BL363" i="29"/>
  <c r="BI314" i="29" l="1"/>
  <c r="BU314" i="29"/>
  <c r="BI289" i="29"/>
  <c r="BU289" i="29"/>
  <c r="BI329" i="29"/>
  <c r="BU329" i="29"/>
  <c r="BI350" i="29"/>
  <c r="BU350" i="29"/>
  <c r="BI313" i="29"/>
  <c r="BU313" i="29"/>
  <c r="BI309" i="29"/>
  <c r="BU309" i="29"/>
  <c r="BI361" i="29"/>
  <c r="BU361" i="29"/>
  <c r="BI375" i="29"/>
  <c r="BU375" i="29"/>
  <c r="BI281" i="29"/>
  <c r="BU281" i="29"/>
  <c r="BI307" i="29"/>
  <c r="BU307" i="29"/>
  <c r="BI338" i="29"/>
  <c r="BU338" i="29"/>
  <c r="BI322" i="29"/>
  <c r="BU322" i="29"/>
  <c r="BI295" i="29"/>
  <c r="BU295" i="29"/>
  <c r="BI337" i="29"/>
  <c r="BU337" i="29"/>
  <c r="BI332" i="29"/>
  <c r="BU332" i="29"/>
  <c r="BI302" i="29"/>
  <c r="BU302" i="29"/>
  <c r="BI306" i="29"/>
  <c r="BU306" i="29"/>
  <c r="BI292" i="29"/>
  <c r="BU292" i="29"/>
  <c r="BI298" i="29"/>
  <c r="BU298" i="29"/>
  <c r="BI365" i="29"/>
  <c r="BU365" i="29"/>
  <c r="BI301" i="29"/>
  <c r="BU301" i="29"/>
  <c r="BI294" i="29"/>
  <c r="BU294" i="29"/>
  <c r="BI317" i="29"/>
  <c r="BU317" i="29"/>
  <c r="BI272" i="29"/>
  <c r="BU272" i="29"/>
  <c r="BI366" i="29"/>
  <c r="BU366" i="29"/>
  <c r="BI342" i="29"/>
  <c r="BU342" i="29"/>
  <c r="BI268" i="29"/>
  <c r="BU268" i="29"/>
  <c r="BI271" i="29"/>
  <c r="BU271" i="29"/>
  <c r="BI355" i="29"/>
  <c r="BU355" i="29"/>
  <c r="BI334" i="29"/>
  <c r="BU334" i="29"/>
  <c r="BI279" i="29"/>
  <c r="BU279" i="29"/>
  <c r="BI373" i="29"/>
  <c r="BU373" i="29"/>
  <c r="BI308" i="29"/>
  <c r="BU308" i="29"/>
  <c r="BI319" i="29"/>
  <c r="BU319" i="29"/>
  <c r="BI339" i="29"/>
  <c r="BU339" i="29"/>
  <c r="BI345" i="29"/>
  <c r="BU345" i="29"/>
  <c r="BI269" i="29"/>
  <c r="BU269" i="29"/>
  <c r="BI304" i="29"/>
  <c r="BU304" i="29"/>
  <c r="BI377" i="29"/>
  <c r="BU377" i="29"/>
  <c r="BI330" i="29"/>
  <c r="BU330" i="29"/>
  <c r="BI320" i="29"/>
  <c r="BU320" i="29"/>
  <c r="BI290" i="29"/>
  <c r="BU290" i="29"/>
  <c r="BI344" i="29"/>
  <c r="BU344" i="29"/>
  <c r="BI318" i="29"/>
  <c r="BU318" i="29"/>
  <c r="BI277" i="29"/>
  <c r="BU277" i="29"/>
  <c r="BI378" i="29"/>
  <c r="BU378" i="29"/>
  <c r="BI325" i="29"/>
  <c r="BU325" i="29"/>
  <c r="BI282" i="29"/>
  <c r="BI300" i="29"/>
  <c r="BI357" i="29"/>
  <c r="BI310" i="29"/>
  <c r="BI316" i="29"/>
  <c r="BI349" i="29"/>
  <c r="BI352" i="29"/>
  <c r="BI315" i="29"/>
  <c r="BI296" i="29"/>
  <c r="BR296" i="29"/>
  <c r="BL296" i="29"/>
  <c r="BL279" i="29"/>
  <c r="BL345" i="29"/>
  <c r="BL378" i="29"/>
  <c r="BL294" i="29"/>
  <c r="BL268" i="29"/>
  <c r="BL309" i="29"/>
  <c r="BL314" i="29"/>
  <c r="BL338" i="29"/>
  <c r="BL292" i="29"/>
  <c r="BL302" i="29"/>
  <c r="BL307" i="29"/>
  <c r="BL298" i="29"/>
  <c r="BL271" i="29"/>
  <c r="BL329" i="29"/>
  <c r="BL317" i="29"/>
  <c r="BL355" i="29"/>
  <c r="BL365" i="29"/>
  <c r="BR318" i="29"/>
  <c r="BL375" i="29"/>
  <c r="BL373" i="29"/>
  <c r="BR295" i="29"/>
  <c r="BL281" i="29"/>
  <c r="BL350" i="29"/>
  <c r="BL308" i="29"/>
  <c r="BL301" i="29"/>
  <c r="BL295" i="29"/>
  <c r="BN294" i="29"/>
  <c r="BN295" i="29"/>
  <c r="BR294" i="29"/>
  <c r="BL318" i="29"/>
  <c r="BL325" i="29"/>
  <c r="BN364" i="29"/>
  <c r="BM376" i="29"/>
  <c r="BL322" i="29"/>
  <c r="BM340" i="29"/>
  <c r="BM293" i="29"/>
  <c r="BN298" i="29"/>
  <c r="BN361" i="29"/>
  <c r="BM274" i="29"/>
  <c r="BN348" i="29"/>
  <c r="BL289" i="29"/>
  <c r="BL304" i="29"/>
  <c r="BL334" i="29"/>
  <c r="BL361" i="29"/>
  <c r="BM277" i="29"/>
  <c r="BM378" i="29"/>
  <c r="BM314" i="29"/>
  <c r="BN296" i="29"/>
  <c r="BL277" i="29"/>
  <c r="BM367" i="29"/>
  <c r="BN280" i="29"/>
  <c r="BN357" i="29"/>
  <c r="BN379" i="29"/>
  <c r="BM285" i="29"/>
  <c r="BL320" i="29"/>
  <c r="BL339" i="29"/>
  <c r="BN346" i="29"/>
  <c r="BM366" i="29"/>
  <c r="BN353" i="29"/>
  <c r="BL357" i="29"/>
  <c r="BM273" i="29"/>
  <c r="BL337" i="29"/>
  <c r="BN358" i="29"/>
  <c r="BN271" i="29"/>
  <c r="BN370" i="29"/>
  <c r="BM284" i="29"/>
  <c r="BL290" i="29"/>
  <c r="BL344" i="29"/>
  <c r="BM356" i="29"/>
  <c r="BL313" i="29"/>
  <c r="BN278" i="29"/>
  <c r="BN355" i="29"/>
  <c r="BL269" i="29"/>
  <c r="BL342" i="29"/>
  <c r="BN279" i="29"/>
  <c r="BN359" i="29"/>
  <c r="BL306" i="29"/>
  <c r="BL352" i="29"/>
  <c r="BL366" i="29"/>
  <c r="BM372" i="29"/>
  <c r="BN341" i="29"/>
  <c r="BN334" i="29"/>
  <c r="BM318" i="29"/>
  <c r="BM347" i="29"/>
  <c r="BL272" i="29"/>
  <c r="BN276" i="29"/>
  <c r="BN321" i="29"/>
  <c r="BN329" i="29"/>
  <c r="BL330" i="29"/>
  <c r="BL319" i="29"/>
  <c r="BM300" i="29"/>
  <c r="BN343" i="29"/>
  <c r="BM272" i="29"/>
  <c r="BL332" i="29"/>
  <c r="BM311" i="29"/>
  <c r="BN307" i="29"/>
  <c r="BM307" i="29"/>
  <c r="BL377" i="29"/>
  <c r="BN281" i="29"/>
  <c r="BM281" i="29"/>
  <c r="BM360" i="29"/>
  <c r="BN360" i="29"/>
  <c r="BM320" i="29"/>
  <c r="BN320" i="29"/>
  <c r="BL300" i="29"/>
  <c r="BL310" i="29"/>
  <c r="BM282" i="29"/>
  <c r="BL316" i="29"/>
  <c r="BM332" i="29"/>
  <c r="BL315" i="29"/>
  <c r="BL349" i="29"/>
  <c r="BN342" i="29"/>
  <c r="BM342" i="29"/>
  <c r="BL282" i="29"/>
  <c r="BM316" i="29"/>
  <c r="BN316" i="29"/>
  <c r="BM349" i="29"/>
  <c r="BN349" i="29"/>
  <c r="AS257" i="29"/>
  <c r="AS264" i="29"/>
  <c r="AP264" i="29"/>
  <c r="AT264" i="29" s="1"/>
  <c r="AS267" i="29"/>
  <c r="AS261" i="29"/>
  <c r="AS256" i="29"/>
  <c r="AS254" i="29"/>
  <c r="AS258" i="29"/>
  <c r="AS255" i="29"/>
  <c r="AS266" i="29"/>
  <c r="AS263" i="29"/>
  <c r="AS262" i="29"/>
  <c r="AS260" i="29"/>
  <c r="AS259" i="29"/>
  <c r="AS265" i="29"/>
  <c r="AU264" i="29" l="1"/>
  <c r="AV264" i="29" s="1"/>
  <c r="BE264" i="29"/>
  <c r="AP259" i="29"/>
  <c r="AT259" i="29" s="1"/>
  <c r="AP256" i="29"/>
  <c r="AT256" i="29" s="1"/>
  <c r="AP265" i="29"/>
  <c r="AT265" i="29" s="1"/>
  <c r="AP257" i="29"/>
  <c r="AT257" i="29" s="1"/>
  <c r="AP266" i="29"/>
  <c r="AT266" i="29" s="1"/>
  <c r="AP262" i="29"/>
  <c r="AT262" i="29" s="1"/>
  <c r="AP263" i="29"/>
  <c r="AT263" i="29" s="1"/>
  <c r="AP255" i="29"/>
  <c r="AT255" i="29" s="1"/>
  <c r="AP254" i="29"/>
  <c r="AT254" i="29" s="1"/>
  <c r="AP261" i="29"/>
  <c r="AT261" i="29" s="1"/>
  <c r="AP260" i="29"/>
  <c r="AT260" i="29" s="1"/>
  <c r="AP267" i="29"/>
  <c r="AT267" i="29" s="1"/>
  <c r="AP258" i="29"/>
  <c r="AT258" i="29" s="1"/>
  <c r="AU254" i="29" l="1"/>
  <c r="AW254" i="29" s="1"/>
  <c r="BE254" i="29"/>
  <c r="AU263" i="29"/>
  <c r="AV263" i="29" s="1"/>
  <c r="BE263" i="29"/>
  <c r="AU261" i="29"/>
  <c r="AV261" i="29" s="1"/>
  <c r="BE261" i="29"/>
  <c r="AU256" i="29"/>
  <c r="AW256" i="29" s="1"/>
  <c r="BE256" i="29"/>
  <c r="AU255" i="29"/>
  <c r="AV255" i="29" s="1"/>
  <c r="BE255" i="29"/>
  <c r="AW264" i="29"/>
  <c r="AY264" i="29" s="1"/>
  <c r="BA264" i="29" s="1"/>
  <c r="AU262" i="29"/>
  <c r="AV262" i="29" s="1"/>
  <c r="BE262" i="29"/>
  <c r="AU259" i="29"/>
  <c r="AV259" i="29" s="1"/>
  <c r="BE259" i="29"/>
  <c r="AU258" i="29"/>
  <c r="AW258" i="29" s="1"/>
  <c r="BE258" i="29"/>
  <c r="AU266" i="29"/>
  <c r="AV266" i="29" s="1"/>
  <c r="BE266" i="29"/>
  <c r="AU267" i="29"/>
  <c r="AW267" i="29" s="1"/>
  <c r="BE267" i="29"/>
  <c r="AU257" i="29"/>
  <c r="AV257" i="29" s="1"/>
  <c r="BE257" i="29"/>
  <c r="AU260" i="29"/>
  <c r="AW260" i="29" s="1"/>
  <c r="BE260" i="29"/>
  <c r="AU265" i="29"/>
  <c r="AV265" i="29" s="1"/>
  <c r="BE265" i="29"/>
  <c r="AW262" i="29" l="1"/>
  <c r="AY262" i="29" s="1"/>
  <c r="AW265" i="29"/>
  <c r="AY265" i="29" s="1"/>
  <c r="AZ265" i="29" s="1"/>
  <c r="AW266" i="29"/>
  <c r="AY266" i="29" s="1"/>
  <c r="BH266" i="29" s="1"/>
  <c r="AW263" i="29"/>
  <c r="AY263" i="29" s="1"/>
  <c r="BA263" i="29" s="1"/>
  <c r="BH264" i="29"/>
  <c r="AZ264" i="29"/>
  <c r="AW261" i="29"/>
  <c r="AY261" i="29" s="1"/>
  <c r="BH261" i="29" s="1"/>
  <c r="AW259" i="29"/>
  <c r="AY259" i="29" s="1"/>
  <c r="AV267" i="29"/>
  <c r="AY267" i="29" s="1"/>
  <c r="AZ267" i="29" s="1"/>
  <c r="AW255" i="29"/>
  <c r="AY255" i="29" s="1"/>
  <c r="AV254" i="29"/>
  <c r="AY254" i="29" s="1"/>
  <c r="BH254" i="29" s="1"/>
  <c r="AV256" i="29"/>
  <c r="AY256" i="29" s="1"/>
  <c r="AV260" i="29"/>
  <c r="AY260" i="29" s="1"/>
  <c r="BH260" i="29" s="1"/>
  <c r="AV258" i="29"/>
  <c r="AY258" i="29" s="1"/>
  <c r="AZ258" i="29" s="1"/>
  <c r="AW257" i="29"/>
  <c r="AY257" i="29" s="1"/>
  <c r="BH257" i="29" s="1"/>
  <c r="AZ266" i="29" l="1"/>
  <c r="BA265" i="29"/>
  <c r="AZ257" i="29"/>
  <c r="BA258" i="29"/>
  <c r="BA266" i="29"/>
  <c r="AZ261" i="29"/>
  <c r="BH265" i="29"/>
  <c r="BH258" i="29"/>
  <c r="BA257" i="29"/>
  <c r="AZ263" i="29"/>
  <c r="BA267" i="29"/>
  <c r="AZ254" i="29"/>
  <c r="BH256" i="29"/>
  <c r="AZ256" i="29"/>
  <c r="BH263" i="29"/>
  <c r="BH267" i="29"/>
  <c r="BA254" i="29"/>
  <c r="BA256" i="29"/>
  <c r="BA260" i="29"/>
  <c r="AZ260" i="29"/>
  <c r="BA261" i="29"/>
  <c r="BA262" i="29"/>
  <c r="AZ262" i="29"/>
  <c r="BH262" i="29"/>
  <c r="BA255" i="29"/>
  <c r="BH255" i="29"/>
  <c r="AZ255" i="29"/>
  <c r="BA259" i="29"/>
  <c r="AZ259" i="29"/>
  <c r="BH259" i="29"/>
  <c r="AS98" i="29" l="1"/>
  <c r="AP98" i="29" l="1"/>
  <c r="AT98" i="29" s="1"/>
  <c r="BE98" i="29" l="1"/>
  <c r="AU98" i="29"/>
  <c r="AV98" i="29" l="1"/>
  <c r="AW98" i="29"/>
  <c r="AS251" i="29" l="1"/>
  <c r="AS250" i="29"/>
  <c r="AS249" i="29"/>
  <c r="AS248" i="29"/>
  <c r="AS247" i="29"/>
  <c r="AS253" i="29"/>
  <c r="AS252" i="29"/>
  <c r="AY98" i="29"/>
  <c r="BA98" i="29" s="1"/>
  <c r="AZ98" i="29" l="1"/>
  <c r="BH98" i="29"/>
  <c r="AP81" i="29" l="1"/>
  <c r="AT81" i="29" s="1"/>
  <c r="AP251" i="29"/>
  <c r="AT251" i="29" s="1"/>
  <c r="AP250" i="29"/>
  <c r="AT250" i="29" s="1"/>
  <c r="AP249" i="29"/>
  <c r="AT249" i="29" s="1"/>
  <c r="AP248" i="29"/>
  <c r="AT248" i="29" s="1"/>
  <c r="BE81" i="29" l="1"/>
  <c r="BE248" i="29"/>
  <c r="BE249" i="29"/>
  <c r="BE250" i="29"/>
  <c r="BE251" i="29"/>
  <c r="AP247" i="29"/>
  <c r="AT247" i="29" s="1"/>
  <c r="AP252" i="29"/>
  <c r="AT252" i="29" s="1"/>
  <c r="AP253" i="29"/>
  <c r="AT253" i="29" s="1"/>
  <c r="AU248" i="29"/>
  <c r="AW248" i="29" s="1"/>
  <c r="AU249" i="29"/>
  <c r="AV249" i="29" s="1"/>
  <c r="AU250" i="29"/>
  <c r="AW250" i="29" s="1"/>
  <c r="AU251" i="29"/>
  <c r="AV251" i="29" s="1"/>
  <c r="BE247" i="29" l="1"/>
  <c r="AU247" i="29"/>
  <c r="AU253" i="29"/>
  <c r="AW253" i="29" s="1"/>
  <c r="BE253" i="29"/>
  <c r="AU252" i="29"/>
  <c r="AW252" i="29" s="1"/>
  <c r="BE252" i="29"/>
  <c r="AW251" i="29"/>
  <c r="AY251" i="29" s="1"/>
  <c r="AZ251" i="29" s="1"/>
  <c r="AV248" i="29"/>
  <c r="AY248" i="29" s="1"/>
  <c r="BA248" i="29" s="1"/>
  <c r="AW249" i="29"/>
  <c r="AY249" i="29" s="1"/>
  <c r="BH249" i="29" s="1"/>
  <c r="AV250" i="29"/>
  <c r="AY250" i="29" s="1"/>
  <c r="BA250" i="29" s="1"/>
  <c r="AW247" i="29" l="1"/>
  <c r="AV247" i="29"/>
  <c r="AV253" i="29"/>
  <c r="AY253" i="29" s="1"/>
  <c r="BA253" i="29" s="1"/>
  <c r="AV252" i="29"/>
  <c r="AY252" i="29" s="1"/>
  <c r="AZ252" i="29" s="1"/>
  <c r="BH251" i="29"/>
  <c r="BA251" i="29"/>
  <c r="AZ248" i="29"/>
  <c r="BH248" i="29"/>
  <c r="AZ249" i="29"/>
  <c r="BA249" i="29"/>
  <c r="BH250" i="29"/>
  <c r="AZ250" i="29"/>
  <c r="AY247" i="29" l="1"/>
  <c r="BA252" i="29"/>
  <c r="AZ253" i="29"/>
  <c r="BH253" i="29"/>
  <c r="BH252" i="29"/>
  <c r="AS25" i="29"/>
  <c r="AS40" i="29"/>
  <c r="AS45" i="29"/>
  <c r="AS47" i="29"/>
  <c r="AS48" i="29"/>
  <c r="AS53" i="29"/>
  <c r="AS81" i="29"/>
  <c r="AS82" i="29"/>
  <c r="AS83" i="29"/>
  <c r="AS84" i="29"/>
  <c r="AS85" i="29"/>
  <c r="AS138" i="29"/>
  <c r="AS151" i="29"/>
  <c r="AS186" i="29"/>
  <c r="AS189" i="29"/>
  <c r="AS202" i="29"/>
  <c r="AS207" i="29"/>
  <c r="AS213" i="29"/>
  <c r="AS235" i="29"/>
  <c r="BH247" i="29" l="1"/>
  <c r="BA247" i="29"/>
  <c r="AZ247" i="29"/>
  <c r="AP69" i="29"/>
  <c r="AT69" i="29" s="1"/>
  <c r="AP187" i="29"/>
  <c r="AT187" i="29" s="1"/>
  <c r="AP125" i="29"/>
  <c r="AP39" i="29"/>
  <c r="AT39" i="29" s="1"/>
  <c r="AP228" i="29"/>
  <c r="AT228" i="29" s="1"/>
  <c r="AP50" i="29"/>
  <c r="AT50" i="29" s="1"/>
  <c r="AP38" i="29"/>
  <c r="AT38" i="29" s="1"/>
  <c r="AP227" i="29"/>
  <c r="AT227" i="29" s="1"/>
  <c r="AP209" i="29"/>
  <c r="AP46" i="29"/>
  <c r="AT46" i="29" s="1"/>
  <c r="AP196" i="29"/>
  <c r="AT196" i="29" s="1"/>
  <c r="AP88" i="29"/>
  <c r="AT88" i="29" s="1"/>
  <c r="AP72" i="29"/>
  <c r="AT72" i="29" s="1"/>
  <c r="AP58" i="29"/>
  <c r="AT58" i="29" s="1"/>
  <c r="AP92" i="29"/>
  <c r="AP191" i="29"/>
  <c r="AT191" i="29" s="1"/>
  <c r="AP80" i="29"/>
  <c r="AT80" i="29" s="1"/>
  <c r="AS123" i="29"/>
  <c r="AS245" i="29"/>
  <c r="AS200" i="29"/>
  <c r="AS124" i="29"/>
  <c r="AS44" i="29"/>
  <c r="AS99" i="29"/>
  <c r="AS148" i="29"/>
  <c r="AS127" i="29"/>
  <c r="AS236" i="29"/>
  <c r="AS158" i="29"/>
  <c r="AS147" i="29"/>
  <c r="AS241" i="29"/>
  <c r="AS226" i="29"/>
  <c r="AS221" i="29"/>
  <c r="AS196" i="29"/>
  <c r="AS97" i="29"/>
  <c r="AS162" i="29"/>
  <c r="AS86" i="29"/>
  <c r="AS182" i="29"/>
  <c r="AS70" i="29"/>
  <c r="AS22" i="29"/>
  <c r="AS16" i="29"/>
  <c r="AS6" i="29"/>
  <c r="AS30" i="29"/>
  <c r="AS21" i="29"/>
  <c r="AP96" i="29"/>
  <c r="AT96" i="29" s="1"/>
  <c r="AS181" i="29"/>
  <c r="AS154" i="29"/>
  <c r="AS150" i="29"/>
  <c r="AS130" i="29"/>
  <c r="AS126" i="29"/>
  <c r="AS131" i="29"/>
  <c r="AS102" i="29"/>
  <c r="AS32" i="29"/>
  <c r="AS38" i="29"/>
  <c r="AS244" i="29"/>
  <c r="AS239" i="29"/>
  <c r="AS234" i="29"/>
  <c r="AS228" i="29"/>
  <c r="AS224" i="29"/>
  <c r="AS219" i="29"/>
  <c r="AS194" i="29"/>
  <c r="AS185" i="29"/>
  <c r="AS169" i="29"/>
  <c r="AS165" i="29"/>
  <c r="AS156" i="29"/>
  <c r="AS145" i="29"/>
  <c r="AS134" i="29"/>
  <c r="AS125" i="29"/>
  <c r="AS193" i="29"/>
  <c r="AS50" i="29"/>
  <c r="AS238" i="29"/>
  <c r="AS209" i="29"/>
  <c r="AS198" i="29"/>
  <c r="AS168" i="29"/>
  <c r="AS159" i="29"/>
  <c r="AS144" i="29"/>
  <c r="AS129" i="29"/>
  <c r="AS55" i="29"/>
  <c r="AS237" i="29"/>
  <c r="AS227" i="29"/>
  <c r="AS223" i="29"/>
  <c r="AS191" i="29"/>
  <c r="AS187" i="29"/>
  <c r="AS183" i="29"/>
  <c r="AS179" i="29"/>
  <c r="AS173" i="29"/>
  <c r="AS96" i="29"/>
  <c r="AS152" i="29"/>
  <c r="AS149" i="29"/>
  <c r="AS143" i="29"/>
  <c r="AS92" i="29"/>
  <c r="AS58" i="29"/>
  <c r="AS49" i="29"/>
  <c r="AS7" i="29"/>
  <c r="AS20" i="29"/>
  <c r="AS14" i="29"/>
  <c r="AS9" i="29"/>
  <c r="AS31" i="29"/>
  <c r="AS28" i="29"/>
  <c r="AS19" i="29"/>
  <c r="AS13" i="29"/>
  <c r="AS8" i="29"/>
  <c r="AS184" i="29"/>
  <c r="AS46" i="29"/>
  <c r="AS178" i="29"/>
  <c r="AS104" i="29"/>
  <c r="AS243" i="29"/>
  <c r="AS231" i="29"/>
  <c r="AS218" i="29"/>
  <c r="AS93" i="29"/>
  <c r="AS240" i="29"/>
  <c r="AS215" i="29"/>
  <c r="AS230" i="29"/>
  <c r="AS229" i="29"/>
  <c r="AS220" i="29"/>
  <c r="AS246" i="29"/>
  <c r="AS242" i="29"/>
  <c r="AS232" i="29"/>
  <c r="AS225" i="29"/>
  <c r="AS211" i="29"/>
  <c r="AS41" i="29"/>
  <c r="AS57" i="29"/>
  <c r="AP41" i="29"/>
  <c r="AT41" i="29" s="1"/>
  <c r="AS33" i="29"/>
  <c r="AP67" i="29"/>
  <c r="AT67" i="29" s="1"/>
  <c r="AS52" i="29"/>
  <c r="AS176" i="29"/>
  <c r="AS161" i="29"/>
  <c r="AS140" i="29"/>
  <c r="AS103" i="29"/>
  <c r="AS42" i="29"/>
  <c r="AS35" i="29"/>
  <c r="AS164" i="29"/>
  <c r="AS136" i="29"/>
  <c r="AP61" i="29"/>
  <c r="AT61" i="29" s="1"/>
  <c r="AS43" i="29"/>
  <c r="AS36" i="29"/>
  <c r="AS24" i="29"/>
  <c r="AS15" i="29"/>
  <c r="AP78" i="29"/>
  <c r="AT78" i="29" s="1"/>
  <c r="AS39" i="29"/>
  <c r="AS37" i="29"/>
  <c r="AS34" i="29"/>
  <c r="AS212" i="29"/>
  <c r="AS190" i="29"/>
  <c r="AS172" i="29"/>
  <c r="AS210" i="29"/>
  <c r="AS208" i="29"/>
  <c r="AS206" i="29"/>
  <c r="AS205" i="29"/>
  <c r="AS203" i="29"/>
  <c r="AS201" i="29"/>
  <c r="AS199" i="29"/>
  <c r="AS197" i="29"/>
  <c r="AS195" i="29"/>
  <c r="AS192" i="29"/>
  <c r="AS115" i="29"/>
  <c r="AT115" i="29"/>
  <c r="AS216" i="29"/>
  <c r="AS180" i="29"/>
  <c r="AS214" i="29"/>
  <c r="AS188" i="29"/>
  <c r="AS217" i="29"/>
  <c r="AS233" i="29"/>
  <c r="AS222" i="29"/>
  <c r="AS174" i="29"/>
  <c r="AS95" i="29"/>
  <c r="AS177" i="29"/>
  <c r="AS170" i="29"/>
  <c r="AS166" i="29"/>
  <c r="AS163" i="29"/>
  <c r="AS160" i="29"/>
  <c r="AS157" i="29"/>
  <c r="AS155" i="29"/>
  <c r="AS139" i="29"/>
  <c r="AS133" i="29"/>
  <c r="AS175" i="29"/>
  <c r="AS153" i="29"/>
  <c r="AS142" i="29"/>
  <c r="AS120" i="29"/>
  <c r="AS137" i="29"/>
  <c r="AS107" i="29"/>
  <c r="AS141" i="29"/>
  <c r="AS135" i="29"/>
  <c r="AS128" i="29"/>
  <c r="AS122" i="29"/>
  <c r="AS94" i="29"/>
  <c r="AS121" i="29"/>
  <c r="AS116" i="29"/>
  <c r="AS108" i="29"/>
  <c r="AS90" i="29"/>
  <c r="AS171" i="29"/>
  <c r="AS88" i="29"/>
  <c r="AS113" i="29"/>
  <c r="AS110" i="29"/>
  <c r="AS146" i="29"/>
  <c r="AS119" i="29"/>
  <c r="AS114" i="29"/>
  <c r="AS106" i="29"/>
  <c r="AS204" i="29"/>
  <c r="AS132" i="29"/>
  <c r="AS117" i="29"/>
  <c r="AS111" i="29"/>
  <c r="AS109" i="29"/>
  <c r="AS118" i="29"/>
  <c r="AS112" i="29"/>
  <c r="AS91" i="29"/>
  <c r="AS105" i="29"/>
  <c r="AS167" i="29"/>
  <c r="AS87" i="29"/>
  <c r="AS79" i="29"/>
  <c r="AS77" i="29"/>
  <c r="AS89" i="29"/>
  <c r="AS65" i="29"/>
  <c r="AS54" i="29"/>
  <c r="AS74" i="29"/>
  <c r="AS100" i="29"/>
  <c r="AS76" i="29"/>
  <c r="AS78" i="29"/>
  <c r="AS68" i="29"/>
  <c r="AS67" i="29"/>
  <c r="AS101" i="29"/>
  <c r="AS69" i="29"/>
  <c r="AS56" i="29"/>
  <c r="AS71" i="29"/>
  <c r="AS60" i="29"/>
  <c r="AS59" i="29"/>
  <c r="AS80" i="29"/>
  <c r="AS73" i="29"/>
  <c r="AS62" i="29"/>
  <c r="AS61" i="29"/>
  <c r="AS75" i="29"/>
  <c r="AS66" i="29"/>
  <c r="AS64" i="29"/>
  <c r="AS63" i="29"/>
  <c r="AS29" i="29"/>
  <c r="AS51" i="29"/>
  <c r="AS27" i="29"/>
  <c r="AS26" i="29"/>
  <c r="AS12" i="29"/>
  <c r="AS18" i="29"/>
  <c r="AS11" i="29"/>
  <c r="AS10" i="29"/>
  <c r="AS23" i="29"/>
  <c r="AS17" i="29"/>
  <c r="AR5" i="29"/>
  <c r="BE96" i="29" l="1"/>
  <c r="BE88" i="29"/>
  <c r="BE39" i="29"/>
  <c r="BE61" i="29"/>
  <c r="BE196" i="29"/>
  <c r="BE72" i="29"/>
  <c r="BE115" i="29"/>
  <c r="BE46" i="29"/>
  <c r="BE187" i="29"/>
  <c r="BE67" i="29"/>
  <c r="BE69" i="29"/>
  <c r="BE78" i="29"/>
  <c r="BE191" i="29"/>
  <c r="BE41" i="29"/>
  <c r="BE38" i="29"/>
  <c r="BE58" i="29"/>
  <c r="BE50" i="29"/>
  <c r="BE80" i="29"/>
  <c r="AU228" i="29"/>
  <c r="AV228" i="29" s="1"/>
  <c r="BE228" i="29"/>
  <c r="AM5" i="29"/>
  <c r="AN5" i="29" s="1"/>
  <c r="AP5" i="29" s="1"/>
  <c r="AQ5" i="29"/>
  <c r="AU227" i="29"/>
  <c r="AV227" i="29" s="1"/>
  <c r="BE227" i="29"/>
  <c r="AT92" i="29"/>
  <c r="AU58" i="29"/>
  <c r="AW58" i="29" s="1"/>
  <c r="AU38" i="29"/>
  <c r="AU72" i="29"/>
  <c r="AU50" i="29"/>
  <c r="AU88" i="29"/>
  <c r="AU39" i="29"/>
  <c r="AV39" i="29" s="1"/>
  <c r="AT125" i="29"/>
  <c r="AU46" i="29"/>
  <c r="AU187" i="29"/>
  <c r="AT209" i="29"/>
  <c r="AU69" i="29"/>
  <c r="AP89" i="29"/>
  <c r="AT89" i="29" s="1"/>
  <c r="AP204" i="29"/>
  <c r="AT204" i="29" s="1"/>
  <c r="AP9" i="29"/>
  <c r="AT9" i="29" s="1"/>
  <c r="AP22" i="29"/>
  <c r="AT22" i="29" s="1"/>
  <c r="AP123" i="29"/>
  <c r="AT123" i="29" s="1"/>
  <c r="AP119" i="29"/>
  <c r="AT119" i="29" s="1"/>
  <c r="AP135" i="29"/>
  <c r="AP169" i="29"/>
  <c r="AT169" i="29" s="1"/>
  <c r="AP225" i="29"/>
  <c r="AT225" i="29" s="1"/>
  <c r="AP52" i="29"/>
  <c r="AT52" i="29" s="1"/>
  <c r="AP57" i="29"/>
  <c r="AT57" i="29" s="1"/>
  <c r="AP242" i="29"/>
  <c r="AT242" i="29" s="1"/>
  <c r="AP229" i="29"/>
  <c r="AT229" i="29" s="1"/>
  <c r="AP241" i="29"/>
  <c r="AT241" i="29" s="1"/>
  <c r="AP181" i="29"/>
  <c r="AP104" i="29"/>
  <c r="AT104" i="29" s="1"/>
  <c r="AP178" i="29"/>
  <c r="AP63" i="29"/>
  <c r="AP64" i="29"/>
  <c r="AP74" i="29"/>
  <c r="AT74" i="29" s="1"/>
  <c r="AP77" i="29"/>
  <c r="AP193" i="29"/>
  <c r="AT193" i="29" s="1"/>
  <c r="AP91" i="29"/>
  <c r="AT91" i="29" s="1"/>
  <c r="AP146" i="29"/>
  <c r="AT146" i="29" s="1"/>
  <c r="AP106" i="29"/>
  <c r="AT106" i="29" s="1"/>
  <c r="AP108" i="29"/>
  <c r="AT108" i="29" s="1"/>
  <c r="AP173" i="29"/>
  <c r="AT173" i="29" s="1"/>
  <c r="AP157" i="29"/>
  <c r="AP226" i="29"/>
  <c r="AT226" i="29" s="1"/>
  <c r="AP180" i="29"/>
  <c r="AP197" i="29"/>
  <c r="AT197" i="29" s="1"/>
  <c r="AP205" i="29"/>
  <c r="AT205" i="29" s="1"/>
  <c r="AP42" i="29"/>
  <c r="AT42" i="29" s="1"/>
  <c r="AP221" i="29"/>
  <c r="AT221" i="29" s="1"/>
  <c r="AP11" i="29"/>
  <c r="AT11" i="29" s="1"/>
  <c r="AP35" i="29"/>
  <c r="AT35" i="29" s="1"/>
  <c r="AP176" i="29"/>
  <c r="AP211" i="29"/>
  <c r="AP49" i="29"/>
  <c r="AT49" i="29" s="1"/>
  <c r="AP100" i="29"/>
  <c r="AT100" i="29" s="1"/>
  <c r="AP71" i="29"/>
  <c r="AT71" i="29" s="1"/>
  <c r="AP79" i="29"/>
  <c r="AT79" i="29" s="1"/>
  <c r="AP182" i="29"/>
  <c r="AP237" i="29"/>
  <c r="AT237" i="29" s="1"/>
  <c r="AP216" i="29"/>
  <c r="AT216" i="29" s="1"/>
  <c r="AP222" i="29"/>
  <c r="AT222" i="29" s="1"/>
  <c r="AP198" i="29"/>
  <c r="AP40" i="29"/>
  <c r="AT40" i="29" s="1"/>
  <c r="AP138" i="29"/>
  <c r="AT138" i="29" s="1"/>
  <c r="AP244" i="29"/>
  <c r="AT244" i="29" s="1"/>
  <c r="AP189" i="29"/>
  <c r="AT189" i="29" s="1"/>
  <c r="AP200" i="29"/>
  <c r="AP149" i="29"/>
  <c r="AP163" i="29"/>
  <c r="AT163" i="29" s="1"/>
  <c r="AP238" i="29"/>
  <c r="AT238" i="29" s="1"/>
  <c r="AP223" i="29"/>
  <c r="AT223" i="29" s="1"/>
  <c r="AP199" i="29"/>
  <c r="AP206" i="29"/>
  <c r="AP190" i="29"/>
  <c r="AT190" i="29" s="1"/>
  <c r="AT30" i="29"/>
  <c r="AP134" i="29"/>
  <c r="AT134" i="29" s="1"/>
  <c r="AP246" i="29"/>
  <c r="AT246" i="29" s="1"/>
  <c r="AP97" i="29"/>
  <c r="AT97" i="29" s="1"/>
  <c r="AP53" i="29"/>
  <c r="AT53" i="29" s="1"/>
  <c r="AP25" i="29"/>
  <c r="AT25" i="29" s="1"/>
  <c r="AP150" i="29"/>
  <c r="AP111" i="29"/>
  <c r="AT111" i="29" s="1"/>
  <c r="AP186" i="29"/>
  <c r="AT186" i="29" s="1"/>
  <c r="AP158" i="29"/>
  <c r="AP51" i="29"/>
  <c r="AT51" i="29" s="1"/>
  <c r="AP110" i="29"/>
  <c r="AT110" i="29" s="1"/>
  <c r="AP122" i="29"/>
  <c r="AT122" i="29" s="1"/>
  <c r="AT29" i="29"/>
  <c r="AP65" i="29"/>
  <c r="AT65" i="29" s="1"/>
  <c r="AP87" i="29"/>
  <c r="AT87" i="29" s="1"/>
  <c r="AP166" i="29"/>
  <c r="AT166" i="29" s="1"/>
  <c r="AP188" i="29"/>
  <c r="AT188" i="29" s="1"/>
  <c r="AP224" i="29"/>
  <c r="AT224" i="29" s="1"/>
  <c r="AP234" i="29"/>
  <c r="AT234" i="29" s="1"/>
  <c r="AP194" i="29"/>
  <c r="AT194" i="29" s="1"/>
  <c r="AP220" i="29"/>
  <c r="AT220" i="29" s="1"/>
  <c r="AP86" i="29"/>
  <c r="AT86" i="29" s="1"/>
  <c r="AP174" i="29"/>
  <c r="AT174" i="29" s="1"/>
  <c r="AP117" i="29"/>
  <c r="AP207" i="29"/>
  <c r="AT207" i="29" s="1"/>
  <c r="AP245" i="29"/>
  <c r="AT245" i="29" s="1"/>
  <c r="AP10" i="29"/>
  <c r="AP113" i="29"/>
  <c r="AT113" i="29" s="1"/>
  <c r="AP114" i="29"/>
  <c r="AT114" i="29" s="1"/>
  <c r="AP116" i="29"/>
  <c r="AT116" i="29" s="1"/>
  <c r="AP148" i="29"/>
  <c r="AP165" i="29"/>
  <c r="AT165" i="29" s="1"/>
  <c r="AP170" i="29"/>
  <c r="AT170" i="29" s="1"/>
  <c r="AP235" i="29"/>
  <c r="AT235" i="29" s="1"/>
  <c r="AP192" i="29"/>
  <c r="AT192" i="29" s="1"/>
  <c r="AP201" i="29"/>
  <c r="AP208" i="29"/>
  <c r="AP212" i="29"/>
  <c r="AP164" i="29"/>
  <c r="AT164" i="29" s="1"/>
  <c r="AP215" i="29"/>
  <c r="AT215" i="29" s="1"/>
  <c r="AP93" i="29"/>
  <c r="AT93" i="29" s="1"/>
  <c r="AP218" i="29"/>
  <c r="AP219" i="29"/>
  <c r="AP147" i="29"/>
  <c r="AP66" i="29"/>
  <c r="AT66" i="29" s="1"/>
  <c r="AP202" i="29"/>
  <c r="AP184" i="29"/>
  <c r="AP85" i="29"/>
  <c r="AP136" i="29"/>
  <c r="AP99" i="29"/>
  <c r="AT99" i="29" s="1"/>
  <c r="AP56" i="29"/>
  <c r="AT56" i="29" s="1"/>
  <c r="AP59" i="29"/>
  <c r="AT59" i="29" s="1"/>
  <c r="AT84" i="29"/>
  <c r="AP132" i="29"/>
  <c r="AT132" i="29" s="1"/>
  <c r="AP118" i="29"/>
  <c r="AP171" i="29"/>
  <c r="AT171" i="29" s="1"/>
  <c r="AP121" i="29"/>
  <c r="AT121" i="29" s="1"/>
  <c r="AP151" i="29"/>
  <c r="AP156" i="29"/>
  <c r="AT156" i="29" s="1"/>
  <c r="AP185" i="29"/>
  <c r="AP183" i="29"/>
  <c r="AP217" i="29"/>
  <c r="AP214" i="29"/>
  <c r="AT214" i="29" s="1"/>
  <c r="AP236" i="29"/>
  <c r="AT236" i="29" s="1"/>
  <c r="AP232" i="29"/>
  <c r="AT232" i="29" s="1"/>
  <c r="AP230" i="29"/>
  <c r="AT230" i="29" s="1"/>
  <c r="AP231" i="29"/>
  <c r="AT231" i="29" s="1"/>
  <c r="AP243" i="29"/>
  <c r="AT243" i="29" s="1"/>
  <c r="AP13" i="29"/>
  <c r="AT13" i="29" s="1"/>
  <c r="AP179" i="29"/>
  <c r="AP213" i="29"/>
  <c r="AT213" i="29" s="1"/>
  <c r="AP120" i="29"/>
  <c r="AT120" i="29" s="1"/>
  <c r="AP177" i="29"/>
  <c r="AT177" i="29" s="1"/>
  <c r="AP233" i="29"/>
  <c r="AT233" i="29" s="1"/>
  <c r="AP195" i="29"/>
  <c r="AP203" i="29"/>
  <c r="AT203" i="29" s="1"/>
  <c r="AP210" i="29"/>
  <c r="AP240" i="29"/>
  <c r="AT240" i="29" s="1"/>
  <c r="AT28" i="29"/>
  <c r="AP239" i="29"/>
  <c r="AT239" i="29" s="1"/>
  <c r="AP90" i="29"/>
  <c r="AT90" i="29" s="1"/>
  <c r="AP175" i="29"/>
  <c r="AP83" i="29"/>
  <c r="AT83" i="29" s="1"/>
  <c r="AT141" i="29"/>
  <c r="AT142" i="29"/>
  <c r="AP160" i="29"/>
  <c r="AT160" i="29" s="1"/>
  <c r="AT143" i="29"/>
  <c r="AP140" i="29"/>
  <c r="AT140" i="29" s="1"/>
  <c r="AT144" i="29"/>
  <c r="AP152" i="29"/>
  <c r="AT152" i="29" s="1"/>
  <c r="AP162" i="29"/>
  <c r="AT162" i="29" s="1"/>
  <c r="AP139" i="29"/>
  <c r="AT139" i="29" s="1"/>
  <c r="AP161" i="29"/>
  <c r="AT161" i="29" s="1"/>
  <c r="AP154" i="29"/>
  <c r="AT154" i="29" s="1"/>
  <c r="AP159" i="29"/>
  <c r="AT159" i="29" s="1"/>
  <c r="AP95" i="29"/>
  <c r="AT95" i="29" s="1"/>
  <c r="AP155" i="29"/>
  <c r="AT155" i="29" s="1"/>
  <c r="AP129" i="29"/>
  <c r="AT129" i="29" s="1"/>
  <c r="AP153" i="29"/>
  <c r="AT153" i="29" s="1"/>
  <c r="AP126" i="29"/>
  <c r="AT126" i="29" s="1"/>
  <c r="AP12" i="29"/>
  <c r="AT12" i="29" s="1"/>
  <c r="AU191" i="29"/>
  <c r="AW191" i="29" s="1"/>
  <c r="AU78" i="29"/>
  <c r="AU115" i="29"/>
  <c r="AU41" i="29"/>
  <c r="AU61" i="29"/>
  <c r="AU96" i="29"/>
  <c r="AU67" i="29"/>
  <c r="AU80" i="29"/>
  <c r="AP76" i="29"/>
  <c r="AT76" i="29" s="1"/>
  <c r="AP45" i="29"/>
  <c r="AT45" i="29" s="1"/>
  <c r="AP62" i="29"/>
  <c r="AT62" i="29" s="1"/>
  <c r="AP167" i="29"/>
  <c r="AT167" i="29" s="1"/>
  <c r="AP94" i="29"/>
  <c r="AT94" i="29" s="1"/>
  <c r="AP145" i="29"/>
  <c r="AT145" i="29" s="1"/>
  <c r="AP15" i="29"/>
  <c r="AT15" i="29" s="1"/>
  <c r="AP37" i="29"/>
  <c r="AT37" i="29" s="1"/>
  <c r="AP17" i="29"/>
  <c r="AT17" i="29" s="1"/>
  <c r="AP34" i="29"/>
  <c r="AT34" i="29" s="1"/>
  <c r="AP70" i="29"/>
  <c r="AT70" i="29" s="1"/>
  <c r="AP16" i="29"/>
  <c r="AT16" i="29" s="1"/>
  <c r="AP33" i="29"/>
  <c r="AT33" i="29" s="1"/>
  <c r="AP14" i="29"/>
  <c r="AT14" i="29" s="1"/>
  <c r="AP127" i="29"/>
  <c r="AT127" i="29" s="1"/>
  <c r="AP43" i="29"/>
  <c r="AT43" i="29" s="1"/>
  <c r="AP31" i="29"/>
  <c r="AT31" i="29" s="1"/>
  <c r="AP124" i="29"/>
  <c r="AT124" i="29" s="1"/>
  <c r="AP23" i="29"/>
  <c r="AT23" i="29" s="1"/>
  <c r="AP18" i="29"/>
  <c r="AT18" i="29" s="1"/>
  <c r="AP103" i="29"/>
  <c r="AT103" i="29" s="1"/>
  <c r="AP20" i="29"/>
  <c r="AT20" i="29" s="1"/>
  <c r="AP26" i="29"/>
  <c r="AT26" i="29" s="1"/>
  <c r="AP75" i="29"/>
  <c r="AT75" i="29" s="1"/>
  <c r="AP60" i="29"/>
  <c r="AT60" i="29" s="1"/>
  <c r="AP105" i="29"/>
  <c r="AT105" i="29" s="1"/>
  <c r="AP130" i="29"/>
  <c r="AT130" i="29" s="1"/>
  <c r="AP137" i="29"/>
  <c r="AT137" i="29" s="1"/>
  <c r="AP24" i="29"/>
  <c r="AT24" i="29" s="1"/>
  <c r="AP19" i="29"/>
  <c r="AT19" i="29" s="1"/>
  <c r="AP48" i="29"/>
  <c r="AT48" i="29" s="1"/>
  <c r="AP54" i="29"/>
  <c r="AT54" i="29" s="1"/>
  <c r="AT27" i="29"/>
  <c r="AP73" i="29"/>
  <c r="AT73" i="29" s="1"/>
  <c r="AP68" i="29"/>
  <c r="AT68" i="29" s="1"/>
  <c r="AP131" i="29"/>
  <c r="AT131" i="29" s="1"/>
  <c r="AP128" i="29"/>
  <c r="AT128" i="29" s="1"/>
  <c r="AP107" i="29"/>
  <c r="AT107" i="29" s="1"/>
  <c r="AP172" i="29"/>
  <c r="AT172" i="29" s="1"/>
  <c r="AP32" i="29"/>
  <c r="AT32" i="29" s="1"/>
  <c r="AP44" i="29"/>
  <c r="AT44" i="29" s="1"/>
  <c r="AP109" i="29"/>
  <c r="AT109" i="29" s="1"/>
  <c r="AP47" i="29"/>
  <c r="AT47" i="29" s="1"/>
  <c r="AP101" i="29"/>
  <c r="AT101" i="29" s="1"/>
  <c r="AP112" i="29"/>
  <c r="AT112" i="29" s="1"/>
  <c r="AP133" i="29"/>
  <c r="AT133" i="29" s="1"/>
  <c r="AP21" i="29"/>
  <c r="AT21" i="29" s="1"/>
  <c r="AP36" i="29"/>
  <c r="AT36" i="29" s="1"/>
  <c r="AT55" i="29"/>
  <c r="AP102" i="29"/>
  <c r="AT102" i="29" s="1"/>
  <c r="AP82" i="29"/>
  <c r="AT82" i="29" s="1"/>
  <c r="AU196" i="29"/>
  <c r="D17" i="30"/>
  <c r="C17" i="30"/>
  <c r="D16" i="30"/>
  <c r="C16" i="30"/>
  <c r="D15" i="30"/>
  <c r="C15" i="30"/>
  <c r="D14" i="30"/>
  <c r="BF247" i="29" s="1"/>
  <c r="C14" i="30"/>
  <c r="D13" i="30"/>
  <c r="C13" i="30"/>
  <c r="D12" i="30"/>
  <c r="C12" i="30"/>
  <c r="D11" i="30"/>
  <c r="C11" i="30"/>
  <c r="D10" i="30"/>
  <c r="C10" i="30"/>
  <c r="D9" i="30"/>
  <c r="C9" i="30"/>
  <c r="D8" i="30"/>
  <c r="BF78" i="29" s="1"/>
  <c r="C8" i="30"/>
  <c r="D7" i="30"/>
  <c r="BF191" i="29" s="1"/>
  <c r="C7" i="30"/>
  <c r="D6" i="30"/>
  <c r="C6" i="30"/>
  <c r="D5" i="30"/>
  <c r="C5" i="30"/>
  <c r="BE137" i="29" l="1"/>
  <c r="BE167" i="29"/>
  <c r="BE162" i="29"/>
  <c r="BE84" i="29"/>
  <c r="BE65" i="29"/>
  <c r="BE190" i="29"/>
  <c r="BE35" i="29"/>
  <c r="BE74" i="29"/>
  <c r="BE120" i="29"/>
  <c r="BE121" i="29"/>
  <c r="BE56" i="29"/>
  <c r="BE192" i="29"/>
  <c r="BE122" i="29"/>
  <c r="BE53" i="29"/>
  <c r="BE223" i="29"/>
  <c r="BE40" i="29"/>
  <c r="BE71" i="29"/>
  <c r="BE42" i="29"/>
  <c r="BE106" i="29"/>
  <c r="BE52" i="29"/>
  <c r="BE204" i="29"/>
  <c r="BE102" i="29"/>
  <c r="BE66" i="29"/>
  <c r="BE29" i="29"/>
  <c r="BE173" i="29"/>
  <c r="BE21" i="29"/>
  <c r="BE60" i="29"/>
  <c r="BE133" i="29"/>
  <c r="BE54" i="29"/>
  <c r="BE43" i="29"/>
  <c r="BE154" i="29"/>
  <c r="BE143" i="29"/>
  <c r="BE28" i="29"/>
  <c r="BE213" i="29"/>
  <c r="BE214" i="29"/>
  <c r="BE171" i="29"/>
  <c r="BE99" i="29"/>
  <c r="BE235" i="29"/>
  <c r="BE224" i="29"/>
  <c r="BE110" i="29"/>
  <c r="BE97" i="29"/>
  <c r="BE100" i="29"/>
  <c r="BE205" i="29"/>
  <c r="BE146" i="29"/>
  <c r="BE89" i="29"/>
  <c r="BE47" i="29"/>
  <c r="BE11" i="29"/>
  <c r="BE32" i="29"/>
  <c r="BE31" i="29"/>
  <c r="BE76" i="29"/>
  <c r="BE159" i="29"/>
  <c r="BE37" i="29"/>
  <c r="BE93" i="29"/>
  <c r="BE170" i="29"/>
  <c r="BE207" i="29"/>
  <c r="BE188" i="29"/>
  <c r="BE51" i="29"/>
  <c r="BE163" i="29"/>
  <c r="BE49" i="29"/>
  <c r="BE91" i="29"/>
  <c r="BE104" i="29"/>
  <c r="BE169" i="29"/>
  <c r="BE16" i="29"/>
  <c r="BE73" i="29"/>
  <c r="BE23" i="29"/>
  <c r="BE62" i="29"/>
  <c r="BE155" i="29"/>
  <c r="BE233" i="29"/>
  <c r="BE107" i="29"/>
  <c r="BE48" i="29"/>
  <c r="BE26" i="29"/>
  <c r="BE127" i="29"/>
  <c r="BE15" i="29"/>
  <c r="BE12" i="29"/>
  <c r="BE161" i="29"/>
  <c r="BE160" i="29"/>
  <c r="BE112" i="29"/>
  <c r="BE128" i="29"/>
  <c r="BE19" i="29"/>
  <c r="BE20" i="29"/>
  <c r="BE14" i="29"/>
  <c r="BE145" i="29"/>
  <c r="BE126" i="29"/>
  <c r="BE139" i="29"/>
  <c r="BE142" i="29"/>
  <c r="BE13" i="29"/>
  <c r="BE132" i="29"/>
  <c r="BE215" i="29"/>
  <c r="BE165" i="29"/>
  <c r="BE166" i="29"/>
  <c r="BE193" i="29"/>
  <c r="BE18" i="29"/>
  <c r="BE83" i="29"/>
  <c r="BE116" i="29"/>
  <c r="BE111" i="29"/>
  <c r="BE189" i="29"/>
  <c r="BE123" i="29"/>
  <c r="BE55" i="29"/>
  <c r="BE130" i="29"/>
  <c r="BE70" i="29"/>
  <c r="BE152" i="29"/>
  <c r="BE156" i="29"/>
  <c r="BE59" i="29"/>
  <c r="BE114" i="29"/>
  <c r="BE22" i="29"/>
  <c r="BE17" i="29"/>
  <c r="BE140" i="29"/>
  <c r="BE172" i="29"/>
  <c r="BE75" i="29"/>
  <c r="BE82" i="29"/>
  <c r="BE101" i="29"/>
  <c r="BE131" i="29"/>
  <c r="BE24" i="29"/>
  <c r="BE103" i="29"/>
  <c r="BE33" i="29"/>
  <c r="BE153" i="29"/>
  <c r="BE141" i="29"/>
  <c r="BE203" i="29"/>
  <c r="BE164" i="29"/>
  <c r="BE174" i="29"/>
  <c r="BE87" i="29"/>
  <c r="BE186" i="29"/>
  <c r="BE30" i="29"/>
  <c r="BE226" i="29"/>
  <c r="BE241" i="29"/>
  <c r="BE119" i="29"/>
  <c r="BE109" i="29"/>
  <c r="BE68" i="29"/>
  <c r="BE129" i="29"/>
  <c r="BE86" i="29"/>
  <c r="BE36" i="29"/>
  <c r="BE44" i="29"/>
  <c r="BE27" i="29"/>
  <c r="BE105" i="29"/>
  <c r="BE124" i="29"/>
  <c r="BE34" i="29"/>
  <c r="BE45" i="29"/>
  <c r="BE95" i="29"/>
  <c r="BE144" i="29"/>
  <c r="BE90" i="29"/>
  <c r="BE177" i="29"/>
  <c r="BE113" i="29"/>
  <c r="BE194" i="29"/>
  <c r="BE25" i="29"/>
  <c r="BE138" i="29"/>
  <c r="BE79" i="29"/>
  <c r="BE108" i="29"/>
  <c r="BE57" i="29"/>
  <c r="BE9" i="29"/>
  <c r="BE94" i="29"/>
  <c r="AW228" i="29"/>
  <c r="AY228" i="29" s="1"/>
  <c r="AZ228" i="29" s="1"/>
  <c r="AW227" i="29"/>
  <c r="AY227" i="29" s="1"/>
  <c r="BA227" i="29" s="1"/>
  <c r="AT5" i="29"/>
  <c r="AU242" i="29"/>
  <c r="AW242" i="29" s="1"/>
  <c r="BE242" i="29"/>
  <c r="AU240" i="29"/>
  <c r="AW240" i="29" s="1"/>
  <c r="BE240" i="29"/>
  <c r="AU246" i="29"/>
  <c r="AW246" i="29" s="1"/>
  <c r="BE246" i="29"/>
  <c r="AU222" i="29"/>
  <c r="AW222" i="29" s="1"/>
  <c r="BE222" i="29"/>
  <c r="AU125" i="29"/>
  <c r="AV125" i="29" s="1"/>
  <c r="BE125" i="29"/>
  <c r="AU245" i="29"/>
  <c r="AV245" i="29" s="1"/>
  <c r="BE245" i="29"/>
  <c r="AU92" i="29"/>
  <c r="AW92" i="29" s="1"/>
  <c r="BE92" i="29"/>
  <c r="AU134" i="29"/>
  <c r="AW134" i="29" s="1"/>
  <c r="BE134" i="29"/>
  <c r="AU225" i="29"/>
  <c r="AV225" i="29" s="1"/>
  <c r="BE225" i="29"/>
  <c r="AU236" i="29"/>
  <c r="AW236" i="29" s="1"/>
  <c r="BE236" i="29"/>
  <c r="AU221" i="29"/>
  <c r="AW221" i="29" s="1"/>
  <c r="BE221" i="29"/>
  <c r="AU238" i="29"/>
  <c r="AW238" i="29" s="1"/>
  <c r="BE238" i="29"/>
  <c r="AU243" i="29"/>
  <c r="AW243" i="29" s="1"/>
  <c r="BE243" i="29"/>
  <c r="AU237" i="29"/>
  <c r="AW237" i="29" s="1"/>
  <c r="BE237" i="29"/>
  <c r="AU231" i="29"/>
  <c r="AV231" i="29" s="1"/>
  <c r="BE231" i="29"/>
  <c r="AU239" i="29"/>
  <c r="AV239" i="29" s="1"/>
  <c r="BE239" i="29"/>
  <c r="AU234" i="29"/>
  <c r="AW234" i="29" s="1"/>
  <c r="BE234" i="29"/>
  <c r="AU230" i="29"/>
  <c r="AW230" i="29" s="1"/>
  <c r="BE230" i="29"/>
  <c r="AU220" i="29"/>
  <c r="AV220" i="29" s="1"/>
  <c r="BE220" i="29"/>
  <c r="AU244" i="29"/>
  <c r="AW244" i="29" s="1"/>
  <c r="BE244" i="29"/>
  <c r="AU232" i="29"/>
  <c r="AV232" i="29" s="1"/>
  <c r="BE232" i="29"/>
  <c r="AU229" i="29"/>
  <c r="AV229" i="29" s="1"/>
  <c r="BE229" i="29"/>
  <c r="AU209" i="29"/>
  <c r="AV209" i="29" s="1"/>
  <c r="BE209" i="29"/>
  <c r="BF67" i="29"/>
  <c r="BG247" i="29"/>
  <c r="BU247" i="29" s="1"/>
  <c r="AV58" i="29"/>
  <c r="AY58" i="29" s="1"/>
  <c r="BA58" i="29" s="1"/>
  <c r="AW88" i="29"/>
  <c r="AV88" i="29"/>
  <c r="AV187" i="29"/>
  <c r="AW187" i="29"/>
  <c r="AV38" i="29"/>
  <c r="AW38" i="29"/>
  <c r="AW39" i="29"/>
  <c r="AY39" i="29" s="1"/>
  <c r="AZ39" i="29" s="1"/>
  <c r="AU140" i="29"/>
  <c r="AV69" i="29"/>
  <c r="AW69" i="29"/>
  <c r="AW50" i="29"/>
  <c r="AV50" i="29"/>
  <c r="AW72" i="29"/>
  <c r="AV72" i="29"/>
  <c r="AV46" i="29"/>
  <c r="AW46" i="29"/>
  <c r="AU159" i="29"/>
  <c r="AU90" i="29"/>
  <c r="AU59" i="29"/>
  <c r="AU66" i="29"/>
  <c r="AT212" i="29"/>
  <c r="AU116" i="29"/>
  <c r="AU65" i="29"/>
  <c r="AU111" i="29"/>
  <c r="AU190" i="29"/>
  <c r="AU189" i="29"/>
  <c r="AT182" i="29"/>
  <c r="AT176" i="29"/>
  <c r="AT77" i="29"/>
  <c r="AT181" i="29"/>
  <c r="AT135" i="29"/>
  <c r="AU144" i="29"/>
  <c r="BF154" i="29"/>
  <c r="AU120" i="29"/>
  <c r="AT151" i="29"/>
  <c r="AT208" i="29"/>
  <c r="AU114" i="29"/>
  <c r="AU29" i="29"/>
  <c r="AT150" i="29"/>
  <c r="AT206" i="29"/>
  <c r="AU35" i="29"/>
  <c r="AT157" i="29"/>
  <c r="AU74" i="29"/>
  <c r="AU161" i="29"/>
  <c r="AU28" i="29"/>
  <c r="AU121" i="29"/>
  <c r="AU56" i="29"/>
  <c r="AT147" i="29"/>
  <c r="AT201" i="29"/>
  <c r="AU113" i="29"/>
  <c r="AU25" i="29"/>
  <c r="AT199" i="29"/>
  <c r="AU138" i="29"/>
  <c r="AU11" i="29"/>
  <c r="AU173" i="29"/>
  <c r="AT64" i="29"/>
  <c r="AU119" i="29"/>
  <c r="AU139" i="29"/>
  <c r="AU160" i="29"/>
  <c r="AT179" i="29"/>
  <c r="AT217" i="29"/>
  <c r="AU171" i="29"/>
  <c r="AU99" i="29"/>
  <c r="AT219" i="29"/>
  <c r="AU192" i="29"/>
  <c r="AT10" i="29"/>
  <c r="AU122" i="29"/>
  <c r="AU53" i="29"/>
  <c r="AU79" i="29"/>
  <c r="AU108" i="29"/>
  <c r="AU123" i="29"/>
  <c r="AU142" i="29"/>
  <c r="AT210" i="29"/>
  <c r="AU13" i="29"/>
  <c r="AT183" i="29"/>
  <c r="AT118" i="29"/>
  <c r="AT136" i="29"/>
  <c r="AT218" i="29"/>
  <c r="AU110" i="29"/>
  <c r="AU97" i="29"/>
  <c r="AT198" i="29"/>
  <c r="AU22" i="29"/>
  <c r="AU129" i="29"/>
  <c r="AU141" i="29"/>
  <c r="AU203" i="29"/>
  <c r="AT185" i="29"/>
  <c r="AU132" i="29"/>
  <c r="AT85" i="29"/>
  <c r="AU188" i="29"/>
  <c r="AU163" i="29"/>
  <c r="AU100" i="29"/>
  <c r="AU205" i="29"/>
  <c r="AT63" i="29"/>
  <c r="AU52" i="29"/>
  <c r="AU9" i="29"/>
  <c r="AU155" i="29"/>
  <c r="AU152" i="29"/>
  <c r="AU83" i="29"/>
  <c r="AT195" i="29"/>
  <c r="AT184" i="29"/>
  <c r="AU165" i="29"/>
  <c r="AT117" i="29"/>
  <c r="AU166" i="29"/>
  <c r="AT158" i="29"/>
  <c r="AT149" i="29"/>
  <c r="BE216" i="29"/>
  <c r="AU49" i="29"/>
  <c r="AU91" i="29"/>
  <c r="AT178" i="29"/>
  <c r="AU204" i="29"/>
  <c r="AU95" i="29"/>
  <c r="AT175" i="29"/>
  <c r="BF168" i="29"/>
  <c r="AU84" i="29"/>
  <c r="AT202" i="29"/>
  <c r="AU164" i="29"/>
  <c r="AT148" i="29"/>
  <c r="AU174" i="29"/>
  <c r="AU87" i="29"/>
  <c r="AU186" i="29"/>
  <c r="AU30" i="29"/>
  <c r="AT200" i="29"/>
  <c r="AT211" i="29"/>
  <c r="AT180" i="29"/>
  <c r="AU104" i="29"/>
  <c r="AU169" i="29"/>
  <c r="AU89" i="29"/>
  <c r="AU177" i="29"/>
  <c r="AW177" i="29" s="1"/>
  <c r="BF86" i="29"/>
  <c r="AU86" i="29"/>
  <c r="AW86" i="29" s="1"/>
  <c r="BF213" i="29"/>
  <c r="AU213" i="29"/>
  <c r="AV213" i="29" s="1"/>
  <c r="AU214" i="29"/>
  <c r="AV214" i="29" s="1"/>
  <c r="BF214" i="29"/>
  <c r="AU194" i="29"/>
  <c r="AV194" i="29" s="1"/>
  <c r="AU156" i="29"/>
  <c r="AV156" i="29" s="1"/>
  <c r="AU241" i="29"/>
  <c r="AV241" i="29" s="1"/>
  <c r="AU223" i="29"/>
  <c r="AW223" i="29" s="1"/>
  <c r="BF223" i="29"/>
  <c r="AU40" i="29"/>
  <c r="AV40" i="29" s="1"/>
  <c r="AU226" i="29"/>
  <c r="AV226" i="29" s="1"/>
  <c r="BF226" i="29"/>
  <c r="AU235" i="29"/>
  <c r="AV235" i="29" s="1"/>
  <c r="BF235" i="29"/>
  <c r="AU224" i="29"/>
  <c r="AW224" i="29" s="1"/>
  <c r="BF224" i="29"/>
  <c r="BF71" i="29"/>
  <c r="AU71" i="29"/>
  <c r="AV71" i="29" s="1"/>
  <c r="AU42" i="29"/>
  <c r="AV42" i="29" s="1"/>
  <c r="AU106" i="29"/>
  <c r="AV106" i="29" s="1"/>
  <c r="BF106" i="29"/>
  <c r="BF57" i="29"/>
  <c r="AU57" i="29"/>
  <c r="AW57" i="29" s="1"/>
  <c r="AU93" i="29"/>
  <c r="AV93" i="29" s="1"/>
  <c r="AU170" i="29"/>
  <c r="AW170" i="29" s="1"/>
  <c r="AU207" i="29"/>
  <c r="AV207" i="29" s="1"/>
  <c r="AU51" i="29"/>
  <c r="AV51" i="29" s="1"/>
  <c r="AU146" i="29"/>
  <c r="AV146" i="29" s="1"/>
  <c r="AU233" i="29"/>
  <c r="AW233" i="29" s="1"/>
  <c r="BF143" i="29"/>
  <c r="AU143" i="29"/>
  <c r="AV143" i="29" s="1"/>
  <c r="AU153" i="29"/>
  <c r="AV153" i="29" s="1"/>
  <c r="BF153" i="29"/>
  <c r="BF162" i="29"/>
  <c r="AU162" i="29"/>
  <c r="AV162" i="29" s="1"/>
  <c r="BJ247" i="29"/>
  <c r="BK247" i="29" s="1"/>
  <c r="BF189" i="29"/>
  <c r="BF120" i="29"/>
  <c r="BF134" i="29"/>
  <c r="BF259" i="29"/>
  <c r="BF266" i="29"/>
  <c r="BF265" i="29"/>
  <c r="BF260" i="29"/>
  <c r="BF254" i="29"/>
  <c r="BF264" i="29"/>
  <c r="BF252" i="29"/>
  <c r="BF249" i="29"/>
  <c r="BF253" i="29"/>
  <c r="BF250" i="29"/>
  <c r="BF248" i="29"/>
  <c r="BF251" i="29"/>
  <c r="BF125" i="29"/>
  <c r="BF89" i="29"/>
  <c r="BF108" i="29"/>
  <c r="BF225" i="29"/>
  <c r="BF246" i="29"/>
  <c r="BF221" i="29"/>
  <c r="BF231" i="29"/>
  <c r="BF53" i="29"/>
  <c r="BF177" i="29"/>
  <c r="BF164" i="29"/>
  <c r="BF156" i="29"/>
  <c r="BF49" i="29"/>
  <c r="BF146" i="29"/>
  <c r="BF115" i="29"/>
  <c r="BF111" i="29"/>
  <c r="BF267" i="29"/>
  <c r="BF98" i="29"/>
  <c r="BF92" i="29"/>
  <c r="BF88" i="29"/>
  <c r="BF58" i="29"/>
  <c r="BF258" i="29"/>
  <c r="BF255" i="29"/>
  <c r="BF39" i="29"/>
  <c r="BF194" i="29"/>
  <c r="BF232" i="29"/>
  <c r="BF207" i="29"/>
  <c r="BF245" i="29"/>
  <c r="BF220" i="29"/>
  <c r="BF80" i="29"/>
  <c r="BF35" i="29"/>
  <c r="BF139" i="29"/>
  <c r="BF100" i="29"/>
  <c r="BF61" i="29"/>
  <c r="BF52" i="29"/>
  <c r="BF25" i="29"/>
  <c r="BF238" i="29"/>
  <c r="BF239" i="29"/>
  <c r="BF138" i="29"/>
  <c r="BF90" i="29"/>
  <c r="BF144" i="29"/>
  <c r="BF66" i="29"/>
  <c r="BF38" i="29"/>
  <c r="BF228" i="29"/>
  <c r="BF257" i="29"/>
  <c r="BF72" i="29"/>
  <c r="BF240" i="29"/>
  <c r="BF222" i="29"/>
  <c r="BF241" i="29"/>
  <c r="BF229" i="29"/>
  <c r="BF97" i="29"/>
  <c r="BF204" i="29"/>
  <c r="BF22" i="29"/>
  <c r="BF132" i="29"/>
  <c r="BF163" i="29"/>
  <c r="BF174" i="29"/>
  <c r="BF262" i="29"/>
  <c r="BF187" i="29"/>
  <c r="BF196" i="29"/>
  <c r="BF242" i="29"/>
  <c r="BF263" i="29"/>
  <c r="BF261" i="29"/>
  <c r="BF256" i="29"/>
  <c r="BF209" i="29"/>
  <c r="BF50" i="29"/>
  <c r="BF227" i="29"/>
  <c r="BF46" i="29"/>
  <c r="BF69" i="29"/>
  <c r="BF237" i="29"/>
  <c r="BF230" i="29"/>
  <c r="BF233" i="29"/>
  <c r="BF244" i="29"/>
  <c r="BF243" i="29"/>
  <c r="BF99" i="29"/>
  <c r="BF192" i="29"/>
  <c r="BF140" i="29"/>
  <c r="BF165" i="29"/>
  <c r="BF121" i="29"/>
  <c r="BF190" i="29"/>
  <c r="BF186" i="29"/>
  <c r="BF236" i="29"/>
  <c r="BF234" i="29"/>
  <c r="BF203" i="29"/>
  <c r="BF40" i="29"/>
  <c r="BF93" i="29"/>
  <c r="BF193" i="29"/>
  <c r="BF74" i="29"/>
  <c r="BF51" i="29"/>
  <c r="BF123" i="29"/>
  <c r="BF170" i="29"/>
  <c r="BF9" i="29"/>
  <c r="BF96" i="29"/>
  <c r="BF42" i="29"/>
  <c r="BF84" i="29"/>
  <c r="BF110" i="29"/>
  <c r="BF41" i="29"/>
  <c r="BF29" i="29"/>
  <c r="AU126" i="29"/>
  <c r="AW126" i="29" s="1"/>
  <c r="BF126" i="29"/>
  <c r="BF12" i="29"/>
  <c r="AU12" i="29"/>
  <c r="AV12" i="29" s="1"/>
  <c r="AV191" i="29"/>
  <c r="AY191" i="29" s="1"/>
  <c r="BH191" i="29" s="1"/>
  <c r="BF102" i="29"/>
  <c r="AU102" i="29"/>
  <c r="BF75" i="29"/>
  <c r="AU75" i="29"/>
  <c r="AU44" i="29"/>
  <c r="BF44" i="29"/>
  <c r="BF73" i="29"/>
  <c r="AU73" i="29"/>
  <c r="BF105" i="29"/>
  <c r="AU105" i="29"/>
  <c r="AU124" i="29"/>
  <c r="BF124" i="29"/>
  <c r="AU16" i="29"/>
  <c r="BF16" i="29"/>
  <c r="BF94" i="29"/>
  <c r="AU94" i="29"/>
  <c r="AU24" i="29"/>
  <c r="BF24" i="29"/>
  <c r="BF47" i="29"/>
  <c r="AU47" i="29"/>
  <c r="BF172" i="29"/>
  <c r="AU172" i="29"/>
  <c r="AU82" i="29"/>
  <c r="BF82" i="29"/>
  <c r="BF133" i="29"/>
  <c r="AU133" i="29"/>
  <c r="BF27" i="29"/>
  <c r="AU27" i="29"/>
  <c r="BF60" i="29"/>
  <c r="AU60" i="29"/>
  <c r="BF31" i="29"/>
  <c r="AU31" i="29"/>
  <c r="BF70" i="29"/>
  <c r="AU70" i="29"/>
  <c r="BF167" i="29"/>
  <c r="AU167" i="29"/>
  <c r="AV80" i="29"/>
  <c r="AW80" i="29"/>
  <c r="BF62" i="29"/>
  <c r="AU62" i="29"/>
  <c r="BF55" i="29"/>
  <c r="AU55" i="29"/>
  <c r="BF112" i="29"/>
  <c r="AU112" i="29"/>
  <c r="BF32" i="29"/>
  <c r="AU32" i="29"/>
  <c r="BF107" i="29"/>
  <c r="AU107" i="29"/>
  <c r="BF54" i="29"/>
  <c r="AU54" i="29"/>
  <c r="BF26" i="29"/>
  <c r="AU26" i="29"/>
  <c r="AU17" i="29"/>
  <c r="BF17" i="29"/>
  <c r="AU45" i="29"/>
  <c r="BF45" i="29"/>
  <c r="AV67" i="29"/>
  <c r="AW67" i="29"/>
  <c r="AV96" i="29"/>
  <c r="AW96" i="29"/>
  <c r="AV61" i="29"/>
  <c r="AW61" i="29"/>
  <c r="AV78" i="29"/>
  <c r="AW78" i="29"/>
  <c r="AU34" i="29"/>
  <c r="BF34" i="29"/>
  <c r="AU36" i="29"/>
  <c r="BF36" i="29"/>
  <c r="BF101" i="29"/>
  <c r="AU101" i="29"/>
  <c r="AU128" i="29"/>
  <c r="BF128" i="29"/>
  <c r="BF20" i="29"/>
  <c r="AU20" i="29"/>
  <c r="BF127" i="29"/>
  <c r="AU127" i="29"/>
  <c r="BF37" i="29"/>
  <c r="AU37" i="29"/>
  <c r="AU76" i="29"/>
  <c r="BF76" i="29"/>
  <c r="AV41" i="29"/>
  <c r="AW41" i="29"/>
  <c r="AU48" i="29"/>
  <c r="BF48" i="29"/>
  <c r="BF103" i="29"/>
  <c r="AU103" i="29"/>
  <c r="AU14" i="29"/>
  <c r="BF14" i="29"/>
  <c r="BF15" i="29"/>
  <c r="AU15" i="29"/>
  <c r="AU131" i="29"/>
  <c r="BF131" i="29"/>
  <c r="BF19" i="29"/>
  <c r="AU19" i="29"/>
  <c r="BF137" i="29"/>
  <c r="AU137" i="29"/>
  <c r="BF18" i="29"/>
  <c r="AU18" i="29"/>
  <c r="BF81" i="29"/>
  <c r="AU81" i="29"/>
  <c r="BF43" i="29"/>
  <c r="AU43" i="29"/>
  <c r="BF21" i="29"/>
  <c r="AU21" i="29"/>
  <c r="BF109" i="29"/>
  <c r="AU109" i="29"/>
  <c r="BF68" i="29"/>
  <c r="AU68" i="29"/>
  <c r="BF130" i="29"/>
  <c r="AU130" i="29"/>
  <c r="BF23" i="29"/>
  <c r="AU23" i="29"/>
  <c r="BF33" i="29"/>
  <c r="AU33" i="29"/>
  <c r="BF145" i="29"/>
  <c r="AU145" i="29"/>
  <c r="AV115" i="29"/>
  <c r="AW115" i="29"/>
  <c r="AU215" i="29"/>
  <c r="AW215" i="29" s="1"/>
  <c r="BF215" i="29"/>
  <c r="AV196" i="29"/>
  <c r="AW196" i="29"/>
  <c r="AV242" i="29" l="1"/>
  <c r="AY242" i="29" s="1"/>
  <c r="BH242" i="29" s="1"/>
  <c r="BE150" i="29"/>
  <c r="BR247" i="29"/>
  <c r="BE5" i="29"/>
  <c r="AW239" i="29"/>
  <c r="AY239" i="29" s="1"/>
  <c r="BA239" i="29" s="1"/>
  <c r="AV244" i="29"/>
  <c r="AY244" i="29" s="1"/>
  <c r="BA244" i="29" s="1"/>
  <c r="AV230" i="29"/>
  <c r="AY230" i="29" s="1"/>
  <c r="BA230" i="29" s="1"/>
  <c r="AW232" i="29"/>
  <c r="AY232" i="29" s="1"/>
  <c r="AZ232" i="29" s="1"/>
  <c r="AV237" i="29"/>
  <c r="AY237" i="29" s="1"/>
  <c r="BH237" i="29" s="1"/>
  <c r="AW231" i="29"/>
  <c r="AY231" i="29" s="1"/>
  <c r="AZ231" i="29" s="1"/>
  <c r="AW220" i="29"/>
  <c r="AY220" i="29" s="1"/>
  <c r="AZ220" i="29" s="1"/>
  <c r="AV246" i="29"/>
  <c r="AY246" i="29" s="1"/>
  <c r="BA246" i="29" s="1"/>
  <c r="AV236" i="29"/>
  <c r="AY236" i="29" s="1"/>
  <c r="BA236" i="29" s="1"/>
  <c r="AV240" i="29"/>
  <c r="AY240" i="29" s="1"/>
  <c r="BH240" i="29" s="1"/>
  <c r="AV221" i="29"/>
  <c r="AY221" i="29" s="1"/>
  <c r="AZ221" i="29" s="1"/>
  <c r="AV234" i="29"/>
  <c r="AY234" i="29" s="1"/>
  <c r="AZ234" i="29" s="1"/>
  <c r="AW225" i="29"/>
  <c r="AY225" i="29" s="1"/>
  <c r="AZ225" i="29" s="1"/>
  <c r="AV243" i="29"/>
  <c r="AY243" i="29" s="1"/>
  <c r="AZ243" i="29" s="1"/>
  <c r="AV222" i="29"/>
  <c r="AY222" i="29" s="1"/>
  <c r="BA222" i="29" s="1"/>
  <c r="AV238" i="29"/>
  <c r="AY238" i="29" s="1"/>
  <c r="AZ238" i="29" s="1"/>
  <c r="AV134" i="29"/>
  <c r="AY134" i="29" s="1"/>
  <c r="BH134" i="29" s="1"/>
  <c r="AV92" i="29"/>
  <c r="AY92" i="29" s="1"/>
  <c r="BA92" i="29" s="1"/>
  <c r="AW125" i="29"/>
  <c r="AY125" i="29" s="1"/>
  <c r="BA125" i="29" s="1"/>
  <c r="AU85" i="29"/>
  <c r="AV85" i="29" s="1"/>
  <c r="BE85" i="29"/>
  <c r="AU198" i="29"/>
  <c r="AW198" i="29" s="1"/>
  <c r="BE198" i="29"/>
  <c r="AU210" i="29"/>
  <c r="AV210" i="29" s="1"/>
  <c r="BE210" i="29"/>
  <c r="AU10" i="29"/>
  <c r="BE10" i="29"/>
  <c r="AU208" i="29"/>
  <c r="AV208" i="29" s="1"/>
  <c r="BE208" i="29"/>
  <c r="AU181" i="29"/>
  <c r="AV181" i="29" s="1"/>
  <c r="BE181" i="29"/>
  <c r="AW209" i="29"/>
  <c r="AY209" i="29" s="1"/>
  <c r="AZ209" i="29" s="1"/>
  <c r="AU148" i="29"/>
  <c r="AW148" i="29" s="1"/>
  <c r="BE148" i="29"/>
  <c r="AU178" i="29"/>
  <c r="AV178" i="29" s="1"/>
  <c r="BE178" i="29"/>
  <c r="AU117" i="29"/>
  <c r="AV117" i="29" s="1"/>
  <c r="BE117" i="29"/>
  <c r="AU157" i="29"/>
  <c r="AV157" i="29" s="1"/>
  <c r="BE157" i="29"/>
  <c r="AU77" i="29"/>
  <c r="AV77" i="29" s="1"/>
  <c r="BE77" i="29"/>
  <c r="BF212" i="29"/>
  <c r="BE212" i="29"/>
  <c r="AU158" i="29"/>
  <c r="AW158" i="29" s="1"/>
  <c r="BE158" i="29"/>
  <c r="AU199" i="29"/>
  <c r="AW199" i="29" s="1"/>
  <c r="BE199" i="29"/>
  <c r="AU135" i="29"/>
  <c r="AW135" i="29" s="1"/>
  <c r="BE135" i="29"/>
  <c r="AU180" i="29"/>
  <c r="AW180" i="29" s="1"/>
  <c r="BE180" i="29"/>
  <c r="AU185" i="29"/>
  <c r="AV185" i="29" s="1"/>
  <c r="BE185" i="29"/>
  <c r="AU219" i="29"/>
  <c r="AW219" i="29" s="1"/>
  <c r="BE219" i="29"/>
  <c r="AU64" i="29"/>
  <c r="AW64" i="29" s="1"/>
  <c r="BE64" i="29"/>
  <c r="AU201" i="29"/>
  <c r="AV201" i="29" s="1"/>
  <c r="BE201" i="29"/>
  <c r="AU176" i="29"/>
  <c r="AW176" i="29" s="1"/>
  <c r="BE176" i="29"/>
  <c r="AW245" i="29"/>
  <c r="AY245" i="29" s="1"/>
  <c r="AZ245" i="29" s="1"/>
  <c r="AW229" i="29"/>
  <c r="AY229" i="29" s="1"/>
  <c r="BA229" i="29" s="1"/>
  <c r="AU211" i="29"/>
  <c r="AV211" i="29" s="1"/>
  <c r="BE211" i="29"/>
  <c r="AU202" i="29"/>
  <c r="AV202" i="29" s="1"/>
  <c r="BE202" i="29"/>
  <c r="AU197" i="29"/>
  <c r="AV197" i="29" s="1"/>
  <c r="BE197" i="29"/>
  <c r="AU184" i="29"/>
  <c r="AV184" i="29" s="1"/>
  <c r="BE184" i="29"/>
  <c r="AU63" i="29"/>
  <c r="AV63" i="29" s="1"/>
  <c r="BE63" i="29"/>
  <c r="AU218" i="29"/>
  <c r="AV218" i="29" s="1"/>
  <c r="BE218" i="29"/>
  <c r="AU147" i="29"/>
  <c r="AV147" i="29" s="1"/>
  <c r="BE147" i="29"/>
  <c r="AU151" i="29"/>
  <c r="AV151" i="29" s="1"/>
  <c r="BE151" i="29"/>
  <c r="AU182" i="29"/>
  <c r="AV182" i="29" s="1"/>
  <c r="BE182" i="29"/>
  <c r="AU200" i="29"/>
  <c r="AW200" i="29" s="1"/>
  <c r="BE200" i="29"/>
  <c r="AU136" i="29"/>
  <c r="AV136" i="29" s="1"/>
  <c r="BE136" i="29"/>
  <c r="AU206" i="29"/>
  <c r="AV206" i="29" s="1"/>
  <c r="BE206" i="29"/>
  <c r="AU195" i="29"/>
  <c r="AV195" i="29" s="1"/>
  <c r="BE195" i="29"/>
  <c r="AU118" i="29"/>
  <c r="AV118" i="29" s="1"/>
  <c r="BE118" i="29"/>
  <c r="BF217" i="29"/>
  <c r="BE217" i="29"/>
  <c r="AU175" i="29"/>
  <c r="AV175" i="29" s="1"/>
  <c r="BE175" i="29"/>
  <c r="AU149" i="29"/>
  <c r="AV149" i="29" s="1"/>
  <c r="BE149" i="29"/>
  <c r="AU183" i="29"/>
  <c r="AV183" i="29" s="1"/>
  <c r="BE183" i="29"/>
  <c r="AU179" i="29"/>
  <c r="AV179" i="29" s="1"/>
  <c r="BE179" i="29"/>
  <c r="BF197" i="29"/>
  <c r="AW194" i="29"/>
  <c r="AY194" i="29" s="1"/>
  <c r="BH194" i="29" s="1"/>
  <c r="BF181" i="29"/>
  <c r="AV86" i="29"/>
  <c r="AY86" i="29" s="1"/>
  <c r="AZ86" i="29" s="1"/>
  <c r="AV57" i="29"/>
  <c r="AY57" i="29" s="1"/>
  <c r="BH57" i="29" s="1"/>
  <c r="AV224" i="29"/>
  <c r="AY224" i="29" s="1"/>
  <c r="BH224" i="29" s="1"/>
  <c r="BF176" i="29"/>
  <c r="AW51" i="29"/>
  <c r="AY51" i="29" s="1"/>
  <c r="BH51" i="29" s="1"/>
  <c r="BF157" i="29"/>
  <c r="AY46" i="29"/>
  <c r="AZ46" i="29" s="1"/>
  <c r="AY72" i="29"/>
  <c r="BA72" i="29" s="1"/>
  <c r="BF182" i="29"/>
  <c r="BF211" i="29"/>
  <c r="BF202" i="29"/>
  <c r="BF148" i="29"/>
  <c r="BF85" i="29"/>
  <c r="BF210" i="29"/>
  <c r="BF166" i="29"/>
  <c r="AV223" i="29"/>
  <c r="AY223" i="29" s="1"/>
  <c r="AZ223" i="29" s="1"/>
  <c r="AW207" i="29"/>
  <c r="AY207" i="29" s="1"/>
  <c r="AZ207" i="29" s="1"/>
  <c r="AV233" i="29"/>
  <c r="AY233" i="29" s="1"/>
  <c r="BA233" i="29" s="1"/>
  <c r="BF178" i="29"/>
  <c r="BF201" i="29"/>
  <c r="BF155" i="29"/>
  <c r="AY187" i="29"/>
  <c r="AZ187" i="29" s="1"/>
  <c r="BF113" i="29"/>
  <c r="BF142" i="29"/>
  <c r="BF77" i="29"/>
  <c r="BF151" i="29"/>
  <c r="BF179" i="29"/>
  <c r="BF180" i="29"/>
  <c r="BF147" i="29"/>
  <c r="BF208" i="29"/>
  <c r="AW162" i="29"/>
  <c r="AY162" i="29" s="1"/>
  <c r="AZ162" i="29" s="1"/>
  <c r="BF206" i="29"/>
  <c r="BF136" i="29"/>
  <c r="AW106" i="29"/>
  <c r="AY106" i="29" s="1"/>
  <c r="BH106" i="29" s="1"/>
  <c r="BF205" i="29"/>
  <c r="BF10" i="29"/>
  <c r="BF185" i="29"/>
  <c r="BF219" i="29"/>
  <c r="BF104" i="29"/>
  <c r="BF63" i="29"/>
  <c r="BF149" i="29"/>
  <c r="BF183" i="29"/>
  <c r="BF175" i="29"/>
  <c r="AV177" i="29"/>
  <c r="AY177" i="29" s="1"/>
  <c r="BA177" i="29" s="1"/>
  <c r="BF64" i="29"/>
  <c r="BF200" i="29"/>
  <c r="AW214" i="29"/>
  <c r="AY214" i="29" s="1"/>
  <c r="AZ214" i="29" s="1"/>
  <c r="BF79" i="29"/>
  <c r="BF141" i="29"/>
  <c r="AY38" i="29"/>
  <c r="AZ38" i="29" s="1"/>
  <c r="AY88" i="29"/>
  <c r="BA88" i="29" s="1"/>
  <c r="BF195" i="29"/>
  <c r="AY69" i="29"/>
  <c r="BH69" i="29" s="1"/>
  <c r="AW235" i="29"/>
  <c r="AY235" i="29" s="1"/>
  <c r="BH235" i="29" s="1"/>
  <c r="BF216" i="29"/>
  <c r="BF150" i="29"/>
  <c r="AW241" i="29"/>
  <c r="AY241" i="29" s="1"/>
  <c r="BH241" i="29" s="1"/>
  <c r="BF13" i="29"/>
  <c r="BF65" i="29"/>
  <c r="BF158" i="29"/>
  <c r="AW156" i="29"/>
  <c r="AY156" i="29" s="1"/>
  <c r="BA156" i="29" s="1"/>
  <c r="BF199" i="29"/>
  <c r="BF135" i="29"/>
  <c r="BF161" i="29"/>
  <c r="AW226" i="29"/>
  <c r="AY226" i="29" s="1"/>
  <c r="BA226" i="29" s="1"/>
  <c r="BF122" i="29"/>
  <c r="BF159" i="29"/>
  <c r="BF95" i="29"/>
  <c r="AW143" i="29"/>
  <c r="AY143" i="29" s="1"/>
  <c r="BA143" i="29" s="1"/>
  <c r="BF129" i="29"/>
  <c r="BF116" i="29"/>
  <c r="BF91" i="29"/>
  <c r="BF171" i="29"/>
  <c r="BF83" i="29"/>
  <c r="BF56" i="29"/>
  <c r="AY50" i="29"/>
  <c r="BH50" i="29" s="1"/>
  <c r="BF59" i="29"/>
  <c r="BF198" i="29"/>
  <c r="BF218" i="29"/>
  <c r="BF152" i="29"/>
  <c r="BF188" i="29"/>
  <c r="BF30" i="29"/>
  <c r="BF28" i="29"/>
  <c r="BF11" i="29"/>
  <c r="AV140" i="29"/>
  <c r="AW140" i="29"/>
  <c r="AW9" i="29"/>
  <c r="AV9" i="29"/>
  <c r="AW142" i="29"/>
  <c r="AV142" i="29"/>
  <c r="AV164" i="29"/>
  <c r="AW164" i="29"/>
  <c r="AW91" i="29"/>
  <c r="AV91" i="29"/>
  <c r="AV165" i="29"/>
  <c r="AW165" i="29"/>
  <c r="AV52" i="29"/>
  <c r="AW52" i="29"/>
  <c r="AV110" i="29"/>
  <c r="AW110" i="29"/>
  <c r="AV35" i="29"/>
  <c r="AW35" i="29"/>
  <c r="AV66" i="29"/>
  <c r="AW66" i="29"/>
  <c r="AV203" i="29"/>
  <c r="AW203" i="29"/>
  <c r="AW123" i="29"/>
  <c r="AV123" i="29"/>
  <c r="AV99" i="29"/>
  <c r="AW99" i="29"/>
  <c r="AV173" i="29"/>
  <c r="AW173" i="29"/>
  <c r="AV59" i="29"/>
  <c r="AW59" i="29"/>
  <c r="AW155" i="29"/>
  <c r="AV155" i="29"/>
  <c r="AV97" i="29"/>
  <c r="AW97" i="29"/>
  <c r="AV84" i="29"/>
  <c r="AW84" i="29"/>
  <c r="AV49" i="29"/>
  <c r="AW49" i="29"/>
  <c r="AV205" i="29"/>
  <c r="AW205" i="29"/>
  <c r="AV141" i="29"/>
  <c r="AW141" i="29"/>
  <c r="AV108" i="29"/>
  <c r="AW108" i="29"/>
  <c r="AW171" i="29"/>
  <c r="AV171" i="29"/>
  <c r="AV11" i="29"/>
  <c r="AW11" i="29"/>
  <c r="AV56" i="29"/>
  <c r="AW56" i="29"/>
  <c r="AV120" i="29"/>
  <c r="AW120" i="29"/>
  <c r="AV189" i="29"/>
  <c r="AW189" i="29"/>
  <c r="AV90" i="29"/>
  <c r="AW90" i="29"/>
  <c r="AW30" i="29"/>
  <c r="AV30" i="29"/>
  <c r="AV100" i="29"/>
  <c r="AW100" i="29"/>
  <c r="AV79" i="29"/>
  <c r="AW79" i="29"/>
  <c r="AV121" i="29"/>
  <c r="AW121" i="29"/>
  <c r="AW159" i="29"/>
  <c r="AV159" i="29"/>
  <c r="AV129" i="29"/>
  <c r="AW129" i="29"/>
  <c r="AV190" i="29"/>
  <c r="AW190" i="29"/>
  <c r="AV89" i="29"/>
  <c r="AW89" i="29"/>
  <c r="AW186" i="29"/>
  <c r="AV186" i="29"/>
  <c r="AV83" i="29"/>
  <c r="AW83" i="29"/>
  <c r="AV163" i="29"/>
  <c r="AW163" i="29"/>
  <c r="AW22" i="29"/>
  <c r="AV22" i="29"/>
  <c r="AV53" i="29"/>
  <c r="AW53" i="29"/>
  <c r="AV138" i="29"/>
  <c r="AW138" i="29"/>
  <c r="AV28" i="29"/>
  <c r="AW28" i="29"/>
  <c r="AV29" i="29"/>
  <c r="AW29" i="29"/>
  <c r="AV144" i="29"/>
  <c r="AW144" i="29"/>
  <c r="AW111" i="29"/>
  <c r="AV111" i="29"/>
  <c r="AV169" i="29"/>
  <c r="AW169" i="29"/>
  <c r="AV87" i="29"/>
  <c r="AW87" i="29"/>
  <c r="AV95" i="29"/>
  <c r="AW95" i="29"/>
  <c r="AV152" i="29"/>
  <c r="AW152" i="29"/>
  <c r="AV188" i="29"/>
  <c r="AW188" i="29"/>
  <c r="AW13" i="29"/>
  <c r="AV13" i="29"/>
  <c r="AV122" i="29"/>
  <c r="AW122" i="29"/>
  <c r="AV160" i="29"/>
  <c r="AW160" i="29"/>
  <c r="AW161" i="29"/>
  <c r="AV161" i="29"/>
  <c r="AV114" i="29"/>
  <c r="AW114" i="29"/>
  <c r="AW65" i="29"/>
  <c r="AV65" i="29"/>
  <c r="AV104" i="29"/>
  <c r="AW104" i="29"/>
  <c r="AV174" i="29"/>
  <c r="AW174" i="29"/>
  <c r="AW204" i="29"/>
  <c r="AV204" i="29"/>
  <c r="AV166" i="29"/>
  <c r="AW166" i="29"/>
  <c r="AV139" i="29"/>
  <c r="AW139" i="29"/>
  <c r="AV25" i="29"/>
  <c r="AW25" i="29"/>
  <c r="AV74" i="29"/>
  <c r="AW74" i="29"/>
  <c r="AW116" i="29"/>
  <c r="AV116" i="29"/>
  <c r="AV132" i="29"/>
  <c r="AW132" i="29"/>
  <c r="AW192" i="29"/>
  <c r="AV192" i="29"/>
  <c r="AW119" i="29"/>
  <c r="AV119" i="29"/>
  <c r="AV113" i="29"/>
  <c r="AW113" i="29"/>
  <c r="BF119" i="29"/>
  <c r="BF173" i="29"/>
  <c r="BF118" i="29"/>
  <c r="BF117" i="29"/>
  <c r="AU193" i="29"/>
  <c r="AU168" i="29"/>
  <c r="AU216" i="29"/>
  <c r="AU217" i="29"/>
  <c r="AU150" i="29"/>
  <c r="AU154" i="29"/>
  <c r="AU212" i="29"/>
  <c r="BF87" i="29"/>
  <c r="BF114" i="29"/>
  <c r="BF169" i="29"/>
  <c r="BF160" i="29"/>
  <c r="BF184" i="29"/>
  <c r="AW71" i="29"/>
  <c r="AY71" i="29" s="1"/>
  <c r="BA71" i="29" s="1"/>
  <c r="AW153" i="29"/>
  <c r="AY153" i="29" s="1"/>
  <c r="BH153" i="29" s="1"/>
  <c r="AW93" i="29"/>
  <c r="AY93" i="29" s="1"/>
  <c r="AZ93" i="29" s="1"/>
  <c r="AW146" i="29"/>
  <c r="AY146" i="29" s="1"/>
  <c r="AZ146" i="29" s="1"/>
  <c r="AW40" i="29"/>
  <c r="AY40" i="29" s="1"/>
  <c r="AZ40" i="29" s="1"/>
  <c r="AV170" i="29"/>
  <c r="AY170" i="29" s="1"/>
  <c r="BH170" i="29" s="1"/>
  <c r="AW42" i="29"/>
  <c r="AY42" i="29" s="1"/>
  <c r="BH42" i="29" s="1"/>
  <c r="AW213" i="29"/>
  <c r="AY213" i="29" s="1"/>
  <c r="AZ213" i="29" s="1"/>
  <c r="BG248" i="29"/>
  <c r="BU248" i="29" s="1"/>
  <c r="BJ248" i="29"/>
  <c r="BK248" i="29" s="1"/>
  <c r="BG259" i="29"/>
  <c r="BU259" i="29" s="1"/>
  <c r="BJ259" i="29"/>
  <c r="BK259" i="29" s="1"/>
  <c r="BG265" i="29"/>
  <c r="BU265" i="29" s="1"/>
  <c r="BJ265" i="29"/>
  <c r="BK265" i="29" s="1"/>
  <c r="BJ262" i="29"/>
  <c r="BK262" i="29" s="1"/>
  <c r="BG262" i="29"/>
  <c r="BJ258" i="29"/>
  <c r="BK258" i="29" s="1"/>
  <c r="BG258" i="29"/>
  <c r="BU258" i="29" s="1"/>
  <c r="BJ250" i="29"/>
  <c r="BK250" i="29" s="1"/>
  <c r="BG250" i="29"/>
  <c r="BU250" i="29" s="1"/>
  <c r="BG254" i="29"/>
  <c r="BU254" i="29" s="1"/>
  <c r="BJ254" i="29"/>
  <c r="BK254" i="29" s="1"/>
  <c r="BJ256" i="29"/>
  <c r="BK256" i="29" s="1"/>
  <c r="BG256" i="29"/>
  <c r="BU256" i="29" s="1"/>
  <c r="BJ257" i="29"/>
  <c r="BK257" i="29" s="1"/>
  <c r="BG257" i="29"/>
  <c r="BU257" i="29" s="1"/>
  <c r="BJ255" i="29"/>
  <c r="BK255" i="29" s="1"/>
  <c r="BG255" i="29"/>
  <c r="BU255" i="29" s="1"/>
  <c r="BJ249" i="29"/>
  <c r="BK249" i="29" s="1"/>
  <c r="BG249" i="29"/>
  <c r="BU249" i="29" s="1"/>
  <c r="BJ260" i="29"/>
  <c r="BK260" i="29" s="1"/>
  <c r="BG260" i="29"/>
  <c r="BU260" i="29" s="1"/>
  <c r="BG261" i="29"/>
  <c r="BU261" i="29" s="1"/>
  <c r="BJ261" i="29"/>
  <c r="BK261" i="29" s="1"/>
  <c r="BJ252" i="29"/>
  <c r="BK252" i="29" s="1"/>
  <c r="BG252" i="29"/>
  <c r="BU252" i="29" s="1"/>
  <c r="BG253" i="29"/>
  <c r="BU253" i="29" s="1"/>
  <c r="BJ253" i="29"/>
  <c r="BK253" i="29" s="1"/>
  <c r="BG98" i="29"/>
  <c r="BU98" i="29" s="1"/>
  <c r="BJ98" i="29"/>
  <c r="BK98" i="29" s="1"/>
  <c r="BG251" i="29"/>
  <c r="BU251" i="29" s="1"/>
  <c r="BJ251" i="29"/>
  <c r="BK251" i="29" s="1"/>
  <c r="BG264" i="29"/>
  <c r="BU264" i="29" s="1"/>
  <c r="BJ264" i="29"/>
  <c r="BK264" i="29" s="1"/>
  <c r="BM247" i="29"/>
  <c r="BN247" i="29"/>
  <c r="BG266" i="29"/>
  <c r="BU266" i="29" s="1"/>
  <c r="BJ266" i="29"/>
  <c r="BK266" i="29" s="1"/>
  <c r="BG263" i="29"/>
  <c r="BU263" i="29" s="1"/>
  <c r="BJ263" i="29"/>
  <c r="BK263" i="29" s="1"/>
  <c r="BG267" i="29"/>
  <c r="BU267" i="29" s="1"/>
  <c r="BJ267" i="29"/>
  <c r="BK267" i="29" s="1"/>
  <c r="BL247" i="29"/>
  <c r="BI247" i="29"/>
  <c r="AV126" i="29"/>
  <c r="AY126" i="29" s="1"/>
  <c r="BA126" i="29" s="1"/>
  <c r="AW12" i="29"/>
  <c r="AY12" i="29" s="1"/>
  <c r="AZ12" i="29" s="1"/>
  <c r="BA39" i="29"/>
  <c r="BG39" i="29" s="1"/>
  <c r="BU39" i="29" s="1"/>
  <c r="BH39" i="29"/>
  <c r="BJ39" i="29" s="1"/>
  <c r="BK39" i="29" s="1"/>
  <c r="AY80" i="29"/>
  <c r="AZ80" i="29" s="1"/>
  <c r="BA191" i="29"/>
  <c r="AY78" i="29"/>
  <c r="AZ78" i="29" s="1"/>
  <c r="AZ58" i="29"/>
  <c r="BG58" i="29" s="1"/>
  <c r="BU58" i="29" s="1"/>
  <c r="AZ191" i="29"/>
  <c r="BJ191" i="29" s="1"/>
  <c r="BK191" i="29" s="1"/>
  <c r="AY67" i="29"/>
  <c r="BH67" i="29" s="1"/>
  <c r="AY41" i="29"/>
  <c r="BH41" i="29" s="1"/>
  <c r="AY115" i="29"/>
  <c r="BA115" i="29" s="1"/>
  <c r="AY61" i="29"/>
  <c r="BA61" i="29" s="1"/>
  <c r="BH58" i="29"/>
  <c r="AY96" i="29"/>
  <c r="BA96" i="29" s="1"/>
  <c r="AV109" i="29"/>
  <c r="AW109" i="29"/>
  <c r="AW36" i="29"/>
  <c r="AV36" i="29"/>
  <c r="AV94" i="29"/>
  <c r="AW94" i="29"/>
  <c r="AV73" i="29"/>
  <c r="AW73" i="29"/>
  <c r="AV33" i="29"/>
  <c r="AW33" i="29"/>
  <c r="AW128" i="29"/>
  <c r="AV128" i="29"/>
  <c r="AV60" i="29"/>
  <c r="AW60" i="29"/>
  <c r="AV24" i="29"/>
  <c r="AW24" i="29"/>
  <c r="AV75" i="29"/>
  <c r="AW75" i="29"/>
  <c r="AV137" i="29"/>
  <c r="AW137" i="29"/>
  <c r="AV101" i="29"/>
  <c r="AW101" i="29"/>
  <c r="AV17" i="29"/>
  <c r="AW17" i="29"/>
  <c r="AV54" i="29"/>
  <c r="AW54" i="29"/>
  <c r="AV32" i="29"/>
  <c r="AW32" i="29"/>
  <c r="AV70" i="29"/>
  <c r="AW70" i="29"/>
  <c r="AV47" i="29"/>
  <c r="AW47" i="29"/>
  <c r="AV43" i="29"/>
  <c r="AW43" i="29"/>
  <c r="AV81" i="29"/>
  <c r="AW81" i="29"/>
  <c r="AV131" i="29"/>
  <c r="AW131" i="29"/>
  <c r="AW76" i="29"/>
  <c r="AV76" i="29"/>
  <c r="AV127" i="29"/>
  <c r="AW127" i="29"/>
  <c r="AV34" i="29"/>
  <c r="AW34" i="29"/>
  <c r="AV55" i="29"/>
  <c r="AW55" i="29"/>
  <c r="AV82" i="29"/>
  <c r="AW82" i="29"/>
  <c r="AV124" i="29"/>
  <c r="AW124" i="29"/>
  <c r="AV23" i="29"/>
  <c r="AW23" i="29"/>
  <c r="AV14" i="29"/>
  <c r="AW14" i="29"/>
  <c r="AV48" i="29"/>
  <c r="AW48" i="29"/>
  <c r="AV133" i="29"/>
  <c r="AW133" i="29"/>
  <c r="AW172" i="29"/>
  <c r="AV172" i="29"/>
  <c r="AV145" i="29"/>
  <c r="AW145" i="29"/>
  <c r="AV68" i="29"/>
  <c r="AW68" i="29"/>
  <c r="AV21" i="29"/>
  <c r="AW21" i="29"/>
  <c r="AW18" i="29"/>
  <c r="AV18" i="29"/>
  <c r="AV167" i="29"/>
  <c r="AW167" i="29"/>
  <c r="AV31" i="29"/>
  <c r="AW31" i="29"/>
  <c r="AV27" i="29"/>
  <c r="AW27" i="29"/>
  <c r="AV105" i="29"/>
  <c r="AW105" i="29"/>
  <c r="AV19" i="29"/>
  <c r="AW19" i="29"/>
  <c r="AV15" i="29"/>
  <c r="AW15" i="29"/>
  <c r="AV103" i="29"/>
  <c r="AW103" i="29"/>
  <c r="AV37" i="29"/>
  <c r="AW37" i="29"/>
  <c r="AV45" i="29"/>
  <c r="AW45" i="29"/>
  <c r="AV26" i="29"/>
  <c r="AW26" i="29"/>
  <c r="AV107" i="29"/>
  <c r="AW107" i="29"/>
  <c r="AV112" i="29"/>
  <c r="AW112" i="29"/>
  <c r="AW16" i="29"/>
  <c r="AV16" i="29"/>
  <c r="AW44" i="29"/>
  <c r="AV44" i="29"/>
  <c r="AV102" i="29"/>
  <c r="AW102" i="29"/>
  <c r="AW130" i="29"/>
  <c r="AV130" i="29"/>
  <c r="AV20" i="29"/>
  <c r="AW20" i="29"/>
  <c r="AV62" i="29"/>
  <c r="AW62" i="29"/>
  <c r="AV215" i="29"/>
  <c r="AY215" i="29" s="1"/>
  <c r="BH215" i="29" s="1"/>
  <c r="BH228" i="29"/>
  <c r="BJ228" i="29" s="1"/>
  <c r="BK228" i="29" s="1"/>
  <c r="BM228" i="29" s="1"/>
  <c r="BA228" i="29"/>
  <c r="BG228" i="29" s="1"/>
  <c r="BU228" i="29" s="1"/>
  <c r="BH227" i="29"/>
  <c r="AY196" i="29"/>
  <c r="AZ196" i="29" s="1"/>
  <c r="AZ227" i="29"/>
  <c r="BG227" i="29" s="1"/>
  <c r="BU227" i="29" s="1"/>
  <c r="BI262" i="29" l="1"/>
  <c r="BU262" i="29"/>
  <c r="BI267" i="29"/>
  <c r="BI264" i="29"/>
  <c r="BI263" i="29"/>
  <c r="BI266" i="29"/>
  <c r="BI265" i="29"/>
  <c r="BH239" i="29"/>
  <c r="AZ239" i="29"/>
  <c r="BR262" i="29"/>
  <c r="BR98" i="29"/>
  <c r="BR58" i="29"/>
  <c r="BR249" i="29"/>
  <c r="BR253" i="29"/>
  <c r="BR252" i="29"/>
  <c r="BR250" i="29"/>
  <c r="BR39" i="29"/>
  <c r="BR251" i="29"/>
  <c r="BR227" i="29"/>
  <c r="BR228" i="29"/>
  <c r="BR248" i="29"/>
  <c r="AV64" i="29"/>
  <c r="AY64" i="29" s="1"/>
  <c r="BH64" i="29" s="1"/>
  <c r="AW117" i="29"/>
  <c r="AY117" i="29" s="1"/>
  <c r="BH117" i="29" s="1"/>
  <c r="AV10" i="29"/>
  <c r="BA220" i="29"/>
  <c r="BG220" i="29" s="1"/>
  <c r="BU220" i="29" s="1"/>
  <c r="BH220" i="29"/>
  <c r="BJ220" i="29" s="1"/>
  <c r="BK220" i="29" s="1"/>
  <c r="BM220" i="29" s="1"/>
  <c r="AV199" i="29"/>
  <c r="AY199" i="29" s="1"/>
  <c r="BH221" i="29"/>
  <c r="BJ221" i="29" s="1"/>
  <c r="BK221" i="29" s="1"/>
  <c r="BN221" i="29" s="1"/>
  <c r="BH234" i="29"/>
  <c r="BJ234" i="29" s="1"/>
  <c r="BK234" i="29" s="1"/>
  <c r="BM234" i="29" s="1"/>
  <c r="AW211" i="29"/>
  <c r="AY211" i="29" s="1"/>
  <c r="BA234" i="29"/>
  <c r="BG234" i="29" s="1"/>
  <c r="BU234" i="29" s="1"/>
  <c r="AW206" i="29"/>
  <c r="AY206" i="29" s="1"/>
  <c r="BA231" i="29"/>
  <c r="BG231" i="29" s="1"/>
  <c r="BU231" i="29" s="1"/>
  <c r="BH231" i="29"/>
  <c r="BJ231" i="29" s="1"/>
  <c r="BK231" i="29" s="1"/>
  <c r="BN231" i="29" s="1"/>
  <c r="BH243" i="29"/>
  <c r="BJ243" i="29" s="1"/>
  <c r="BK243" i="29" s="1"/>
  <c r="AV176" i="29"/>
  <c r="AY176" i="29" s="1"/>
  <c r="BA176" i="29" s="1"/>
  <c r="AV158" i="29"/>
  <c r="AY158" i="29" s="1"/>
  <c r="BH158" i="29" s="1"/>
  <c r="AW10" i="29"/>
  <c r="BA221" i="29"/>
  <c r="BG221" i="29" s="1"/>
  <c r="BU221" i="29" s="1"/>
  <c r="AZ222" i="29"/>
  <c r="BG222" i="29" s="1"/>
  <c r="BU222" i="29" s="1"/>
  <c r="AW175" i="29"/>
  <c r="AY175" i="29" s="1"/>
  <c r="BH175" i="29" s="1"/>
  <c r="AW151" i="29"/>
  <c r="AY151" i="29" s="1"/>
  <c r="BH151" i="29" s="1"/>
  <c r="AV219" i="29"/>
  <c r="AY219" i="29" s="1"/>
  <c r="BH222" i="29"/>
  <c r="AW157" i="29"/>
  <c r="AY157" i="29" s="1"/>
  <c r="AZ157" i="29" s="1"/>
  <c r="BA243" i="29"/>
  <c r="BG243" i="29" s="1"/>
  <c r="BU243" i="29" s="1"/>
  <c r="AW63" i="29"/>
  <c r="AY63" i="29" s="1"/>
  <c r="BH63" i="29" s="1"/>
  <c r="AW178" i="29"/>
  <c r="AY178" i="29" s="1"/>
  <c r="BA178" i="29" s="1"/>
  <c r="AW202" i="29"/>
  <c r="AY202" i="29" s="1"/>
  <c r="AW208" i="29"/>
  <c r="AY208" i="29" s="1"/>
  <c r="AW201" i="29"/>
  <c r="AY201" i="29" s="1"/>
  <c r="AW181" i="29"/>
  <c r="AY181" i="29" s="1"/>
  <c r="AZ181" i="29" s="1"/>
  <c r="AW147" i="29"/>
  <c r="AY147" i="29" s="1"/>
  <c r="BH147" i="29" s="1"/>
  <c r="AW183" i="29"/>
  <c r="AY183" i="29" s="1"/>
  <c r="BA183" i="29" s="1"/>
  <c r="AV198" i="29"/>
  <c r="AY198" i="29" s="1"/>
  <c r="BA198" i="29" s="1"/>
  <c r="AV200" i="29"/>
  <c r="AY200" i="29" s="1"/>
  <c r="BA200" i="29" s="1"/>
  <c r="AW197" i="29"/>
  <c r="AY197" i="29" s="1"/>
  <c r="AW118" i="29"/>
  <c r="AY118" i="29" s="1"/>
  <c r="BA118" i="29" s="1"/>
  <c r="AW185" i="29"/>
  <c r="AY185" i="29" s="1"/>
  <c r="BA185" i="29" s="1"/>
  <c r="AW195" i="29"/>
  <c r="AY195" i="29" s="1"/>
  <c r="AW218" i="29"/>
  <c r="AY218" i="29" s="1"/>
  <c r="AZ218" i="29" s="1"/>
  <c r="AW85" i="29"/>
  <c r="AY85" i="29" s="1"/>
  <c r="BA85" i="29" s="1"/>
  <c r="AV180" i="29"/>
  <c r="AY180" i="29" s="1"/>
  <c r="BA180" i="29" s="1"/>
  <c r="AW149" i="29"/>
  <c r="AY149" i="29" s="1"/>
  <c r="BA149" i="29" s="1"/>
  <c r="AV135" i="29"/>
  <c r="AY135" i="29" s="1"/>
  <c r="BA135" i="29" s="1"/>
  <c r="AW182" i="29"/>
  <c r="AY182" i="29" s="1"/>
  <c r="BA182" i="29" s="1"/>
  <c r="AW184" i="29"/>
  <c r="AY184" i="29" s="1"/>
  <c r="BH184" i="29" s="1"/>
  <c r="BH245" i="29"/>
  <c r="BJ245" i="29" s="1"/>
  <c r="BK245" i="29" s="1"/>
  <c r="BM245" i="29" s="1"/>
  <c r="BA245" i="29"/>
  <c r="BG245" i="29" s="1"/>
  <c r="BU245" i="29" s="1"/>
  <c r="AV148" i="29"/>
  <c r="AY148" i="29" s="1"/>
  <c r="BA148" i="29" s="1"/>
  <c r="BH229" i="29"/>
  <c r="AW77" i="29"/>
  <c r="AY77" i="29" s="1"/>
  <c r="BA77" i="29" s="1"/>
  <c r="AW210" i="29"/>
  <c r="AY210" i="29" s="1"/>
  <c r="AZ229" i="29"/>
  <c r="BG229" i="29" s="1"/>
  <c r="BU229" i="29" s="1"/>
  <c r="AW179" i="29"/>
  <c r="AY179" i="29" s="1"/>
  <c r="BA179" i="29" s="1"/>
  <c r="AW136" i="29"/>
  <c r="AY136" i="29" s="1"/>
  <c r="AZ136" i="29" s="1"/>
  <c r="AZ92" i="29"/>
  <c r="BG92" i="29" s="1"/>
  <c r="BU92" i="29" s="1"/>
  <c r="BH92" i="29"/>
  <c r="BR264" i="29"/>
  <c r="BR257" i="29"/>
  <c r="BR260" i="29"/>
  <c r="BR258" i="29"/>
  <c r="BR254" i="29"/>
  <c r="BR267" i="29"/>
  <c r="BR263" i="29"/>
  <c r="BR261" i="29"/>
  <c r="BR256" i="29"/>
  <c r="BR265" i="29"/>
  <c r="BR266" i="29"/>
  <c r="BR259" i="29"/>
  <c r="BR255" i="29"/>
  <c r="BH72" i="29"/>
  <c r="BA209" i="29"/>
  <c r="BG209" i="29" s="1"/>
  <c r="BU209" i="29" s="1"/>
  <c r="BH209" i="29"/>
  <c r="BJ209" i="29" s="1"/>
  <c r="BK209" i="29" s="1"/>
  <c r="BN209" i="29" s="1"/>
  <c r="BA46" i="29"/>
  <c r="BG46" i="29" s="1"/>
  <c r="BU46" i="29" s="1"/>
  <c r="BH46" i="29"/>
  <c r="BJ46" i="29" s="1"/>
  <c r="BK46" i="29" s="1"/>
  <c r="BN46" i="29" s="1"/>
  <c r="BH207" i="29"/>
  <c r="BJ207" i="29" s="1"/>
  <c r="BK207" i="29" s="1"/>
  <c r="BN207" i="29" s="1"/>
  <c r="BH214" i="29"/>
  <c r="BJ214" i="29" s="1"/>
  <c r="BK214" i="29" s="1"/>
  <c r="BN214" i="29" s="1"/>
  <c r="AZ72" i="29"/>
  <c r="BG72" i="29" s="1"/>
  <c r="BU72" i="29" s="1"/>
  <c r="BH223" i="29"/>
  <c r="BJ223" i="29" s="1"/>
  <c r="BK223" i="29" s="1"/>
  <c r="BM223" i="29" s="1"/>
  <c r="BH233" i="29"/>
  <c r="AZ233" i="29"/>
  <c r="BG233" i="29" s="1"/>
  <c r="BU233" i="29" s="1"/>
  <c r="BA207" i="29"/>
  <c r="BG207" i="29" s="1"/>
  <c r="BU207" i="29" s="1"/>
  <c r="BH187" i="29"/>
  <c r="BJ187" i="29" s="1"/>
  <c r="BK187" i="29" s="1"/>
  <c r="BM187" i="29" s="1"/>
  <c r="BA223" i="29"/>
  <c r="BG223" i="29" s="1"/>
  <c r="BU223" i="29" s="1"/>
  <c r="AZ125" i="29"/>
  <c r="BG125" i="29" s="1"/>
  <c r="BU125" i="29" s="1"/>
  <c r="BH125" i="29"/>
  <c r="BA187" i="29"/>
  <c r="BG187" i="29" s="1"/>
  <c r="BU187" i="29" s="1"/>
  <c r="BA214" i="29"/>
  <c r="BG214" i="29" s="1"/>
  <c r="BU214" i="29" s="1"/>
  <c r="BA69" i="29"/>
  <c r="AZ69" i="29"/>
  <c r="BJ69" i="29" s="1"/>
  <c r="BK69" i="29" s="1"/>
  <c r="BM69" i="29" s="1"/>
  <c r="AZ88" i="29"/>
  <c r="BG88" i="29" s="1"/>
  <c r="BU88" i="29" s="1"/>
  <c r="BH88" i="29"/>
  <c r="BH38" i="29"/>
  <c r="BJ38" i="29" s="1"/>
  <c r="BK38" i="29" s="1"/>
  <c r="BN38" i="29" s="1"/>
  <c r="BA38" i="29"/>
  <c r="BG38" i="29" s="1"/>
  <c r="BU38" i="29" s="1"/>
  <c r="AY28" i="29"/>
  <c r="BH28" i="29" s="1"/>
  <c r="AY190" i="29"/>
  <c r="AZ190" i="29" s="1"/>
  <c r="AY160" i="29"/>
  <c r="BH160" i="29" s="1"/>
  <c r="AY159" i="29"/>
  <c r="AZ159" i="29" s="1"/>
  <c r="AY164" i="29"/>
  <c r="BA164" i="29" s="1"/>
  <c r="AY189" i="29"/>
  <c r="BA189" i="29" s="1"/>
  <c r="AY141" i="29"/>
  <c r="BH141" i="29" s="1"/>
  <c r="AY171" i="29"/>
  <c r="AZ171" i="29" s="1"/>
  <c r="AY155" i="29"/>
  <c r="AZ155" i="29" s="1"/>
  <c r="AY139" i="29"/>
  <c r="BA139" i="29" s="1"/>
  <c r="AY87" i="29"/>
  <c r="BA87" i="29" s="1"/>
  <c r="BA213" i="29"/>
  <c r="BG213" i="29" s="1"/>
  <c r="BU213" i="29" s="1"/>
  <c r="AY174" i="29"/>
  <c r="AY192" i="29"/>
  <c r="BA192" i="29" s="1"/>
  <c r="AY188" i="29"/>
  <c r="BH188" i="29" s="1"/>
  <c r="AY132" i="29"/>
  <c r="AZ132" i="29" s="1"/>
  <c r="AY152" i="29"/>
  <c r="BA152" i="29" s="1"/>
  <c r="AY169" i="29"/>
  <c r="BH169" i="29" s="1"/>
  <c r="AY121" i="29"/>
  <c r="BA121" i="29" s="1"/>
  <c r="AY104" i="29"/>
  <c r="AZ104" i="29" s="1"/>
  <c r="AY138" i="29"/>
  <c r="AZ138" i="29" s="1"/>
  <c r="AY108" i="29"/>
  <c r="AZ108" i="29" s="1"/>
  <c r="AY35" i="29"/>
  <c r="BA35" i="29" s="1"/>
  <c r="AY165" i="29"/>
  <c r="BH165" i="29" s="1"/>
  <c r="AY95" i="29"/>
  <c r="AZ95" i="29" s="1"/>
  <c r="AY49" i="29"/>
  <c r="BH49" i="29" s="1"/>
  <c r="AY140" i="29"/>
  <c r="BH140" i="29" s="1"/>
  <c r="AY173" i="29"/>
  <c r="BA173" i="29" s="1"/>
  <c r="AZ241" i="29"/>
  <c r="BJ241" i="29" s="1"/>
  <c r="BK241" i="29" s="1"/>
  <c r="BM241" i="29" s="1"/>
  <c r="AY52" i="29"/>
  <c r="BA52" i="29" s="1"/>
  <c r="BA241" i="29"/>
  <c r="AY113" i="29"/>
  <c r="BA113" i="29" s="1"/>
  <c r="AY74" i="29"/>
  <c r="BH74" i="29" s="1"/>
  <c r="AY111" i="29"/>
  <c r="BH111" i="29" s="1"/>
  <c r="AY129" i="29"/>
  <c r="BH129" i="29" s="1"/>
  <c r="AY9" i="29"/>
  <c r="BA9" i="29" s="1"/>
  <c r="AY83" i="29"/>
  <c r="BH83" i="29" s="1"/>
  <c r="AY84" i="29"/>
  <c r="BH84" i="29" s="1"/>
  <c r="AY120" i="29"/>
  <c r="AZ120" i="29" s="1"/>
  <c r="AY89" i="29"/>
  <c r="AZ89" i="29" s="1"/>
  <c r="AY59" i="29"/>
  <c r="BA59" i="29" s="1"/>
  <c r="AY53" i="29"/>
  <c r="BA53" i="29" s="1"/>
  <c r="AZ50" i="29"/>
  <c r="BJ50" i="29" s="1"/>
  <c r="BK50" i="29" s="1"/>
  <c r="BM50" i="29" s="1"/>
  <c r="BA50" i="29"/>
  <c r="AY13" i="29"/>
  <c r="BA13" i="29" s="1"/>
  <c r="AY204" i="29"/>
  <c r="BA204" i="29" s="1"/>
  <c r="AY29" i="29"/>
  <c r="BA29" i="29" s="1"/>
  <c r="AY11" i="29"/>
  <c r="AZ11" i="29" s="1"/>
  <c r="AY114" i="29"/>
  <c r="BH114" i="29" s="1"/>
  <c r="AY122" i="29"/>
  <c r="BH122" i="29" s="1"/>
  <c r="AY100" i="29"/>
  <c r="BA100" i="29" s="1"/>
  <c r="AY123" i="29"/>
  <c r="BH123" i="29" s="1"/>
  <c r="AY161" i="29"/>
  <c r="BA161" i="29" s="1"/>
  <c r="AY22" i="29"/>
  <c r="AZ22" i="29" s="1"/>
  <c r="AY30" i="29"/>
  <c r="AZ30" i="29" s="1"/>
  <c r="AY119" i="29"/>
  <c r="AZ119" i="29" s="1"/>
  <c r="AY116" i="29"/>
  <c r="AZ116" i="29" s="1"/>
  <c r="AY25" i="29"/>
  <c r="AZ25" i="29" s="1"/>
  <c r="AY166" i="29"/>
  <c r="BH166" i="29" s="1"/>
  <c r="AY65" i="29"/>
  <c r="AZ65" i="29" s="1"/>
  <c r="AY144" i="29"/>
  <c r="AZ144" i="29" s="1"/>
  <c r="AY163" i="29"/>
  <c r="BA163" i="29" s="1"/>
  <c r="AY186" i="29"/>
  <c r="AZ186" i="29" s="1"/>
  <c r="AY79" i="29"/>
  <c r="BA79" i="29" s="1"/>
  <c r="AY90" i="29"/>
  <c r="BH90" i="29" s="1"/>
  <c r="AY56" i="29"/>
  <c r="BH56" i="29" s="1"/>
  <c r="AY97" i="29"/>
  <c r="BH97" i="29" s="1"/>
  <c r="AY203" i="29"/>
  <c r="AY66" i="29"/>
  <c r="BA66" i="29" s="1"/>
  <c r="AY110" i="29"/>
  <c r="AZ110" i="29" s="1"/>
  <c r="AY91" i="29"/>
  <c r="BH91" i="29" s="1"/>
  <c r="AY142" i="29"/>
  <c r="AZ142" i="29" s="1"/>
  <c r="AW154" i="29"/>
  <c r="AV154" i="29"/>
  <c r="AV150" i="29"/>
  <c r="AW150" i="29"/>
  <c r="AW217" i="29"/>
  <c r="AV217" i="29"/>
  <c r="AY99" i="29"/>
  <c r="AW216" i="29"/>
  <c r="AV216" i="29"/>
  <c r="AV168" i="29"/>
  <c r="AW168" i="29"/>
  <c r="AY205" i="29"/>
  <c r="AW193" i="29"/>
  <c r="AV193" i="29"/>
  <c r="AV212" i="29"/>
  <c r="AW212" i="29"/>
  <c r="BL227" i="29"/>
  <c r="BL39" i="29"/>
  <c r="BL228" i="29"/>
  <c r="BM261" i="29"/>
  <c r="BH213" i="29"/>
  <c r="BJ213" i="29" s="1"/>
  <c r="BK213" i="29" s="1"/>
  <c r="BN213" i="29" s="1"/>
  <c r="BM263" i="29"/>
  <c r="BN263" i="29"/>
  <c r="BL263" i="29"/>
  <c r="BI98" i="29"/>
  <c r="BL98" i="29"/>
  <c r="BL261" i="29"/>
  <c r="BI261" i="29"/>
  <c r="BN257" i="29"/>
  <c r="BM257" i="29"/>
  <c r="BM250" i="29"/>
  <c r="BN250" i="29"/>
  <c r="BL260" i="29"/>
  <c r="BI260" i="29"/>
  <c r="BL256" i="29"/>
  <c r="BI256" i="29"/>
  <c r="BM265" i="29"/>
  <c r="BN265" i="29"/>
  <c r="BN98" i="29"/>
  <c r="BM98" i="29"/>
  <c r="BN261" i="29"/>
  <c r="BM260" i="29"/>
  <c r="BN260" i="29"/>
  <c r="BM256" i="29"/>
  <c r="BN256" i="29"/>
  <c r="BL265" i="29"/>
  <c r="BL257" i="29"/>
  <c r="BI257" i="29"/>
  <c r="BN266" i="29"/>
  <c r="BM266" i="29"/>
  <c r="BM264" i="29"/>
  <c r="BN264" i="29"/>
  <c r="BI252" i="29"/>
  <c r="BL252" i="29"/>
  <c r="BL249" i="29"/>
  <c r="BI249" i="29"/>
  <c r="BN254" i="29"/>
  <c r="BM254" i="29"/>
  <c r="BI258" i="29"/>
  <c r="BL258" i="29"/>
  <c r="BN259" i="29"/>
  <c r="BM259" i="29"/>
  <c r="BL250" i="29"/>
  <c r="BI250" i="29"/>
  <c r="BL266" i="29"/>
  <c r="BL264" i="29"/>
  <c r="BN252" i="29"/>
  <c r="BM252" i="29"/>
  <c r="BM249" i="29"/>
  <c r="BN249" i="29"/>
  <c r="BI254" i="29"/>
  <c r="BL254" i="29"/>
  <c r="BN258" i="29"/>
  <c r="BM258" i="29"/>
  <c r="BL259" i="29"/>
  <c r="BI259" i="29"/>
  <c r="BN267" i="29"/>
  <c r="BM267" i="29"/>
  <c r="BN251" i="29"/>
  <c r="BM251" i="29"/>
  <c r="BM253" i="29"/>
  <c r="BN253" i="29"/>
  <c r="BI255" i="29"/>
  <c r="BL255" i="29"/>
  <c r="BL262" i="29"/>
  <c r="BM248" i="29"/>
  <c r="BN248" i="29"/>
  <c r="BL267" i="29"/>
  <c r="BI251" i="29"/>
  <c r="BL251" i="29"/>
  <c r="BL253" i="29"/>
  <c r="BI253" i="29"/>
  <c r="BN255" i="29"/>
  <c r="BM255" i="29"/>
  <c r="BN262" i="29"/>
  <c r="BM262" i="29"/>
  <c r="BI248" i="29"/>
  <c r="BL248" i="29"/>
  <c r="BH71" i="29"/>
  <c r="BA42" i="29"/>
  <c r="AZ42" i="29"/>
  <c r="BJ42" i="29" s="1"/>
  <c r="BK42" i="29" s="1"/>
  <c r="BA57" i="29"/>
  <c r="AZ57" i="29"/>
  <c r="AZ71" i="29"/>
  <c r="BA146" i="29"/>
  <c r="BG146" i="29" s="1"/>
  <c r="BU146" i="29" s="1"/>
  <c r="AZ177" i="29"/>
  <c r="BG177" i="29" s="1"/>
  <c r="BU177" i="29" s="1"/>
  <c r="AZ67" i="29"/>
  <c r="BJ67" i="29" s="1"/>
  <c r="BK67" i="29" s="1"/>
  <c r="BJ58" i="29"/>
  <c r="BK58" i="29" s="1"/>
  <c r="BM58" i="29" s="1"/>
  <c r="BI39" i="29"/>
  <c r="BA51" i="29"/>
  <c r="BH80" i="29"/>
  <c r="BJ80" i="29" s="1"/>
  <c r="BK80" i="29" s="1"/>
  <c r="BH162" i="29"/>
  <c r="BJ162" i="29" s="1"/>
  <c r="BK162" i="29" s="1"/>
  <c r="AZ156" i="29"/>
  <c r="BG156" i="29" s="1"/>
  <c r="BU156" i="29" s="1"/>
  <c r="BH156" i="29"/>
  <c r="BH86" i="29"/>
  <c r="BJ86" i="29" s="1"/>
  <c r="BK86" i="29" s="1"/>
  <c r="BA86" i="29"/>
  <c r="BG86" i="29" s="1"/>
  <c r="BU86" i="29" s="1"/>
  <c r="BH12" i="29"/>
  <c r="BJ12" i="29" s="1"/>
  <c r="BK12" i="29" s="1"/>
  <c r="AY133" i="29"/>
  <c r="BA133" i="29" s="1"/>
  <c r="AZ115" i="29"/>
  <c r="BG115" i="29" s="1"/>
  <c r="BU115" i="29" s="1"/>
  <c r="BN39" i="29"/>
  <c r="BM39" i="29"/>
  <c r="BM191" i="29"/>
  <c r="BN191" i="29"/>
  <c r="BH40" i="29"/>
  <c r="BJ40" i="29" s="1"/>
  <c r="BK40" i="29" s="1"/>
  <c r="AZ51" i="29"/>
  <c r="AY32" i="29"/>
  <c r="BH32" i="29" s="1"/>
  <c r="BA80" i="29"/>
  <c r="BG80" i="29" s="1"/>
  <c r="BU80" i="29" s="1"/>
  <c r="AY48" i="29"/>
  <c r="BA48" i="29" s="1"/>
  <c r="AZ41" i="29"/>
  <c r="BJ41" i="29" s="1"/>
  <c r="BK41" i="29" s="1"/>
  <c r="BH115" i="29"/>
  <c r="BH177" i="29"/>
  <c r="BA134" i="29"/>
  <c r="AZ134" i="29"/>
  <c r="AY36" i="29"/>
  <c r="AZ36" i="29" s="1"/>
  <c r="BA67" i="29"/>
  <c r="BA162" i="29"/>
  <c r="BG162" i="29" s="1"/>
  <c r="BU162" i="29" s="1"/>
  <c r="BG191" i="29"/>
  <c r="BU191" i="29" s="1"/>
  <c r="BI58" i="29"/>
  <c r="BL58" i="29"/>
  <c r="AY112" i="29"/>
  <c r="AZ112" i="29" s="1"/>
  <c r="AY43" i="29"/>
  <c r="BH43" i="29" s="1"/>
  <c r="BA153" i="29"/>
  <c r="AY109" i="29"/>
  <c r="BH109" i="29" s="1"/>
  <c r="AY62" i="29"/>
  <c r="BH62" i="29" s="1"/>
  <c r="AY15" i="29"/>
  <c r="BH15" i="29" s="1"/>
  <c r="AY105" i="29"/>
  <c r="BH105" i="29" s="1"/>
  <c r="AY75" i="29"/>
  <c r="BA75" i="29" s="1"/>
  <c r="AZ153" i="29"/>
  <c r="AZ143" i="29"/>
  <c r="BG143" i="29" s="1"/>
  <c r="BU143" i="29" s="1"/>
  <c r="BA12" i="29"/>
  <c r="BG12" i="29" s="1"/>
  <c r="BU12" i="29" s="1"/>
  <c r="BH143" i="29"/>
  <c r="AY19" i="29"/>
  <c r="BA19" i="29" s="1"/>
  <c r="BH93" i="29"/>
  <c r="BJ93" i="29" s="1"/>
  <c r="BK93" i="29" s="1"/>
  <c r="AY33" i="29"/>
  <c r="BA33" i="29" s="1"/>
  <c r="BH78" i="29"/>
  <c r="BJ78" i="29" s="1"/>
  <c r="BK78" i="29" s="1"/>
  <c r="AZ126" i="29"/>
  <c r="BG126" i="29" s="1"/>
  <c r="BU126" i="29" s="1"/>
  <c r="AY34" i="29"/>
  <c r="BH34" i="29" s="1"/>
  <c r="AY24" i="29"/>
  <c r="AZ24" i="29" s="1"/>
  <c r="BH126" i="29"/>
  <c r="BH146" i="29"/>
  <c r="BJ146" i="29" s="1"/>
  <c r="BK146" i="29" s="1"/>
  <c r="AY45" i="29"/>
  <c r="AY76" i="29"/>
  <c r="BH76" i="29" s="1"/>
  <c r="AY102" i="29"/>
  <c r="AZ102" i="29" s="1"/>
  <c r="AY14" i="29"/>
  <c r="BH14" i="29" s="1"/>
  <c r="AY55" i="29"/>
  <c r="AY101" i="29"/>
  <c r="AZ101" i="29" s="1"/>
  <c r="AY73" i="29"/>
  <c r="BA78" i="29"/>
  <c r="BG78" i="29" s="1"/>
  <c r="BU78" i="29" s="1"/>
  <c r="AZ96" i="29"/>
  <c r="BG96" i="29" s="1"/>
  <c r="BU96" i="29" s="1"/>
  <c r="BA40" i="29"/>
  <c r="BG40" i="29" s="1"/>
  <c r="BU40" i="29" s="1"/>
  <c r="BA93" i="29"/>
  <c r="BG93" i="29" s="1"/>
  <c r="BU93" i="29" s="1"/>
  <c r="BH96" i="29"/>
  <c r="AY20" i="29"/>
  <c r="BH20" i="29" s="1"/>
  <c r="AY16" i="29"/>
  <c r="AY26" i="29"/>
  <c r="BA26" i="29" s="1"/>
  <c r="AY68" i="29"/>
  <c r="BA68" i="29" s="1"/>
  <c r="AY124" i="29"/>
  <c r="BA124" i="29" s="1"/>
  <c r="AY127" i="29"/>
  <c r="BA127" i="29" s="1"/>
  <c r="AY81" i="29"/>
  <c r="BH81" i="29" s="1"/>
  <c r="AY54" i="29"/>
  <c r="BH54" i="29" s="1"/>
  <c r="AY128" i="29"/>
  <c r="BH128" i="29" s="1"/>
  <c r="AY131" i="29"/>
  <c r="AZ131" i="29" s="1"/>
  <c r="BA41" i="29"/>
  <c r="AY130" i="29"/>
  <c r="BH130" i="29" s="1"/>
  <c r="AY18" i="29"/>
  <c r="BA18" i="29" s="1"/>
  <c r="AY21" i="29"/>
  <c r="BH21" i="29" s="1"/>
  <c r="AY47" i="29"/>
  <c r="AZ47" i="29" s="1"/>
  <c r="AY137" i="29"/>
  <c r="AZ137" i="29" s="1"/>
  <c r="AY60" i="29"/>
  <c r="AZ60" i="29" s="1"/>
  <c r="AY94" i="29"/>
  <c r="AZ94" i="29" s="1"/>
  <c r="AZ61" i="29"/>
  <c r="BG61" i="29" s="1"/>
  <c r="BU61" i="29" s="1"/>
  <c r="BA170" i="29"/>
  <c r="AY27" i="29"/>
  <c r="AY70" i="29"/>
  <c r="BH70" i="29" s="1"/>
  <c r="AZ170" i="29"/>
  <c r="BJ170" i="29" s="1"/>
  <c r="BK170" i="29" s="1"/>
  <c r="AY82" i="29"/>
  <c r="BH82" i="29" s="1"/>
  <c r="BH61" i="29"/>
  <c r="AY37" i="29"/>
  <c r="AZ37" i="29" s="1"/>
  <c r="BA106" i="29"/>
  <c r="AY44" i="29"/>
  <c r="AZ44" i="29" s="1"/>
  <c r="AY107" i="29"/>
  <c r="BH107" i="29" s="1"/>
  <c r="AY103" i="29"/>
  <c r="BH103" i="29" s="1"/>
  <c r="AY31" i="29"/>
  <c r="BH31" i="29" s="1"/>
  <c r="AY145" i="29"/>
  <c r="AZ145" i="29" s="1"/>
  <c r="AY172" i="29"/>
  <c r="AZ172" i="29" s="1"/>
  <c r="AY23" i="29"/>
  <c r="BH23" i="29" s="1"/>
  <c r="AY17" i="29"/>
  <c r="AZ17" i="29" s="1"/>
  <c r="AZ106" i="29"/>
  <c r="AY167" i="29"/>
  <c r="BA167" i="29" s="1"/>
  <c r="BA196" i="29"/>
  <c r="BG196" i="29" s="1"/>
  <c r="BU196" i="29" s="1"/>
  <c r="AZ224" i="29"/>
  <c r="BJ224" i="29" s="1"/>
  <c r="BK224" i="29" s="1"/>
  <c r="AZ215" i="29"/>
  <c r="BJ215" i="29" s="1"/>
  <c r="BK215" i="29" s="1"/>
  <c r="AZ230" i="29"/>
  <c r="BG230" i="29" s="1"/>
  <c r="BU230" i="29" s="1"/>
  <c r="BA215" i="29"/>
  <c r="AZ242" i="29"/>
  <c r="BJ242" i="29" s="1"/>
  <c r="BK242" i="29" s="1"/>
  <c r="BM242" i="29" s="1"/>
  <c r="BA242" i="29"/>
  <c r="AZ236" i="29"/>
  <c r="BG236" i="29" s="1"/>
  <c r="BU236" i="29" s="1"/>
  <c r="BH236" i="29"/>
  <c r="BA237" i="29"/>
  <c r="BH232" i="29"/>
  <c r="BJ232" i="29" s="1"/>
  <c r="BK232" i="29" s="1"/>
  <c r="BA235" i="29"/>
  <c r="BA240" i="29"/>
  <c r="AZ240" i="29"/>
  <c r="BJ240" i="29" s="1"/>
  <c r="BK240" i="29" s="1"/>
  <c r="BN240" i="29" s="1"/>
  <c r="AZ235" i="29"/>
  <c r="BJ235" i="29" s="1"/>
  <c r="BK235" i="29" s="1"/>
  <c r="BM235" i="29" s="1"/>
  <c r="BH225" i="29"/>
  <c r="BJ225" i="29" s="1"/>
  <c r="BK225" i="29" s="1"/>
  <c r="BH230" i="29"/>
  <c r="BA225" i="29"/>
  <c r="BG225" i="29" s="1"/>
  <c r="BU225" i="29" s="1"/>
  <c r="BI228" i="29"/>
  <c r="BH244" i="29"/>
  <c r="AZ244" i="29"/>
  <c r="BG244" i="29" s="1"/>
  <c r="BU244" i="29" s="1"/>
  <c r="BH226" i="29"/>
  <c r="BA232" i="29"/>
  <c r="BG232" i="29" s="1"/>
  <c r="BU232" i="29" s="1"/>
  <c r="BA224" i="29"/>
  <c r="AZ237" i="29"/>
  <c r="BJ237" i="29" s="1"/>
  <c r="BK237" i="29" s="1"/>
  <c r="BN237" i="29" s="1"/>
  <c r="BH196" i="29"/>
  <c r="BJ196" i="29" s="1"/>
  <c r="BK196" i="29" s="1"/>
  <c r="BN196" i="29" s="1"/>
  <c r="BJ227" i="29"/>
  <c r="BK227" i="29" s="1"/>
  <c r="BN227" i="29" s="1"/>
  <c r="BA238" i="29"/>
  <c r="BG238" i="29" s="1"/>
  <c r="BU238" i="29" s="1"/>
  <c r="AZ226" i="29"/>
  <c r="BG226" i="29" s="1"/>
  <c r="BU226" i="29" s="1"/>
  <c r="BI227" i="29"/>
  <c r="AZ194" i="29"/>
  <c r="BJ194" i="29" s="1"/>
  <c r="BK194" i="29" s="1"/>
  <c r="BM194" i="29" s="1"/>
  <c r="AZ246" i="29"/>
  <c r="BG246" i="29" s="1"/>
  <c r="BU246" i="29" s="1"/>
  <c r="BA194" i="29"/>
  <c r="BH246" i="29"/>
  <c r="BN228" i="29"/>
  <c r="BH238" i="29"/>
  <c r="BJ238" i="29" s="1"/>
  <c r="BK238" i="29" s="1"/>
  <c r="BN238" i="29" s="1"/>
  <c r="BJ239" i="29" l="1"/>
  <c r="BK239" i="29" s="1"/>
  <c r="BM239" i="29" s="1"/>
  <c r="BG239" i="29"/>
  <c r="BR61" i="29"/>
  <c r="BR191" i="29"/>
  <c r="BR86" i="29"/>
  <c r="BR223" i="29"/>
  <c r="BR162" i="29"/>
  <c r="BR213" i="29"/>
  <c r="BR88" i="29"/>
  <c r="BR207" i="29"/>
  <c r="BR196" i="29"/>
  <c r="BR12" i="29"/>
  <c r="BR156" i="29"/>
  <c r="BR177" i="29"/>
  <c r="BR93" i="29"/>
  <c r="BR143" i="29"/>
  <c r="BR146" i="29"/>
  <c r="BR214" i="29"/>
  <c r="BR46" i="29"/>
  <c r="BR222" i="29"/>
  <c r="BR220" i="29"/>
  <c r="BR40" i="29"/>
  <c r="BR126" i="29"/>
  <c r="BR115" i="29"/>
  <c r="BR187" i="29"/>
  <c r="BL221" i="29"/>
  <c r="BR96" i="29"/>
  <c r="BR38" i="29"/>
  <c r="BR72" i="29"/>
  <c r="BR209" i="29"/>
  <c r="BR92" i="29"/>
  <c r="BR78" i="29"/>
  <c r="BR125" i="29"/>
  <c r="BR225" i="29"/>
  <c r="BR226" i="29"/>
  <c r="BR229" i="29"/>
  <c r="BR230" i="29"/>
  <c r="BR231" i="29"/>
  <c r="BR232" i="29"/>
  <c r="BR233" i="29"/>
  <c r="BR234" i="29"/>
  <c r="BR236" i="29"/>
  <c r="BR238" i="29"/>
  <c r="BR243" i="29"/>
  <c r="BR244" i="29"/>
  <c r="BR245" i="29"/>
  <c r="BR246" i="29"/>
  <c r="BR80" i="29"/>
  <c r="BN220" i="29"/>
  <c r="AZ55" i="29"/>
  <c r="AY10" i="29"/>
  <c r="AZ10" i="29" s="1"/>
  <c r="BM221" i="29"/>
  <c r="BL220" i="29"/>
  <c r="BI220" i="29"/>
  <c r="BL234" i="29"/>
  <c r="BN234" i="29"/>
  <c r="BI234" i="29"/>
  <c r="BI231" i="29"/>
  <c r="BL231" i="29"/>
  <c r="BM243" i="29"/>
  <c r="BN243" i="29"/>
  <c r="BI221" i="29"/>
  <c r="BM231" i="29"/>
  <c r="BL243" i="29"/>
  <c r="BR221" i="29"/>
  <c r="BL222" i="29"/>
  <c r="BI222" i="29"/>
  <c r="BI243" i="29"/>
  <c r="BJ222" i="29"/>
  <c r="BK222" i="29" s="1"/>
  <c r="BM222" i="29" s="1"/>
  <c r="BI229" i="29"/>
  <c r="BL229" i="29"/>
  <c r="BJ229" i="29"/>
  <c r="BK229" i="29" s="1"/>
  <c r="BM229" i="29" s="1"/>
  <c r="BH27" i="29"/>
  <c r="BL92" i="29"/>
  <c r="BJ92" i="29"/>
  <c r="BK92" i="29" s="1"/>
  <c r="BM92" i="29" s="1"/>
  <c r="BI92" i="29"/>
  <c r="AZ174" i="29"/>
  <c r="BM209" i="29"/>
  <c r="BL209" i="29"/>
  <c r="AZ45" i="29"/>
  <c r="BM46" i="29"/>
  <c r="BI209" i="29"/>
  <c r="BI46" i="29"/>
  <c r="BL46" i="29"/>
  <c r="BM207" i="29"/>
  <c r="BJ72" i="29"/>
  <c r="BK72" i="29" s="1"/>
  <c r="BN72" i="29" s="1"/>
  <c r="BI207" i="29"/>
  <c r="BI72" i="29"/>
  <c r="BL72" i="29"/>
  <c r="BJ233" i="29"/>
  <c r="BK233" i="29" s="1"/>
  <c r="BN233" i="29" s="1"/>
  <c r="BI233" i="29"/>
  <c r="BL233" i="29"/>
  <c r="BL125" i="29"/>
  <c r="BL207" i="29"/>
  <c r="BN187" i="29"/>
  <c r="AZ147" i="29"/>
  <c r="BJ147" i="29" s="1"/>
  <c r="BK147" i="29" s="1"/>
  <c r="BN147" i="29" s="1"/>
  <c r="BJ125" i="29"/>
  <c r="BK125" i="29" s="1"/>
  <c r="BN125" i="29" s="1"/>
  <c r="BH157" i="29"/>
  <c r="BJ157" i="29" s="1"/>
  <c r="BK157" i="29" s="1"/>
  <c r="BN157" i="29" s="1"/>
  <c r="BI88" i="29"/>
  <c r="BI125" i="29"/>
  <c r="BI187" i="29"/>
  <c r="AZ200" i="29"/>
  <c r="BG200" i="29" s="1"/>
  <c r="BU200" i="29" s="1"/>
  <c r="BA166" i="29"/>
  <c r="BL187" i="29"/>
  <c r="BA188" i="29"/>
  <c r="BA111" i="29"/>
  <c r="BM38" i="29"/>
  <c r="BN69" i="29"/>
  <c r="BH35" i="29"/>
  <c r="BH118" i="29"/>
  <c r="BJ88" i="29"/>
  <c r="BK88" i="29" s="1"/>
  <c r="BM88" i="29" s="1"/>
  <c r="BL88" i="29"/>
  <c r="BG69" i="29"/>
  <c r="BU69" i="29" s="1"/>
  <c r="AZ139" i="29"/>
  <c r="BG139" i="29" s="1"/>
  <c r="BU139" i="29" s="1"/>
  <c r="AZ148" i="29"/>
  <c r="BG148" i="29" s="1"/>
  <c r="BU148" i="29" s="1"/>
  <c r="AZ180" i="29"/>
  <c r="BG180" i="29" s="1"/>
  <c r="BU180" i="29" s="1"/>
  <c r="BH190" i="29"/>
  <c r="BJ190" i="29" s="1"/>
  <c r="BK190" i="29" s="1"/>
  <c r="BM190" i="29" s="1"/>
  <c r="BI38" i="29"/>
  <c r="BA157" i="29"/>
  <c r="BG157" i="29" s="1"/>
  <c r="BU157" i="29" s="1"/>
  <c r="AZ118" i="29"/>
  <c r="BG118" i="29" s="1"/>
  <c r="BU118" i="29" s="1"/>
  <c r="BH200" i="29"/>
  <c r="AZ28" i="29"/>
  <c r="BJ28" i="29" s="1"/>
  <c r="BK28" i="29" s="1"/>
  <c r="BM28" i="29" s="1"/>
  <c r="AZ176" i="29"/>
  <c r="BG176" i="29" s="1"/>
  <c r="BU176" i="29" s="1"/>
  <c r="BH218" i="29"/>
  <c r="BJ218" i="29" s="1"/>
  <c r="BK218" i="29" s="1"/>
  <c r="BM218" i="29" s="1"/>
  <c r="BH164" i="29"/>
  <c r="BH189" i="29"/>
  <c r="BH148" i="29"/>
  <c r="BH159" i="29"/>
  <c r="BJ159" i="29" s="1"/>
  <c r="BK159" i="29" s="1"/>
  <c r="BN159" i="29" s="1"/>
  <c r="BL38" i="29"/>
  <c r="BA190" i="29"/>
  <c r="BG190" i="29" s="1"/>
  <c r="BU190" i="29" s="1"/>
  <c r="AZ141" i="29"/>
  <c r="BJ141" i="29" s="1"/>
  <c r="BK141" i="29" s="1"/>
  <c r="BN141" i="29" s="1"/>
  <c r="BH180" i="29"/>
  <c r="AZ129" i="29"/>
  <c r="BJ129" i="29" s="1"/>
  <c r="BK129" i="29" s="1"/>
  <c r="BM129" i="29" s="1"/>
  <c r="AZ121" i="29"/>
  <c r="BG121" i="29" s="1"/>
  <c r="BU121" i="29" s="1"/>
  <c r="BA28" i="29"/>
  <c r="BH22" i="29"/>
  <c r="BJ22" i="29" s="1"/>
  <c r="BK22" i="29" s="1"/>
  <c r="BN22" i="29" s="1"/>
  <c r="BA49" i="29"/>
  <c r="AZ184" i="29"/>
  <c r="BJ184" i="29" s="1"/>
  <c r="BK184" i="29" s="1"/>
  <c r="BN184" i="29" s="1"/>
  <c r="AZ87" i="29"/>
  <c r="BG87" i="29" s="1"/>
  <c r="BU87" i="29" s="1"/>
  <c r="AZ189" i="29"/>
  <c r="BG189" i="29" s="1"/>
  <c r="BU189" i="29" s="1"/>
  <c r="BA184" i="29"/>
  <c r="BA132" i="29"/>
  <c r="BG132" i="29" s="1"/>
  <c r="BU132" i="29" s="1"/>
  <c r="BA181" i="29"/>
  <c r="BG181" i="29" s="1"/>
  <c r="BU181" i="29" s="1"/>
  <c r="BH66" i="29"/>
  <c r="AZ63" i="29"/>
  <c r="BJ63" i="29" s="1"/>
  <c r="BK63" i="29" s="1"/>
  <c r="BM63" i="29" s="1"/>
  <c r="BA165" i="29"/>
  <c r="BA160" i="29"/>
  <c r="AZ152" i="29"/>
  <c r="BG152" i="29" s="1"/>
  <c r="BU152" i="29" s="1"/>
  <c r="BA63" i="29"/>
  <c r="BA129" i="29"/>
  <c r="AZ160" i="29"/>
  <c r="BJ160" i="29" s="1"/>
  <c r="BK160" i="29" s="1"/>
  <c r="BM160" i="29" s="1"/>
  <c r="BH108" i="29"/>
  <c r="BJ108" i="29" s="1"/>
  <c r="BK108" i="29" s="1"/>
  <c r="BM108" i="29" s="1"/>
  <c r="BA159" i="29"/>
  <c r="BG159" i="29" s="1"/>
  <c r="BU159" i="29" s="1"/>
  <c r="AZ164" i="29"/>
  <c r="BG164" i="29" s="1"/>
  <c r="BU164" i="29" s="1"/>
  <c r="BA174" i="29"/>
  <c r="BH139" i="29"/>
  <c r="BH149" i="29"/>
  <c r="BH100" i="29"/>
  <c r="AZ64" i="29"/>
  <c r="BJ64" i="29" s="1"/>
  <c r="BK64" i="29" s="1"/>
  <c r="BM64" i="29" s="1"/>
  <c r="BI213" i="29"/>
  <c r="BH95" i="29"/>
  <c r="BJ95" i="29" s="1"/>
  <c r="BK95" i="29" s="1"/>
  <c r="BN95" i="29" s="1"/>
  <c r="BH176" i="29"/>
  <c r="BA95" i="29"/>
  <c r="BG95" i="29" s="1"/>
  <c r="BU95" i="29" s="1"/>
  <c r="AZ113" i="29"/>
  <c r="BG113" i="29" s="1"/>
  <c r="BU113" i="29" s="1"/>
  <c r="BH136" i="29"/>
  <c r="BJ136" i="29" s="1"/>
  <c r="BK136" i="29" s="1"/>
  <c r="BM136" i="29" s="1"/>
  <c r="BA64" i="29"/>
  <c r="BA136" i="29"/>
  <c r="BG136" i="29" s="1"/>
  <c r="BU136" i="29" s="1"/>
  <c r="BA74" i="29"/>
  <c r="BH113" i="29"/>
  <c r="AZ84" i="29"/>
  <c r="BJ84" i="29" s="1"/>
  <c r="BK84" i="29" s="1"/>
  <c r="BN84" i="29" s="1"/>
  <c r="BH174" i="29"/>
  <c r="BH183" i="29"/>
  <c r="BL213" i="29"/>
  <c r="AZ151" i="29"/>
  <c r="BJ151" i="29" s="1"/>
  <c r="BK151" i="29" s="1"/>
  <c r="AZ169" i="29"/>
  <c r="BJ169" i="29" s="1"/>
  <c r="BK169" i="29" s="1"/>
  <c r="BM169" i="29" s="1"/>
  <c r="BA155" i="29"/>
  <c r="BG155" i="29" s="1"/>
  <c r="BU155" i="29" s="1"/>
  <c r="BA151" i="29"/>
  <c r="BH135" i="29"/>
  <c r="BH104" i="29"/>
  <c r="BJ104" i="29" s="1"/>
  <c r="BK104" i="29" s="1"/>
  <c r="BN104" i="29" s="1"/>
  <c r="AZ49" i="29"/>
  <c r="BJ49" i="29" s="1"/>
  <c r="BK49" i="29" s="1"/>
  <c r="BM49" i="29" s="1"/>
  <c r="AZ175" i="29"/>
  <c r="BJ175" i="29" s="1"/>
  <c r="BK175" i="29" s="1"/>
  <c r="BA141" i="29"/>
  <c r="AZ135" i="29"/>
  <c r="BG135" i="29" s="1"/>
  <c r="BU135" i="29" s="1"/>
  <c r="BA117" i="29"/>
  <c r="AZ165" i="29"/>
  <c r="BJ165" i="29" s="1"/>
  <c r="BK165" i="29" s="1"/>
  <c r="BM165" i="29" s="1"/>
  <c r="BH155" i="29"/>
  <c r="BJ155" i="29" s="1"/>
  <c r="BK155" i="29" s="1"/>
  <c r="BN155" i="29" s="1"/>
  <c r="BA169" i="29"/>
  <c r="BH53" i="29"/>
  <c r="AZ77" i="29"/>
  <c r="BG77" i="29" s="1"/>
  <c r="BU77" i="29" s="1"/>
  <c r="BH59" i="29"/>
  <c r="AZ35" i="29"/>
  <c r="BG35" i="29" s="1"/>
  <c r="BU35" i="29" s="1"/>
  <c r="BA140" i="29"/>
  <c r="BH185" i="29"/>
  <c r="AZ188" i="29"/>
  <c r="AZ117" i="29"/>
  <c r="BJ117" i="29" s="1"/>
  <c r="BK117" i="29" s="1"/>
  <c r="BN117" i="29" s="1"/>
  <c r="BH132" i="29"/>
  <c r="BJ132" i="29" s="1"/>
  <c r="BK132" i="29" s="1"/>
  <c r="BM132" i="29" s="1"/>
  <c r="AZ29" i="29"/>
  <c r="BG29" i="29" s="1"/>
  <c r="BU29" i="29" s="1"/>
  <c r="BH178" i="29"/>
  <c r="BA218" i="29"/>
  <c r="BG218" i="29" s="1"/>
  <c r="BU218" i="29" s="1"/>
  <c r="BA171" i="29"/>
  <c r="BG171" i="29" s="1"/>
  <c r="BU171" i="29" s="1"/>
  <c r="BH182" i="29"/>
  <c r="BG241" i="29"/>
  <c r="BU241" i="29" s="1"/>
  <c r="BH171" i="29"/>
  <c r="BJ171" i="29" s="1"/>
  <c r="BK171" i="29" s="1"/>
  <c r="BM171" i="29" s="1"/>
  <c r="BH204" i="29"/>
  <c r="BH87" i="29"/>
  <c r="AZ53" i="29"/>
  <c r="BA138" i="29"/>
  <c r="BG138" i="29" s="1"/>
  <c r="BU138" i="29" s="1"/>
  <c r="BA175" i="29"/>
  <c r="AZ163" i="29"/>
  <c r="BG163" i="29" s="1"/>
  <c r="BU163" i="29" s="1"/>
  <c r="BA158" i="29"/>
  <c r="BA22" i="29"/>
  <c r="BG22" i="29" s="1"/>
  <c r="BU22" i="29" s="1"/>
  <c r="AZ198" i="29"/>
  <c r="BG198" i="29" s="1"/>
  <c r="BU198" i="29" s="1"/>
  <c r="AZ111" i="29"/>
  <c r="BJ111" i="29" s="1"/>
  <c r="BK111" i="29" s="1"/>
  <c r="BH52" i="29"/>
  <c r="BH79" i="29"/>
  <c r="BA108" i="29"/>
  <c r="BG108" i="29" s="1"/>
  <c r="BU108" i="29" s="1"/>
  <c r="BH173" i="29"/>
  <c r="AZ173" i="29"/>
  <c r="BG173" i="29" s="1"/>
  <c r="BU173" i="29" s="1"/>
  <c r="AZ74" i="29"/>
  <c r="BJ74" i="29" s="1"/>
  <c r="BK74" i="29" s="1"/>
  <c r="BH77" i="29"/>
  <c r="BA84" i="29"/>
  <c r="BH121" i="29"/>
  <c r="AZ158" i="29"/>
  <c r="BJ158" i="29" s="1"/>
  <c r="BK158" i="29" s="1"/>
  <c r="BN158" i="29" s="1"/>
  <c r="AZ183" i="29"/>
  <c r="BA104" i="29"/>
  <c r="BG104" i="29" s="1"/>
  <c r="BU104" i="29" s="1"/>
  <c r="BA142" i="29"/>
  <c r="BG142" i="29" s="1"/>
  <c r="BU142" i="29" s="1"/>
  <c r="BH142" i="29"/>
  <c r="BJ142" i="29" s="1"/>
  <c r="BK142" i="29" s="1"/>
  <c r="BN142" i="29" s="1"/>
  <c r="BH198" i="29"/>
  <c r="BH29" i="29"/>
  <c r="AZ140" i="29"/>
  <c r="AZ100" i="29"/>
  <c r="BG100" i="29" s="1"/>
  <c r="BU100" i="29" s="1"/>
  <c r="AZ149" i="29"/>
  <c r="BG149" i="29" s="1"/>
  <c r="BU149" i="29" s="1"/>
  <c r="BA147" i="29"/>
  <c r="AZ59" i="29"/>
  <c r="BG59" i="29" s="1"/>
  <c r="BU59" i="29" s="1"/>
  <c r="AZ52" i="29"/>
  <c r="BG52" i="29" s="1"/>
  <c r="BU52" i="29" s="1"/>
  <c r="AZ79" i="29"/>
  <c r="BG79" i="29" s="1"/>
  <c r="BU79" i="29" s="1"/>
  <c r="AZ192" i="29"/>
  <c r="BG192" i="29" s="1"/>
  <c r="BU192" i="29" s="1"/>
  <c r="BH152" i="29"/>
  <c r="AZ85" i="29"/>
  <c r="BG85" i="29" s="1"/>
  <c r="BU85" i="29" s="1"/>
  <c r="BH85" i="29"/>
  <c r="BH116" i="29"/>
  <c r="BJ116" i="29" s="1"/>
  <c r="BK116" i="29" s="1"/>
  <c r="BM116" i="29" s="1"/>
  <c r="BH138" i="29"/>
  <c r="BJ138" i="29" s="1"/>
  <c r="BK138" i="29" s="1"/>
  <c r="BN138" i="29" s="1"/>
  <c r="BH186" i="29"/>
  <c r="BJ186" i="29" s="1"/>
  <c r="BK186" i="29" s="1"/>
  <c r="BM186" i="29" s="1"/>
  <c r="BH192" i="29"/>
  <c r="BA116" i="29"/>
  <c r="BG116" i="29" s="1"/>
  <c r="BU116" i="29" s="1"/>
  <c r="BA119" i="29"/>
  <c r="BG119" i="29" s="1"/>
  <c r="BU119" i="29" s="1"/>
  <c r="BH179" i="29"/>
  <c r="AZ178" i="29"/>
  <c r="BG178" i="29" s="1"/>
  <c r="BU178" i="29" s="1"/>
  <c r="BH89" i="29"/>
  <c r="BJ89" i="29" s="1"/>
  <c r="BK89" i="29" s="1"/>
  <c r="BN89" i="29" s="1"/>
  <c r="BH144" i="29"/>
  <c r="BJ144" i="29" s="1"/>
  <c r="BK144" i="29" s="1"/>
  <c r="BN144" i="29" s="1"/>
  <c r="BA30" i="29"/>
  <c r="BG30" i="29" s="1"/>
  <c r="BU30" i="29" s="1"/>
  <c r="BH181" i="29"/>
  <c r="BJ181" i="29" s="1"/>
  <c r="BK181" i="29" s="1"/>
  <c r="BM181" i="29" s="1"/>
  <c r="BA144" i="29"/>
  <c r="BG144" i="29" s="1"/>
  <c r="BU144" i="29" s="1"/>
  <c r="AZ83" i="29"/>
  <c r="BJ83" i="29" s="1"/>
  <c r="BK83" i="29" s="1"/>
  <c r="BM83" i="29" s="1"/>
  <c r="AZ182" i="29"/>
  <c r="BG182" i="29" s="1"/>
  <c r="BU182" i="29" s="1"/>
  <c r="BA83" i="29"/>
  <c r="BA110" i="29"/>
  <c r="BG110" i="29" s="1"/>
  <c r="BU110" i="29" s="1"/>
  <c r="BH16" i="29"/>
  <c r="BH110" i="29"/>
  <c r="BJ110" i="29" s="1"/>
  <c r="BK110" i="29" s="1"/>
  <c r="BM110" i="29" s="1"/>
  <c r="BH9" i="29"/>
  <c r="AZ114" i="29"/>
  <c r="BJ114" i="29" s="1"/>
  <c r="BK114" i="29" s="1"/>
  <c r="BN114" i="29" s="1"/>
  <c r="AZ9" i="29"/>
  <c r="BG9" i="29" s="1"/>
  <c r="BU9" i="29" s="1"/>
  <c r="BA114" i="29"/>
  <c r="AY150" i="29"/>
  <c r="AY154" i="29"/>
  <c r="BA154" i="29" s="1"/>
  <c r="BH65" i="29"/>
  <c r="BJ65" i="29" s="1"/>
  <c r="BK65" i="29" s="1"/>
  <c r="BM65" i="29" s="1"/>
  <c r="BA97" i="29"/>
  <c r="BA122" i="29"/>
  <c r="BA120" i="29"/>
  <c r="BG120" i="29" s="1"/>
  <c r="BU120" i="29" s="1"/>
  <c r="BH120" i="29"/>
  <c r="BJ120" i="29" s="1"/>
  <c r="BK120" i="29" s="1"/>
  <c r="BM120" i="29" s="1"/>
  <c r="BH119" i="29"/>
  <c r="BJ119" i="29" s="1"/>
  <c r="BK119" i="29" s="1"/>
  <c r="BM119" i="29" s="1"/>
  <c r="BA90" i="29"/>
  <c r="AZ90" i="29"/>
  <c r="BJ90" i="29" s="1"/>
  <c r="BK90" i="29" s="1"/>
  <c r="BM90" i="29" s="1"/>
  <c r="BA89" i="29"/>
  <c r="BG89" i="29" s="1"/>
  <c r="BU89" i="29" s="1"/>
  <c r="BA65" i="29"/>
  <c r="BG65" i="29" s="1"/>
  <c r="BU65" i="29" s="1"/>
  <c r="BN50" i="29"/>
  <c r="BG50" i="29"/>
  <c r="BU50" i="29" s="1"/>
  <c r="AZ13" i="29"/>
  <c r="BG13" i="29" s="1"/>
  <c r="BU13" i="29" s="1"/>
  <c r="BH161" i="29"/>
  <c r="BH163" i="29"/>
  <c r="AZ122" i="29"/>
  <c r="BJ122" i="29" s="1"/>
  <c r="BK122" i="29" s="1"/>
  <c r="BN122" i="29" s="1"/>
  <c r="AZ185" i="29"/>
  <c r="BG185" i="29" s="1"/>
  <c r="BU185" i="29" s="1"/>
  <c r="AZ161" i="29"/>
  <c r="BG161" i="29" s="1"/>
  <c r="BU161" i="29" s="1"/>
  <c r="AZ123" i="29"/>
  <c r="BJ123" i="29" s="1"/>
  <c r="BK123" i="29" s="1"/>
  <c r="BM123" i="29" s="1"/>
  <c r="AZ66" i="29"/>
  <c r="BG66" i="29" s="1"/>
  <c r="BU66" i="29" s="1"/>
  <c r="BA123" i="29"/>
  <c r="AZ166" i="29"/>
  <c r="BJ166" i="29" s="1"/>
  <c r="BK166" i="29" s="1"/>
  <c r="BM166" i="29" s="1"/>
  <c r="BH13" i="29"/>
  <c r="AY216" i="29"/>
  <c r="AZ216" i="29" s="1"/>
  <c r="BH30" i="29"/>
  <c r="BJ30" i="29" s="1"/>
  <c r="BK30" i="29" s="1"/>
  <c r="BM30" i="29" s="1"/>
  <c r="AZ204" i="29"/>
  <c r="BG204" i="29" s="1"/>
  <c r="BU204" i="29" s="1"/>
  <c r="BA91" i="29"/>
  <c r="AZ56" i="29"/>
  <c r="BJ56" i="29" s="1"/>
  <c r="BK56" i="29" s="1"/>
  <c r="BN56" i="29" s="1"/>
  <c r="AZ199" i="29"/>
  <c r="BH199" i="29"/>
  <c r="BA199" i="29"/>
  <c r="AZ206" i="29"/>
  <c r="BH206" i="29"/>
  <c r="BA206" i="29"/>
  <c r="BH197" i="29"/>
  <c r="BA197" i="29"/>
  <c r="AZ197" i="29"/>
  <c r="BH25" i="29"/>
  <c r="BJ25" i="29" s="1"/>
  <c r="BK25" i="29" s="1"/>
  <c r="BM25" i="29" s="1"/>
  <c r="BA186" i="29"/>
  <c r="BG186" i="29" s="1"/>
  <c r="BU186" i="29" s="1"/>
  <c r="BA56" i="29"/>
  <c r="AZ201" i="29"/>
  <c r="BA201" i="29"/>
  <c r="BH201" i="29"/>
  <c r="BH11" i="29"/>
  <c r="BJ11" i="29" s="1"/>
  <c r="BK11" i="29" s="1"/>
  <c r="BA11" i="29"/>
  <c r="BG11" i="29" s="1"/>
  <c r="BU11" i="29" s="1"/>
  <c r="AZ179" i="29"/>
  <c r="BG179" i="29" s="1"/>
  <c r="BU179" i="29" s="1"/>
  <c r="AZ97" i="29"/>
  <c r="BJ97" i="29" s="1"/>
  <c r="BK97" i="29" s="1"/>
  <c r="BM97" i="29" s="1"/>
  <c r="AY212" i="29"/>
  <c r="AZ212" i="29" s="1"/>
  <c r="BH195" i="29"/>
  <c r="AZ195" i="29"/>
  <c r="BA195" i="29"/>
  <c r="AZ202" i="29"/>
  <c r="BA202" i="29"/>
  <c r="BH202" i="29"/>
  <c r="BA25" i="29"/>
  <c r="BG25" i="29" s="1"/>
  <c r="BU25" i="29" s="1"/>
  <c r="AY193" i="29"/>
  <c r="BH193" i="29" s="1"/>
  <c r="BH203" i="29"/>
  <c r="AZ203" i="29"/>
  <c r="BA203" i="29"/>
  <c r="AZ91" i="29"/>
  <c r="BJ91" i="29" s="1"/>
  <c r="BK91" i="29" s="1"/>
  <c r="BN91" i="29" s="1"/>
  <c r="AZ210" i="29"/>
  <c r="BA210" i="29"/>
  <c r="BH210" i="29"/>
  <c r="BA205" i="29"/>
  <c r="AZ205" i="29"/>
  <c r="BH205" i="29"/>
  <c r="AZ208" i="29"/>
  <c r="BH208" i="29"/>
  <c r="BA208" i="29"/>
  <c r="AY217" i="29"/>
  <c r="BH99" i="29"/>
  <c r="BA99" i="29"/>
  <c r="AZ99" i="29"/>
  <c r="AY168" i="29"/>
  <c r="AZ219" i="29"/>
  <c r="BA219" i="29"/>
  <c r="BH219" i="29"/>
  <c r="BH211" i="29"/>
  <c r="AZ211" i="29"/>
  <c r="BA211" i="29"/>
  <c r="BI244" i="29"/>
  <c r="BL223" i="29"/>
  <c r="BI230" i="29"/>
  <c r="BI96" i="29"/>
  <c r="BI80" i="29"/>
  <c r="BI225" i="29"/>
  <c r="BI115" i="29"/>
  <c r="BI156" i="29"/>
  <c r="BL214" i="29"/>
  <c r="BI236" i="29"/>
  <c r="BL93" i="29"/>
  <c r="BI162" i="29"/>
  <c r="BL86" i="29"/>
  <c r="BL177" i="29"/>
  <c r="BI196" i="29"/>
  <c r="BL40" i="29"/>
  <c r="BI146" i="29"/>
  <c r="BM213" i="29"/>
  <c r="BG42" i="29"/>
  <c r="BU42" i="29" s="1"/>
  <c r="BG57" i="29"/>
  <c r="BU57" i="29" s="1"/>
  <c r="BJ71" i="29"/>
  <c r="BK71" i="29" s="1"/>
  <c r="BM71" i="29" s="1"/>
  <c r="BG51" i="29"/>
  <c r="BU51" i="29" s="1"/>
  <c r="BG71" i="29"/>
  <c r="BU71" i="29" s="1"/>
  <c r="BJ57" i="29"/>
  <c r="BK57" i="29" s="1"/>
  <c r="BM57" i="29" s="1"/>
  <c r="BN58" i="29"/>
  <c r="BA62" i="29"/>
  <c r="AZ62" i="29"/>
  <c r="BJ62" i="29" s="1"/>
  <c r="BK62" i="29" s="1"/>
  <c r="BH48" i="29"/>
  <c r="BH112" i="29"/>
  <c r="BJ112" i="29" s="1"/>
  <c r="BK112" i="29" s="1"/>
  <c r="AZ48" i="29"/>
  <c r="BA15" i="29"/>
  <c r="AZ15" i="29"/>
  <c r="BJ15" i="29" s="1"/>
  <c r="BK15" i="29" s="1"/>
  <c r="BJ177" i="29"/>
  <c r="BK177" i="29" s="1"/>
  <c r="BN177" i="29" s="1"/>
  <c r="BH133" i="29"/>
  <c r="BG67" i="29"/>
  <c r="BU67" i="29" s="1"/>
  <c r="BJ51" i="29"/>
  <c r="BK51" i="29" s="1"/>
  <c r="BN51" i="29" s="1"/>
  <c r="BJ156" i="29"/>
  <c r="BK156" i="29" s="1"/>
  <c r="BM156" i="29" s="1"/>
  <c r="BH94" i="29"/>
  <c r="BJ94" i="29" s="1"/>
  <c r="BK94" i="29" s="1"/>
  <c r="BA16" i="29"/>
  <c r="AZ16" i="29"/>
  <c r="BA130" i="29"/>
  <c r="AZ133" i="29"/>
  <c r="BG133" i="29" s="1"/>
  <c r="BU133" i="29" s="1"/>
  <c r="BH172" i="29"/>
  <c r="BJ172" i="29" s="1"/>
  <c r="BK172" i="29" s="1"/>
  <c r="BA172" i="29"/>
  <c r="BG172" i="29" s="1"/>
  <c r="BU172" i="29" s="1"/>
  <c r="BA101" i="29"/>
  <c r="BG101" i="29" s="1"/>
  <c r="BU101" i="29" s="1"/>
  <c r="AZ27" i="29"/>
  <c r="BH55" i="29"/>
  <c r="BG153" i="29"/>
  <c r="BU153" i="29" s="1"/>
  <c r="BA112" i="29"/>
  <c r="BG112" i="29" s="1"/>
  <c r="BU112" i="29" s="1"/>
  <c r="AZ32" i="29"/>
  <c r="BJ32" i="29" s="1"/>
  <c r="BK32" i="29" s="1"/>
  <c r="BA81" i="29"/>
  <c r="BA32" i="29"/>
  <c r="AZ124" i="29"/>
  <c r="BG124" i="29" s="1"/>
  <c r="BU124" i="29" s="1"/>
  <c r="BA27" i="29"/>
  <c r="BI177" i="29"/>
  <c r="BL115" i="29"/>
  <c r="AZ130" i="29"/>
  <c r="AZ81" i="29"/>
  <c r="BJ81" i="29" s="1"/>
  <c r="BK81" i="29" s="1"/>
  <c r="BA76" i="29"/>
  <c r="BH37" i="29"/>
  <c r="BJ37" i="29" s="1"/>
  <c r="BK37" i="29" s="1"/>
  <c r="BJ115" i="29"/>
  <c r="BK115" i="29" s="1"/>
  <c r="BM115" i="29" s="1"/>
  <c r="BM40" i="29"/>
  <c r="BN40" i="29"/>
  <c r="BM93" i="29"/>
  <c r="BN93" i="29"/>
  <c r="BM170" i="29"/>
  <c r="BN170" i="29"/>
  <c r="BM41" i="29"/>
  <c r="BN41" i="29"/>
  <c r="BH24" i="29"/>
  <c r="BJ24" i="29" s="1"/>
  <c r="BK24" i="29" s="1"/>
  <c r="BG41" i="29"/>
  <c r="BU41" i="29" s="1"/>
  <c r="BN78" i="29"/>
  <c r="BM78" i="29"/>
  <c r="BH36" i="29"/>
  <c r="BJ36" i="29" s="1"/>
  <c r="BK36" i="29" s="1"/>
  <c r="BN86" i="29"/>
  <c r="BM86" i="29"/>
  <c r="BA45" i="29"/>
  <c r="BA36" i="29"/>
  <c r="BG36" i="29" s="1"/>
  <c r="BU36" i="29" s="1"/>
  <c r="BH17" i="29"/>
  <c r="BJ17" i="29" s="1"/>
  <c r="BK17" i="29" s="1"/>
  <c r="AZ33" i="29"/>
  <c r="BG33" i="29" s="1"/>
  <c r="BU33" i="29" s="1"/>
  <c r="BN67" i="29"/>
  <c r="BM67" i="29"/>
  <c r="BM12" i="29"/>
  <c r="BN12" i="29"/>
  <c r="BH33" i="29"/>
  <c r="BM80" i="29"/>
  <c r="BN80" i="29"/>
  <c r="AZ127" i="29"/>
  <c r="BG127" i="29" s="1"/>
  <c r="BU127" i="29" s="1"/>
  <c r="BL146" i="29"/>
  <c r="BM162" i="29"/>
  <c r="BN162" i="29"/>
  <c r="BM146" i="29"/>
  <c r="BN146" i="29"/>
  <c r="BM42" i="29"/>
  <c r="BN42" i="29"/>
  <c r="BL126" i="29"/>
  <c r="BI126" i="29"/>
  <c r="BH45" i="29"/>
  <c r="BG134" i="29"/>
  <c r="BU134" i="29" s="1"/>
  <c r="BA109" i="29"/>
  <c r="BJ126" i="29"/>
  <c r="BK126" i="29" s="1"/>
  <c r="BA128" i="29"/>
  <c r="AZ109" i="29"/>
  <c r="BJ109" i="29" s="1"/>
  <c r="BK109" i="29" s="1"/>
  <c r="BA131" i="29"/>
  <c r="BG131" i="29" s="1"/>
  <c r="BU131" i="29" s="1"/>
  <c r="BH124" i="29"/>
  <c r="BJ143" i="29"/>
  <c r="BK143" i="29" s="1"/>
  <c r="BH131" i="29"/>
  <c r="BJ131" i="29" s="1"/>
  <c r="BK131" i="29" s="1"/>
  <c r="AZ75" i="29"/>
  <c r="BG75" i="29" s="1"/>
  <c r="BU75" i="29" s="1"/>
  <c r="BH102" i="29"/>
  <c r="BJ102" i="29" s="1"/>
  <c r="BK102" i="29" s="1"/>
  <c r="BH75" i="29"/>
  <c r="BA102" i="29"/>
  <c r="BG102" i="29" s="1"/>
  <c r="BU102" i="29" s="1"/>
  <c r="BH47" i="29"/>
  <c r="BJ47" i="29" s="1"/>
  <c r="BK47" i="29" s="1"/>
  <c r="BA105" i="29"/>
  <c r="BJ134" i="29"/>
  <c r="BK134" i="29" s="1"/>
  <c r="AZ105" i="29"/>
  <c r="BL191" i="29"/>
  <c r="BI191" i="29"/>
  <c r="BJ153" i="29"/>
  <c r="BK153" i="29" s="1"/>
  <c r="BL96" i="29"/>
  <c r="AZ70" i="29"/>
  <c r="BJ70" i="29" s="1"/>
  <c r="BK70" i="29" s="1"/>
  <c r="BA47" i="29"/>
  <c r="BG47" i="29" s="1"/>
  <c r="BU47" i="29" s="1"/>
  <c r="BA145" i="29"/>
  <c r="BG145" i="29" s="1"/>
  <c r="BU145" i="29" s="1"/>
  <c r="AZ128" i="29"/>
  <c r="BA14" i="29"/>
  <c r="BL162" i="29"/>
  <c r="BA17" i="29"/>
  <c r="BG17" i="29" s="1"/>
  <c r="BU17" i="29" s="1"/>
  <c r="BA37" i="29"/>
  <c r="BG37" i="29" s="1"/>
  <c r="BU37" i="29" s="1"/>
  <c r="AZ14" i="29"/>
  <c r="BJ14" i="29" s="1"/>
  <c r="BK14" i="29" s="1"/>
  <c r="AZ103" i="29"/>
  <c r="BA103" i="29"/>
  <c r="BJ61" i="29"/>
  <c r="BK61" i="29" s="1"/>
  <c r="BH19" i="29"/>
  <c r="BA43" i="29"/>
  <c r="AZ19" i="29"/>
  <c r="BG19" i="29" s="1"/>
  <c r="BU19" i="29" s="1"/>
  <c r="AZ43" i="29"/>
  <c r="BJ43" i="29" s="1"/>
  <c r="BK43" i="29" s="1"/>
  <c r="BA82" i="29"/>
  <c r="BH18" i="29"/>
  <c r="BA24" i="29"/>
  <c r="BG24" i="29" s="1"/>
  <c r="BU24" i="29" s="1"/>
  <c r="BH101" i="29"/>
  <c r="BJ101" i="29" s="1"/>
  <c r="BK101" i="29" s="1"/>
  <c r="AZ23" i="29"/>
  <c r="BJ23" i="29" s="1"/>
  <c r="BK23" i="29" s="1"/>
  <c r="BH60" i="29"/>
  <c r="BJ60" i="29" s="1"/>
  <c r="BK60" i="29" s="1"/>
  <c r="AZ18" i="29"/>
  <c r="BG18" i="29" s="1"/>
  <c r="BU18" i="29" s="1"/>
  <c r="BA73" i="29"/>
  <c r="BH145" i="29"/>
  <c r="BJ145" i="29" s="1"/>
  <c r="BK145" i="29" s="1"/>
  <c r="AZ76" i="29"/>
  <c r="BH73" i="29"/>
  <c r="BA60" i="29"/>
  <c r="BG60" i="29" s="1"/>
  <c r="BU60" i="29" s="1"/>
  <c r="AZ167" i="29"/>
  <c r="BG167" i="29" s="1"/>
  <c r="BU167" i="29" s="1"/>
  <c r="AZ73" i="29"/>
  <c r="BA34" i="29"/>
  <c r="BH167" i="29"/>
  <c r="BI40" i="29"/>
  <c r="AZ34" i="29"/>
  <c r="BH44" i="29"/>
  <c r="BJ44" i="29" s="1"/>
  <c r="BK44" i="29" s="1"/>
  <c r="BL80" i="29"/>
  <c r="AZ68" i="29"/>
  <c r="BG68" i="29" s="1"/>
  <c r="BU68" i="29" s="1"/>
  <c r="BG106" i="29"/>
  <c r="BU106" i="29" s="1"/>
  <c r="BA55" i="29"/>
  <c r="BA44" i="29"/>
  <c r="BG44" i="29" s="1"/>
  <c r="BU44" i="29" s="1"/>
  <c r="BH68" i="29"/>
  <c r="AZ31" i="29"/>
  <c r="BJ31" i="29" s="1"/>
  <c r="BK31" i="29" s="1"/>
  <c r="BA70" i="29"/>
  <c r="BH127" i="29"/>
  <c r="BA31" i="29"/>
  <c r="AZ21" i="29"/>
  <c r="BJ21" i="29" s="1"/>
  <c r="BK21" i="29" s="1"/>
  <c r="BA20" i="29"/>
  <c r="BA54" i="29"/>
  <c r="BA107" i="29"/>
  <c r="BJ96" i="29"/>
  <c r="BK96" i="29" s="1"/>
  <c r="BA21" i="29"/>
  <c r="AZ20" i="29"/>
  <c r="AZ54" i="29"/>
  <c r="BJ54" i="29" s="1"/>
  <c r="BK54" i="29" s="1"/>
  <c r="AZ107" i="29"/>
  <c r="BJ107" i="29" s="1"/>
  <c r="BK107" i="29" s="1"/>
  <c r="BH26" i="29"/>
  <c r="BH137" i="29"/>
  <c r="BJ137" i="29" s="1"/>
  <c r="BK137" i="29" s="1"/>
  <c r="AZ26" i="29"/>
  <c r="BG26" i="29" s="1"/>
  <c r="BU26" i="29" s="1"/>
  <c r="BA94" i="29"/>
  <c r="BG94" i="29" s="1"/>
  <c r="BU94" i="29" s="1"/>
  <c r="BA137" i="29"/>
  <c r="BG137" i="29" s="1"/>
  <c r="BU137" i="29" s="1"/>
  <c r="BL61" i="29"/>
  <c r="BI61" i="29"/>
  <c r="BL156" i="29"/>
  <c r="AZ82" i="29"/>
  <c r="BG170" i="29"/>
  <c r="BU170" i="29" s="1"/>
  <c r="BA23" i="29"/>
  <c r="BI93" i="29"/>
  <c r="BI86" i="29"/>
  <c r="BJ106" i="29"/>
  <c r="BK106" i="29" s="1"/>
  <c r="BL12" i="29"/>
  <c r="BI12" i="29"/>
  <c r="BL78" i="29"/>
  <c r="BI78" i="29"/>
  <c r="BL143" i="29"/>
  <c r="BI143" i="29"/>
  <c r="BG224" i="29"/>
  <c r="BU224" i="29" s="1"/>
  <c r="BN223" i="29"/>
  <c r="BI214" i="29"/>
  <c r="BG215" i="29"/>
  <c r="BU215" i="29" s="1"/>
  <c r="BM214" i="29"/>
  <c r="BJ230" i="29"/>
  <c r="BK230" i="29" s="1"/>
  <c r="BN230" i="29" s="1"/>
  <c r="BN245" i="29"/>
  <c r="BI223" i="29"/>
  <c r="BN241" i="29"/>
  <c r="BG242" i="29"/>
  <c r="BU242" i="29" s="1"/>
  <c r="BG240" i="29"/>
  <c r="BU240" i="29" s="1"/>
  <c r="BJ236" i="29"/>
  <c r="BK236" i="29" s="1"/>
  <c r="BM236" i="29" s="1"/>
  <c r="BJ246" i="29"/>
  <c r="BK246" i="29" s="1"/>
  <c r="BM246" i="29" s="1"/>
  <c r="BI232" i="29"/>
  <c r="BL232" i="29"/>
  <c r="BL236" i="29"/>
  <c r="BG237" i="29"/>
  <c r="BU237" i="29" s="1"/>
  <c r="BL245" i="29"/>
  <c r="BI245" i="29"/>
  <c r="BJ244" i="29"/>
  <c r="BK244" i="29" s="1"/>
  <c r="BM244" i="29" s="1"/>
  <c r="BG235" i="29"/>
  <c r="BU235" i="29" s="1"/>
  <c r="BI226" i="29"/>
  <c r="BL226" i="29"/>
  <c r="BJ226" i="29"/>
  <c r="BK226" i="29" s="1"/>
  <c r="BM226" i="29" s="1"/>
  <c r="BN235" i="29"/>
  <c r="BM227" i="29"/>
  <c r="BI238" i="29"/>
  <c r="BL238" i="29"/>
  <c r="BL196" i="29"/>
  <c r="BM240" i="29"/>
  <c r="BL225" i="29"/>
  <c r="BM237" i="29"/>
  <c r="BI246" i="29"/>
  <c r="BL246" i="29"/>
  <c r="BL244" i="29"/>
  <c r="BL230" i="29"/>
  <c r="BG194" i="29"/>
  <c r="BU194" i="29" s="1"/>
  <c r="BM196" i="29"/>
  <c r="BN194" i="29"/>
  <c r="BM238" i="29"/>
  <c r="BN232" i="29"/>
  <c r="BM232" i="29"/>
  <c r="BN242" i="29"/>
  <c r="BN215" i="29"/>
  <c r="BM215" i="29"/>
  <c r="BN224" i="29"/>
  <c r="BM224" i="29"/>
  <c r="BM225" i="29"/>
  <c r="BN225" i="29"/>
  <c r="BN239" i="29" l="1"/>
  <c r="BR239" i="29"/>
  <c r="BU239" i="29"/>
  <c r="BL239" i="29"/>
  <c r="BI239" i="29"/>
  <c r="BR106" i="29"/>
  <c r="BR37" i="29"/>
  <c r="BR41" i="29"/>
  <c r="BR59" i="29"/>
  <c r="BR142" i="29"/>
  <c r="BR22" i="29"/>
  <c r="BR95" i="29"/>
  <c r="BR87" i="29"/>
  <c r="BR200" i="29"/>
  <c r="BR224" i="29"/>
  <c r="BR68" i="29"/>
  <c r="BR167" i="29"/>
  <c r="BR19" i="29"/>
  <c r="BR17" i="29"/>
  <c r="BR102" i="29"/>
  <c r="BR36" i="29"/>
  <c r="BR71" i="29"/>
  <c r="BR182" i="29"/>
  <c r="BR178" i="29"/>
  <c r="BR104" i="29"/>
  <c r="BR173" i="29"/>
  <c r="BR164" i="29"/>
  <c r="BR180" i="29"/>
  <c r="BR194" i="29"/>
  <c r="BR60" i="29"/>
  <c r="BR131" i="29"/>
  <c r="BR124" i="29"/>
  <c r="BR101" i="29"/>
  <c r="BR51" i="29"/>
  <c r="BR13" i="29"/>
  <c r="BR9" i="29"/>
  <c r="BR85" i="29"/>
  <c r="BR149" i="29"/>
  <c r="BR163" i="29"/>
  <c r="BR159" i="29"/>
  <c r="BR176" i="29"/>
  <c r="BR137" i="29"/>
  <c r="BR24" i="29"/>
  <c r="BR172" i="29"/>
  <c r="BR25" i="29"/>
  <c r="BR66" i="29"/>
  <c r="BR50" i="29"/>
  <c r="BR120" i="29"/>
  <c r="BR119" i="29"/>
  <c r="BR100" i="29"/>
  <c r="BR108" i="29"/>
  <c r="BR171" i="29"/>
  <c r="BR155" i="29"/>
  <c r="BR190" i="29"/>
  <c r="BR148" i="29"/>
  <c r="BR57" i="29"/>
  <c r="BR179" i="29"/>
  <c r="BR204" i="29"/>
  <c r="BR144" i="29"/>
  <c r="BR116" i="29"/>
  <c r="BR192" i="29"/>
  <c r="BR138" i="29"/>
  <c r="BR218" i="29"/>
  <c r="BR135" i="29"/>
  <c r="BR136" i="29"/>
  <c r="BR181" i="29"/>
  <c r="BR139" i="29"/>
  <c r="BR215" i="29"/>
  <c r="BR26" i="29"/>
  <c r="BR145" i="29"/>
  <c r="BR75" i="29"/>
  <c r="BR133" i="29"/>
  <c r="BR67" i="29"/>
  <c r="BR42" i="29"/>
  <c r="BR11" i="29"/>
  <c r="BR186" i="29"/>
  <c r="BR161" i="29"/>
  <c r="BR65" i="29"/>
  <c r="BR79" i="29"/>
  <c r="BR132" i="29"/>
  <c r="BR118" i="29"/>
  <c r="BR69" i="29"/>
  <c r="BR44" i="29"/>
  <c r="BR112" i="29"/>
  <c r="BR185" i="29"/>
  <c r="BR89" i="29"/>
  <c r="BR30" i="29"/>
  <c r="BR52" i="29"/>
  <c r="BR29" i="29"/>
  <c r="BR77" i="29"/>
  <c r="BR157" i="29"/>
  <c r="BR170" i="29"/>
  <c r="BR18" i="29"/>
  <c r="BR47" i="29"/>
  <c r="BR134" i="29"/>
  <c r="BR127" i="29"/>
  <c r="BR33" i="29"/>
  <c r="BR153" i="29"/>
  <c r="BR110" i="29"/>
  <c r="BR198" i="29"/>
  <c r="BR113" i="29"/>
  <c r="BR152" i="29"/>
  <c r="BR189" i="29"/>
  <c r="BR121" i="29"/>
  <c r="BR235" i="29"/>
  <c r="BR237" i="29"/>
  <c r="BR240" i="29"/>
  <c r="BR241" i="29"/>
  <c r="BR242" i="29"/>
  <c r="BR94" i="29"/>
  <c r="BH10" i="29"/>
  <c r="BJ10" i="29" s="1"/>
  <c r="BK10" i="29" s="1"/>
  <c r="BJ183" i="29"/>
  <c r="BK183" i="29" s="1"/>
  <c r="BN183" i="29" s="1"/>
  <c r="BJ55" i="29"/>
  <c r="BK55" i="29" s="1"/>
  <c r="BN55" i="29" s="1"/>
  <c r="BG55" i="29"/>
  <c r="BU55" i="29" s="1"/>
  <c r="BA10" i="29"/>
  <c r="BG10" i="29" s="1"/>
  <c r="BU10" i="29" s="1"/>
  <c r="BN229" i="29"/>
  <c r="BJ174" i="29"/>
  <c r="BK174" i="29" s="1"/>
  <c r="BM174" i="29" s="1"/>
  <c r="BN222" i="29"/>
  <c r="BN92" i="29"/>
  <c r="BJ27" i="29"/>
  <c r="BK27" i="29" s="1"/>
  <c r="BM27" i="29" s="1"/>
  <c r="BG27" i="29"/>
  <c r="BU27" i="29" s="1"/>
  <c r="BG140" i="29"/>
  <c r="BU140" i="29" s="1"/>
  <c r="BG174" i="29"/>
  <c r="BU174" i="29" s="1"/>
  <c r="BJ45" i="29"/>
  <c r="BK45" i="29" s="1"/>
  <c r="BM45" i="29" s="1"/>
  <c r="BG45" i="29"/>
  <c r="BU45" i="29" s="1"/>
  <c r="BM233" i="29"/>
  <c r="BM72" i="29"/>
  <c r="BM147" i="29"/>
  <c r="BJ139" i="29"/>
  <c r="BK139" i="29" s="1"/>
  <c r="BN139" i="29" s="1"/>
  <c r="BI139" i="29"/>
  <c r="BM157" i="29"/>
  <c r="BM125" i="29"/>
  <c r="BL139" i="29"/>
  <c r="BJ180" i="29"/>
  <c r="BK180" i="29" s="1"/>
  <c r="BN180" i="29" s="1"/>
  <c r="BJ121" i="29"/>
  <c r="BK121" i="29" s="1"/>
  <c r="BM121" i="29" s="1"/>
  <c r="BG147" i="29"/>
  <c r="BU147" i="29" s="1"/>
  <c r="BI189" i="29"/>
  <c r="BL180" i="29"/>
  <c r="BI164" i="29"/>
  <c r="BL200" i="29"/>
  <c r="BI200" i="29"/>
  <c r="BL157" i="29"/>
  <c r="BL87" i="29"/>
  <c r="BI29" i="29"/>
  <c r="BI176" i="29"/>
  <c r="BG188" i="29"/>
  <c r="BU188" i="29" s="1"/>
  <c r="BJ200" i="29"/>
  <c r="BK200" i="29" s="1"/>
  <c r="BN200" i="29" s="1"/>
  <c r="BN190" i="29"/>
  <c r="BL121" i="29"/>
  <c r="BI190" i="29"/>
  <c r="BN218" i="29"/>
  <c r="BI69" i="29"/>
  <c r="BN88" i="29"/>
  <c r="BL176" i="29"/>
  <c r="BI181" i="29"/>
  <c r="BJ148" i="29"/>
  <c r="BK148" i="29" s="1"/>
  <c r="BN148" i="29" s="1"/>
  <c r="BI87" i="29"/>
  <c r="BI121" i="29"/>
  <c r="BL108" i="29"/>
  <c r="BI132" i="29"/>
  <c r="BI118" i="29"/>
  <c r="BL69" i="29"/>
  <c r="BM141" i="29"/>
  <c r="BN165" i="29"/>
  <c r="BN28" i="29"/>
  <c r="BL190" i="29"/>
  <c r="BG28" i="29"/>
  <c r="BU28" i="29" s="1"/>
  <c r="BI157" i="29"/>
  <c r="BI171" i="29"/>
  <c r="BN108" i="29"/>
  <c r="BL189" i="29"/>
  <c r="BJ87" i="29"/>
  <c r="BK87" i="29" s="1"/>
  <c r="BN87" i="29" s="1"/>
  <c r="BJ118" i="29"/>
  <c r="BK118" i="29" s="1"/>
  <c r="BN118" i="29" s="1"/>
  <c r="BI77" i="29"/>
  <c r="BI180" i="29"/>
  <c r="BG141" i="29"/>
  <c r="BU141" i="29" s="1"/>
  <c r="BM184" i="29"/>
  <c r="BL118" i="29"/>
  <c r="BI163" i="29"/>
  <c r="BM158" i="29"/>
  <c r="BM22" i="29"/>
  <c r="BL171" i="29"/>
  <c r="BJ152" i="29"/>
  <c r="BK152" i="29" s="1"/>
  <c r="BN152" i="29" s="1"/>
  <c r="BL29" i="29"/>
  <c r="BM159" i="29"/>
  <c r="BJ189" i="29"/>
  <c r="BK189" i="29" s="1"/>
  <c r="BN189" i="29" s="1"/>
  <c r="BL100" i="29"/>
  <c r="BN129" i="29"/>
  <c r="BL181" i="29"/>
  <c r="BI136" i="29"/>
  <c r="BL77" i="29"/>
  <c r="BJ164" i="29"/>
  <c r="BK164" i="29" s="1"/>
  <c r="BM164" i="29" s="1"/>
  <c r="BG184" i="29"/>
  <c r="BU184" i="29" s="1"/>
  <c r="BJ176" i="29"/>
  <c r="BK176" i="29" s="1"/>
  <c r="BN176" i="29" s="1"/>
  <c r="BI159" i="29"/>
  <c r="BG84" i="29"/>
  <c r="BU84" i="29" s="1"/>
  <c r="BM155" i="29"/>
  <c r="BM104" i="29"/>
  <c r="BI152" i="29"/>
  <c r="BL241" i="29"/>
  <c r="BJ188" i="29"/>
  <c r="BK188" i="29" s="1"/>
  <c r="BN188" i="29" s="1"/>
  <c r="BI22" i="29"/>
  <c r="BG151" i="29"/>
  <c r="BU151" i="29" s="1"/>
  <c r="BG111" i="29"/>
  <c r="BU111" i="29" s="1"/>
  <c r="BN160" i="29"/>
  <c r="BN83" i="29"/>
  <c r="BJ163" i="29"/>
  <c r="BK163" i="29" s="1"/>
  <c r="BM163" i="29" s="1"/>
  <c r="BG64" i="29"/>
  <c r="BU64" i="29" s="1"/>
  <c r="BG129" i="29"/>
  <c r="BU129" i="29" s="1"/>
  <c r="BI95" i="29"/>
  <c r="BG160" i="29"/>
  <c r="BU160" i="29" s="1"/>
  <c r="BL159" i="29"/>
  <c r="BL95" i="29"/>
  <c r="BL164" i="29"/>
  <c r="BG63" i="29"/>
  <c r="BU63" i="29" s="1"/>
  <c r="BN90" i="29"/>
  <c r="BI149" i="29"/>
  <c r="BM114" i="29"/>
  <c r="BL136" i="29"/>
  <c r="BI113" i="29"/>
  <c r="BL85" i="29"/>
  <c r="BL113" i="29"/>
  <c r="BI85" i="29"/>
  <c r="BN132" i="29"/>
  <c r="BL132" i="29"/>
  <c r="BJ29" i="29"/>
  <c r="BK29" i="29" s="1"/>
  <c r="BN29" i="29" s="1"/>
  <c r="BI241" i="29"/>
  <c r="BI13" i="29"/>
  <c r="BL13" i="29"/>
  <c r="BL152" i="29"/>
  <c r="BM117" i="29"/>
  <c r="BN171" i="29"/>
  <c r="BN116" i="29"/>
  <c r="BI104" i="29"/>
  <c r="BN136" i="29"/>
  <c r="BG175" i="29"/>
  <c r="BU175" i="29" s="1"/>
  <c r="BL198" i="29"/>
  <c r="BG49" i="29"/>
  <c r="BU49" i="29" s="1"/>
  <c r="BG117" i="29"/>
  <c r="BU117" i="29" s="1"/>
  <c r="BJ113" i="29"/>
  <c r="BK113" i="29" s="1"/>
  <c r="BN113" i="29" s="1"/>
  <c r="BL59" i="29"/>
  <c r="BM89" i="29"/>
  <c r="BN49" i="29"/>
  <c r="BJ198" i="29"/>
  <c r="BK198" i="29" s="1"/>
  <c r="BM198" i="29" s="1"/>
  <c r="BJ53" i="29"/>
  <c r="BK53" i="29" s="1"/>
  <c r="BM53" i="29" s="1"/>
  <c r="BJ59" i="29"/>
  <c r="BK59" i="29" s="1"/>
  <c r="BN59" i="29" s="1"/>
  <c r="BG169" i="29"/>
  <c r="BU169" i="29" s="1"/>
  <c r="BG74" i="29"/>
  <c r="BU74" i="29" s="1"/>
  <c r="BI59" i="29"/>
  <c r="BL142" i="29"/>
  <c r="BI79" i="29"/>
  <c r="BN119" i="29"/>
  <c r="BI198" i="29"/>
  <c r="BL52" i="29"/>
  <c r="BI155" i="29"/>
  <c r="BG83" i="29"/>
  <c r="BU83" i="29" s="1"/>
  <c r="BJ135" i="29"/>
  <c r="BK135" i="29" s="1"/>
  <c r="BM135" i="29" s="1"/>
  <c r="BJ52" i="29"/>
  <c r="BK52" i="29" s="1"/>
  <c r="BN52" i="29" s="1"/>
  <c r="BL155" i="29"/>
  <c r="BI135" i="29"/>
  <c r="BG53" i="29"/>
  <c r="BU53" i="29" s="1"/>
  <c r="BM95" i="29"/>
  <c r="BL218" i="29"/>
  <c r="BN186" i="29"/>
  <c r="BM84" i="29"/>
  <c r="BJ35" i="29"/>
  <c r="BK35" i="29" s="1"/>
  <c r="BN35" i="29" s="1"/>
  <c r="BL186" i="29"/>
  <c r="BL179" i="29"/>
  <c r="BN123" i="29"/>
  <c r="BG165" i="29"/>
  <c r="BU165" i="29" s="1"/>
  <c r="BG158" i="29"/>
  <c r="BU158" i="29" s="1"/>
  <c r="BJ178" i="29"/>
  <c r="BK178" i="29" s="1"/>
  <c r="BN178" i="29" s="1"/>
  <c r="BL144" i="29"/>
  <c r="BN166" i="29"/>
  <c r="BI173" i="29"/>
  <c r="BG199" i="29"/>
  <c r="BU199" i="29" s="1"/>
  <c r="BR35" i="29"/>
  <c r="BL35" i="29"/>
  <c r="BJ77" i="29"/>
  <c r="BK77" i="29" s="1"/>
  <c r="BM77" i="29" s="1"/>
  <c r="BL65" i="29"/>
  <c r="BJ149" i="29"/>
  <c r="BK149" i="29" s="1"/>
  <c r="BM149" i="29" s="1"/>
  <c r="BJ161" i="29"/>
  <c r="BK161" i="29" s="1"/>
  <c r="BN161" i="29" s="1"/>
  <c r="BL135" i="29"/>
  <c r="BM144" i="29"/>
  <c r="BL182" i="29"/>
  <c r="BI218" i="29"/>
  <c r="BI138" i="29"/>
  <c r="BI119" i="29"/>
  <c r="BI144" i="29"/>
  <c r="BM142" i="29"/>
  <c r="BG183" i="29"/>
  <c r="BU183" i="29" s="1"/>
  <c r="BI108" i="29"/>
  <c r="BL138" i="29"/>
  <c r="BI179" i="29"/>
  <c r="BI100" i="29"/>
  <c r="BG123" i="29"/>
  <c r="BU123" i="29" s="1"/>
  <c r="BI204" i="29"/>
  <c r="BM138" i="29"/>
  <c r="BJ179" i="29"/>
  <c r="BK179" i="29" s="1"/>
  <c r="BN179" i="29" s="1"/>
  <c r="BG197" i="29"/>
  <c r="BU197" i="29" s="1"/>
  <c r="BI116" i="29"/>
  <c r="BL79" i="29"/>
  <c r="BN110" i="29"/>
  <c r="BJ100" i="29"/>
  <c r="BK100" i="29" s="1"/>
  <c r="BN100" i="29" s="1"/>
  <c r="BL163" i="29"/>
  <c r="BL119" i="29"/>
  <c r="BL116" i="29"/>
  <c r="BL104" i="29"/>
  <c r="BI30" i="29"/>
  <c r="BI186" i="29"/>
  <c r="BJ79" i="29"/>
  <c r="BK79" i="29" s="1"/>
  <c r="BM79" i="29" s="1"/>
  <c r="BL22" i="29"/>
  <c r="BL173" i="29"/>
  <c r="BJ173" i="29"/>
  <c r="BK173" i="29" s="1"/>
  <c r="BM173" i="29" s="1"/>
  <c r="BI65" i="29"/>
  <c r="BI142" i="29"/>
  <c r="BL149" i="29"/>
  <c r="BG99" i="29"/>
  <c r="BU99" i="29" s="1"/>
  <c r="BJ85" i="29"/>
  <c r="BK85" i="29" s="1"/>
  <c r="BN85" i="29" s="1"/>
  <c r="BI35" i="29"/>
  <c r="BI182" i="29"/>
  <c r="BI110" i="29"/>
  <c r="BI161" i="29"/>
  <c r="BJ140" i="29"/>
  <c r="BK140" i="29" s="1"/>
  <c r="BM140" i="29" s="1"/>
  <c r="BI52" i="29"/>
  <c r="BJ192" i="29"/>
  <c r="BK192" i="29" s="1"/>
  <c r="BM192" i="29" s="1"/>
  <c r="BJ9" i="29"/>
  <c r="BK9" i="29" s="1"/>
  <c r="BL30" i="29"/>
  <c r="BJ13" i="29"/>
  <c r="BK13" i="29" s="1"/>
  <c r="BM13" i="29" s="1"/>
  <c r="BJ182" i="29"/>
  <c r="BK182" i="29" s="1"/>
  <c r="BM182" i="29" s="1"/>
  <c r="BJ204" i="29"/>
  <c r="BK204" i="29" s="1"/>
  <c r="BM204" i="29" s="1"/>
  <c r="BL204" i="29"/>
  <c r="BJ16" i="29"/>
  <c r="BK16" i="29" s="1"/>
  <c r="BM16" i="29" s="1"/>
  <c r="BN181" i="29"/>
  <c r="BL110" i="29"/>
  <c r="BI66" i="29"/>
  <c r="BJ66" i="29"/>
  <c r="BK66" i="29" s="1"/>
  <c r="BN66" i="29" s="1"/>
  <c r="BG114" i="29"/>
  <c r="BU114" i="29" s="1"/>
  <c r="BI120" i="29"/>
  <c r="BL120" i="29"/>
  <c r="BA212" i="29"/>
  <c r="BG212" i="29" s="1"/>
  <c r="BU212" i="29" s="1"/>
  <c r="BH212" i="29"/>
  <c r="BJ212" i="29" s="1"/>
  <c r="BK212" i="29" s="1"/>
  <c r="BI25" i="29"/>
  <c r="BL25" i="29"/>
  <c r="BG16" i="29"/>
  <c r="BU16" i="29" s="1"/>
  <c r="BL185" i="29"/>
  <c r="BN30" i="29"/>
  <c r="BN65" i="29"/>
  <c r="BH216" i="29"/>
  <c r="BJ216" i="29" s="1"/>
  <c r="BK216" i="29" s="1"/>
  <c r="BH154" i="29"/>
  <c r="BA150" i="29"/>
  <c r="BH150" i="29"/>
  <c r="AZ150" i="29"/>
  <c r="AZ154" i="29"/>
  <c r="BG154" i="29" s="1"/>
  <c r="BU154" i="29" s="1"/>
  <c r="BJ185" i="29"/>
  <c r="BK185" i="29" s="1"/>
  <c r="BN185" i="29" s="1"/>
  <c r="BI185" i="29"/>
  <c r="BN97" i="29"/>
  <c r="BG97" i="29"/>
  <c r="BU97" i="29" s="1"/>
  <c r="BL161" i="29"/>
  <c r="BM122" i="29"/>
  <c r="BN120" i="29"/>
  <c r="BM91" i="29"/>
  <c r="BG90" i="29"/>
  <c r="BU90" i="29" s="1"/>
  <c r="BI89" i="29"/>
  <c r="BL89" i="29"/>
  <c r="BL66" i="29"/>
  <c r="BG56" i="29"/>
  <c r="BU56" i="29" s="1"/>
  <c r="BM56" i="29"/>
  <c r="BI50" i="29"/>
  <c r="BL50" i="29"/>
  <c r="BA216" i="29"/>
  <c r="BG216" i="29" s="1"/>
  <c r="BU216" i="29" s="1"/>
  <c r="BG122" i="29"/>
  <c r="BU122" i="29" s="1"/>
  <c r="BG166" i="29"/>
  <c r="BU166" i="29" s="1"/>
  <c r="BI11" i="29"/>
  <c r="BJ203" i="29"/>
  <c r="BK203" i="29" s="1"/>
  <c r="BG203" i="29"/>
  <c r="BU203" i="29" s="1"/>
  <c r="BJ195" i="29"/>
  <c r="BK195" i="29" s="1"/>
  <c r="BG195" i="29"/>
  <c r="BU195" i="29" s="1"/>
  <c r="BJ199" i="29"/>
  <c r="BK199" i="29" s="1"/>
  <c r="BG91" i="29"/>
  <c r="BU91" i="29" s="1"/>
  <c r="AZ193" i="29"/>
  <c r="BJ193" i="29" s="1"/>
  <c r="BK193" i="29" s="1"/>
  <c r="BA193" i="29"/>
  <c r="BJ201" i="29"/>
  <c r="BK201" i="29" s="1"/>
  <c r="BG201" i="29"/>
  <c r="BU201" i="29" s="1"/>
  <c r="BN25" i="29"/>
  <c r="BJ202" i="29"/>
  <c r="BK202" i="29" s="1"/>
  <c r="BG206" i="29"/>
  <c r="BU206" i="29" s="1"/>
  <c r="BJ99" i="29"/>
  <c r="BK99" i="29" s="1"/>
  <c r="BM99" i="29" s="1"/>
  <c r="BJ210" i="29"/>
  <c r="BK210" i="29" s="1"/>
  <c r="BG210" i="29"/>
  <c r="BU210" i="29" s="1"/>
  <c r="BG202" i="29"/>
  <c r="BU202" i="29" s="1"/>
  <c r="BJ206" i="29"/>
  <c r="BK206" i="29" s="1"/>
  <c r="BG205" i="29"/>
  <c r="BU205" i="29" s="1"/>
  <c r="BJ197" i="29"/>
  <c r="BK197" i="29" s="1"/>
  <c r="BJ208" i="29"/>
  <c r="BK208" i="29" s="1"/>
  <c r="BG208" i="29"/>
  <c r="BU208" i="29" s="1"/>
  <c r="BJ211" i="29"/>
  <c r="BK211" i="29" s="1"/>
  <c r="BG211" i="29"/>
  <c r="BU211" i="29" s="1"/>
  <c r="BH168" i="29"/>
  <c r="AZ168" i="29"/>
  <c r="BA168" i="29"/>
  <c r="BJ205" i="29"/>
  <c r="BK205" i="29" s="1"/>
  <c r="BJ219" i="29"/>
  <c r="BK219" i="29" s="1"/>
  <c r="AZ217" i="29"/>
  <c r="BA217" i="29"/>
  <c r="BH217" i="29"/>
  <c r="BG219" i="29"/>
  <c r="BU219" i="29" s="1"/>
  <c r="BL178" i="29"/>
  <c r="BL101" i="29"/>
  <c r="BL124" i="29"/>
  <c r="BL71" i="29"/>
  <c r="BL42" i="29"/>
  <c r="BI60" i="29"/>
  <c r="BL24" i="29"/>
  <c r="BL172" i="29"/>
  <c r="BI148" i="29"/>
  <c r="BI67" i="29"/>
  <c r="BL240" i="29"/>
  <c r="BL134" i="29"/>
  <c r="BL33" i="29"/>
  <c r="BL51" i="29"/>
  <c r="BI41" i="29"/>
  <c r="BL131" i="29"/>
  <c r="BI237" i="29"/>
  <c r="BI242" i="29"/>
  <c r="BL26" i="29"/>
  <c r="BL68" i="29"/>
  <c r="BL19" i="29"/>
  <c r="BL37" i="29"/>
  <c r="BI145" i="29"/>
  <c r="BL75" i="29"/>
  <c r="BI112" i="29"/>
  <c r="BL167" i="29"/>
  <c r="BI224" i="29"/>
  <c r="BI57" i="29"/>
  <c r="BI215" i="29"/>
  <c r="BI47" i="29"/>
  <c r="BL127" i="29"/>
  <c r="BL153" i="29"/>
  <c r="BL133" i="29"/>
  <c r="BL192" i="29"/>
  <c r="BI42" i="29"/>
  <c r="BN71" i="29"/>
  <c r="BL57" i="29"/>
  <c r="BI71" i="29"/>
  <c r="BI51" i="29"/>
  <c r="BN57" i="29"/>
  <c r="BN64" i="29"/>
  <c r="BN156" i="29"/>
  <c r="BI153" i="29"/>
  <c r="BJ48" i="29"/>
  <c r="BK48" i="29" s="1"/>
  <c r="BM48" i="29" s="1"/>
  <c r="BG62" i="29"/>
  <c r="BU62" i="29" s="1"/>
  <c r="BG48" i="29"/>
  <c r="BU48" i="29" s="1"/>
  <c r="BM112" i="29"/>
  <c r="BN112" i="29"/>
  <c r="BG15" i="29"/>
  <c r="BU15" i="29" s="1"/>
  <c r="BM51" i="29"/>
  <c r="BG130" i="29"/>
  <c r="BU130" i="29" s="1"/>
  <c r="BM177" i="29"/>
  <c r="BJ130" i="29"/>
  <c r="BK130" i="29" s="1"/>
  <c r="BM130" i="29" s="1"/>
  <c r="BI178" i="29"/>
  <c r="BG81" i="29"/>
  <c r="BU81" i="29" s="1"/>
  <c r="BI192" i="29"/>
  <c r="BI9" i="29"/>
  <c r="BJ133" i="29"/>
  <c r="BK133" i="29" s="1"/>
  <c r="BM133" i="29" s="1"/>
  <c r="BL67" i="29"/>
  <c r="BL148" i="29"/>
  <c r="BJ33" i="29"/>
  <c r="BK33" i="29" s="1"/>
  <c r="BM33" i="29" s="1"/>
  <c r="BG32" i="29"/>
  <c r="BU32" i="29" s="1"/>
  <c r="BJ127" i="29"/>
  <c r="BK127" i="29" s="1"/>
  <c r="BN127" i="29" s="1"/>
  <c r="BN63" i="29"/>
  <c r="BN169" i="29"/>
  <c r="BJ75" i="29"/>
  <c r="BK75" i="29" s="1"/>
  <c r="BM75" i="29" s="1"/>
  <c r="BL41" i="29"/>
  <c r="BJ124" i="29"/>
  <c r="BK124" i="29" s="1"/>
  <c r="BM124" i="29" s="1"/>
  <c r="BG82" i="29"/>
  <c r="BU82" i="29" s="1"/>
  <c r="BG105" i="29"/>
  <c r="BU105" i="29" s="1"/>
  <c r="BG70" i="29"/>
  <c r="BU70" i="29" s="1"/>
  <c r="BG76" i="29"/>
  <c r="BU76" i="29" s="1"/>
  <c r="BN115" i="29"/>
  <c r="BG109" i="29"/>
  <c r="BU109" i="29" s="1"/>
  <c r="BN47" i="29"/>
  <c r="BM47" i="29"/>
  <c r="BM24" i="29"/>
  <c r="BN24" i="29"/>
  <c r="BM96" i="29"/>
  <c r="BN96" i="29"/>
  <c r="BM81" i="29"/>
  <c r="BN81" i="29"/>
  <c r="BL47" i="29"/>
  <c r="BM101" i="29"/>
  <c r="BN101" i="29"/>
  <c r="BN23" i="29"/>
  <c r="BM23" i="29"/>
  <c r="BM62" i="29"/>
  <c r="BN62" i="29"/>
  <c r="BN131" i="29"/>
  <c r="BM131" i="29"/>
  <c r="BL112" i="29"/>
  <c r="BM37" i="29"/>
  <c r="BN37" i="29"/>
  <c r="BM137" i="29"/>
  <c r="BN137" i="29"/>
  <c r="BM44" i="29"/>
  <c r="BN44" i="29"/>
  <c r="BG43" i="29"/>
  <c r="BU43" i="29" s="1"/>
  <c r="BM61" i="29"/>
  <c r="BN61" i="29"/>
  <c r="BN134" i="29"/>
  <c r="BM134" i="29"/>
  <c r="BM151" i="29"/>
  <c r="BN151" i="29"/>
  <c r="BM107" i="29"/>
  <c r="BN107" i="29"/>
  <c r="BN106" i="29"/>
  <c r="BM106" i="29"/>
  <c r="BM175" i="29"/>
  <c r="BN175" i="29"/>
  <c r="BG103" i="29"/>
  <c r="BU103" i="29" s="1"/>
  <c r="BM109" i="29"/>
  <c r="BN109" i="29"/>
  <c r="BM102" i="29"/>
  <c r="BN102" i="29"/>
  <c r="BN15" i="29"/>
  <c r="BM15" i="29"/>
  <c r="BJ73" i="29"/>
  <c r="BK73" i="29" s="1"/>
  <c r="BN43" i="29"/>
  <c r="BM43" i="29"/>
  <c r="BM60" i="29"/>
  <c r="BN60" i="29"/>
  <c r="BM14" i="29"/>
  <c r="BN14" i="29"/>
  <c r="BG128" i="29"/>
  <c r="BU128" i="29" s="1"/>
  <c r="BN31" i="29"/>
  <c r="BM31" i="29"/>
  <c r="BN153" i="29"/>
  <c r="BM153" i="29"/>
  <c r="BM143" i="29"/>
  <c r="BN143" i="29"/>
  <c r="BM74" i="29"/>
  <c r="BN74" i="29"/>
  <c r="BM32" i="29"/>
  <c r="BN32" i="29"/>
  <c r="BN172" i="29"/>
  <c r="BM172" i="29"/>
  <c r="BM145" i="29"/>
  <c r="BN145" i="29"/>
  <c r="BM54" i="29"/>
  <c r="BN54" i="29"/>
  <c r="BM17" i="29"/>
  <c r="BN17" i="29"/>
  <c r="BM70" i="29"/>
  <c r="BN70" i="29"/>
  <c r="BM111" i="29"/>
  <c r="BN111" i="29"/>
  <c r="BM36" i="29"/>
  <c r="BN36" i="29"/>
  <c r="BM21" i="29"/>
  <c r="BN21" i="29"/>
  <c r="BM94" i="29"/>
  <c r="BN94" i="29"/>
  <c r="BN126" i="29"/>
  <c r="BM126" i="29"/>
  <c r="BI134" i="29"/>
  <c r="BJ105" i="29"/>
  <c r="BK105" i="29" s="1"/>
  <c r="BI127" i="29"/>
  <c r="BJ19" i="29"/>
  <c r="BK19" i="29" s="1"/>
  <c r="BI37" i="29"/>
  <c r="BG73" i="29"/>
  <c r="BU73" i="29" s="1"/>
  <c r="BG23" i="29"/>
  <c r="BU23" i="29" s="1"/>
  <c r="BG34" i="29"/>
  <c r="BU34" i="29" s="1"/>
  <c r="BJ82" i="29"/>
  <c r="BK82" i="29" s="1"/>
  <c r="BJ128" i="29"/>
  <c r="BK128" i="29" s="1"/>
  <c r="BI124" i="29"/>
  <c r="BI167" i="29"/>
  <c r="BI75" i="29"/>
  <c r="BG14" i="29"/>
  <c r="BU14" i="29" s="1"/>
  <c r="BI131" i="29"/>
  <c r="BL145" i="29"/>
  <c r="BJ103" i="29"/>
  <c r="BK103" i="29" s="1"/>
  <c r="BJ167" i="29"/>
  <c r="BK167" i="29" s="1"/>
  <c r="BG20" i="29"/>
  <c r="BU20" i="29" s="1"/>
  <c r="BI44" i="29"/>
  <c r="BL44" i="29"/>
  <c r="BL18" i="29"/>
  <c r="BI18" i="29"/>
  <c r="BI19" i="29"/>
  <c r="BJ34" i="29"/>
  <c r="BK34" i="29" s="1"/>
  <c r="BJ76" i="29"/>
  <c r="BK76" i="29" s="1"/>
  <c r="BJ20" i="29"/>
  <c r="BK20" i="29" s="1"/>
  <c r="BI68" i="29"/>
  <c r="BJ26" i="29"/>
  <c r="BK26" i="29" s="1"/>
  <c r="BJ18" i="29"/>
  <c r="BK18" i="29" s="1"/>
  <c r="BI101" i="29"/>
  <c r="BG54" i="29"/>
  <c r="BU54" i="29" s="1"/>
  <c r="BL106" i="29"/>
  <c r="BI106" i="29"/>
  <c r="BJ68" i="29"/>
  <c r="BK68" i="29" s="1"/>
  <c r="BL137" i="29"/>
  <c r="BI137" i="29"/>
  <c r="BI133" i="29"/>
  <c r="BI172" i="29"/>
  <c r="BI33" i="29"/>
  <c r="BG31" i="29"/>
  <c r="BU31" i="29" s="1"/>
  <c r="BG107" i="29"/>
  <c r="BU107" i="29" s="1"/>
  <c r="BI24" i="29"/>
  <c r="BI26" i="29"/>
  <c r="BG21" i="29"/>
  <c r="BU21" i="29" s="1"/>
  <c r="BL60" i="29"/>
  <c r="BL170" i="29"/>
  <c r="BI170" i="29"/>
  <c r="BL94" i="29"/>
  <c r="BI94" i="29"/>
  <c r="BL36" i="29"/>
  <c r="BI36" i="29"/>
  <c r="BL102" i="29"/>
  <c r="BI102" i="29"/>
  <c r="BL17" i="29"/>
  <c r="BI17" i="29"/>
  <c r="BL224" i="29"/>
  <c r="BI240" i="29"/>
  <c r="BL215" i="29"/>
  <c r="BL242" i="29"/>
  <c r="BM230" i="29"/>
  <c r="BN236" i="29"/>
  <c r="BN246" i="29"/>
  <c r="BN244" i="29"/>
  <c r="BN226" i="29"/>
  <c r="BL237" i="29"/>
  <c r="BI235" i="29"/>
  <c r="BL235" i="29"/>
  <c r="BI194" i="29"/>
  <c r="BL194" i="29"/>
  <c r="AS5" i="29"/>
  <c r="BM55" i="29" l="1"/>
  <c r="BR130" i="29"/>
  <c r="BR206" i="29"/>
  <c r="BR166" i="29"/>
  <c r="BR212" i="29"/>
  <c r="BI99" i="29"/>
  <c r="BR123" i="29"/>
  <c r="BR103" i="29"/>
  <c r="BR54" i="29"/>
  <c r="BR34" i="29"/>
  <c r="BR76" i="29"/>
  <c r="BR122" i="29"/>
  <c r="BR129" i="29"/>
  <c r="BR184" i="29"/>
  <c r="BR188" i="29"/>
  <c r="BR31" i="29"/>
  <c r="BR23" i="29"/>
  <c r="BR128" i="29"/>
  <c r="BR70" i="29"/>
  <c r="BR15" i="29"/>
  <c r="BI205" i="29"/>
  <c r="BR195" i="29"/>
  <c r="BR216" i="29"/>
  <c r="BR90" i="29"/>
  <c r="BR83" i="29"/>
  <c r="BR74" i="29"/>
  <c r="BR64" i="29"/>
  <c r="BR141" i="29"/>
  <c r="BR73" i="29"/>
  <c r="BR105" i="29"/>
  <c r="BR201" i="29"/>
  <c r="BR154" i="29"/>
  <c r="BR114" i="29"/>
  <c r="BR158" i="29"/>
  <c r="BR169" i="29"/>
  <c r="BR117" i="29"/>
  <c r="BR63" i="29"/>
  <c r="BR147" i="29"/>
  <c r="BR45" i="29"/>
  <c r="BR14" i="29"/>
  <c r="BR21" i="29"/>
  <c r="BR82" i="29"/>
  <c r="BR32" i="29"/>
  <c r="BR81" i="29"/>
  <c r="BR219" i="29"/>
  <c r="BR202" i="29"/>
  <c r="BR16" i="29"/>
  <c r="BR197" i="29"/>
  <c r="BR199" i="29"/>
  <c r="BR165" i="29"/>
  <c r="BR49" i="29"/>
  <c r="BR28" i="29"/>
  <c r="BR43" i="29"/>
  <c r="BR48" i="29"/>
  <c r="BR211" i="29"/>
  <c r="BR210" i="29"/>
  <c r="BR183" i="29"/>
  <c r="BR53" i="29"/>
  <c r="BR174" i="29"/>
  <c r="BR20" i="29"/>
  <c r="BR62" i="29"/>
  <c r="BR56" i="29"/>
  <c r="BR175" i="29"/>
  <c r="BR111" i="29"/>
  <c r="BR84" i="29"/>
  <c r="BR140" i="29"/>
  <c r="BR55" i="29"/>
  <c r="BR107" i="29"/>
  <c r="BR109" i="29"/>
  <c r="BR208" i="29"/>
  <c r="BR91" i="29"/>
  <c r="BR97" i="29"/>
  <c r="BR160" i="29"/>
  <c r="BR151" i="29"/>
  <c r="BR27" i="29"/>
  <c r="BM183" i="29"/>
  <c r="BL55" i="29"/>
  <c r="BI55" i="29"/>
  <c r="BI10" i="29"/>
  <c r="BN174" i="29"/>
  <c r="BN27" i="29"/>
  <c r="BI140" i="29"/>
  <c r="BL140" i="29"/>
  <c r="BI174" i="29"/>
  <c r="BL174" i="29"/>
  <c r="BN45" i="29"/>
  <c r="BL45" i="29"/>
  <c r="BI45" i="29"/>
  <c r="BL83" i="29"/>
  <c r="BN121" i="29"/>
  <c r="BM139" i="29"/>
  <c r="BM180" i="29"/>
  <c r="BL188" i="29"/>
  <c r="BI147" i="29"/>
  <c r="BL147" i="29"/>
  <c r="BM200" i="29"/>
  <c r="BI188" i="29"/>
  <c r="BM148" i="29"/>
  <c r="BL141" i="29"/>
  <c r="BL84" i="29"/>
  <c r="BI129" i="29"/>
  <c r="BM188" i="29"/>
  <c r="BM189" i="29"/>
  <c r="BM87" i="29"/>
  <c r="BI28" i="29"/>
  <c r="BL175" i="29"/>
  <c r="BM161" i="29"/>
  <c r="BM118" i="29"/>
  <c r="BI175" i="29"/>
  <c r="BI184" i="29"/>
  <c r="BM113" i="29"/>
  <c r="BL28" i="29"/>
  <c r="BL111" i="29"/>
  <c r="BI64" i="29"/>
  <c r="BN198" i="29"/>
  <c r="BL184" i="29"/>
  <c r="BN164" i="29"/>
  <c r="BM176" i="29"/>
  <c r="BM59" i="29"/>
  <c r="BI141" i="29"/>
  <c r="BI169" i="29"/>
  <c r="BI151" i="29"/>
  <c r="BL49" i="29"/>
  <c r="BL151" i="29"/>
  <c r="BL64" i="29"/>
  <c r="BL129" i="29"/>
  <c r="BI84" i="29"/>
  <c r="BM100" i="29"/>
  <c r="BM152" i="29"/>
  <c r="BI63" i="29"/>
  <c r="BM179" i="29"/>
  <c r="BN135" i="29"/>
  <c r="BI83" i="29"/>
  <c r="BN163" i="29"/>
  <c r="BI74" i="29"/>
  <c r="BL169" i="29"/>
  <c r="BI117" i="29"/>
  <c r="BM52" i="29"/>
  <c r="BI158" i="29"/>
  <c r="BM178" i="29"/>
  <c r="BI49" i="29"/>
  <c r="BL160" i="29"/>
  <c r="BL158" i="29"/>
  <c r="BL117" i="29"/>
  <c r="BL74" i="29"/>
  <c r="BI111" i="29"/>
  <c r="BI160" i="29"/>
  <c r="BM29" i="29"/>
  <c r="BL63" i="29"/>
  <c r="BL183" i="29"/>
  <c r="BI53" i="29"/>
  <c r="BN53" i="29"/>
  <c r="BL53" i="29"/>
  <c r="BI183" i="29"/>
  <c r="BI199" i="29"/>
  <c r="BN173" i="29"/>
  <c r="BL165" i="29"/>
  <c r="BI165" i="29"/>
  <c r="BL199" i="29"/>
  <c r="BI197" i="29"/>
  <c r="BN77" i="29"/>
  <c r="BM35" i="29"/>
  <c r="BN149" i="29"/>
  <c r="BN79" i="29"/>
  <c r="BM85" i="29"/>
  <c r="BL123" i="29"/>
  <c r="BN13" i="29"/>
  <c r="BI123" i="29"/>
  <c r="BL197" i="29"/>
  <c r="BJ154" i="29"/>
  <c r="BK154" i="29" s="1"/>
  <c r="BM154" i="29" s="1"/>
  <c r="BN182" i="29"/>
  <c r="BN192" i="29"/>
  <c r="BR99" i="29"/>
  <c r="BN204" i="29"/>
  <c r="BN140" i="29"/>
  <c r="BI90" i="29"/>
  <c r="BI154" i="29"/>
  <c r="BM185" i="29"/>
  <c r="BN16" i="29"/>
  <c r="BL114" i="29"/>
  <c r="BL99" i="29"/>
  <c r="BL90" i="29"/>
  <c r="BI114" i="29"/>
  <c r="BL154" i="29"/>
  <c r="BM66" i="29"/>
  <c r="BI97" i="29"/>
  <c r="BM216" i="29"/>
  <c r="BN216" i="29"/>
  <c r="BG217" i="29"/>
  <c r="BU217" i="29" s="1"/>
  <c r="BJ150" i="29"/>
  <c r="BK150" i="29" s="1"/>
  <c r="BG150" i="29"/>
  <c r="BU150" i="29" s="1"/>
  <c r="BL56" i="29"/>
  <c r="BI56" i="29"/>
  <c r="BL166" i="29"/>
  <c r="BI166" i="29"/>
  <c r="BL97" i="29"/>
  <c r="BI122" i="29"/>
  <c r="BL122" i="29"/>
  <c r="BI91" i="29"/>
  <c r="BL91" i="29"/>
  <c r="BI216" i="29"/>
  <c r="BN99" i="29"/>
  <c r="BL216" i="29"/>
  <c r="BG193" i="29"/>
  <c r="BU193" i="29" s="1"/>
  <c r="BL205" i="29"/>
  <c r="BN193" i="29"/>
  <c r="BM193" i="29"/>
  <c r="BM201" i="29"/>
  <c r="BN201" i="29"/>
  <c r="BR205" i="29"/>
  <c r="BN206" i="29"/>
  <c r="BM206" i="29"/>
  <c r="BR203" i="29"/>
  <c r="BL203" i="29"/>
  <c r="BI203" i="29"/>
  <c r="BM202" i="29"/>
  <c r="BN202" i="29"/>
  <c r="BL201" i="29"/>
  <c r="BI201" i="29"/>
  <c r="BM195" i="29"/>
  <c r="BN195" i="29"/>
  <c r="BL202" i="29"/>
  <c r="BI202" i="29"/>
  <c r="BM203" i="29"/>
  <c r="BN203" i="29"/>
  <c r="BI195" i="29"/>
  <c r="BL195" i="29"/>
  <c r="BI210" i="29"/>
  <c r="BL210" i="29"/>
  <c r="BM210" i="29"/>
  <c r="BN210" i="29"/>
  <c r="BN197" i="29"/>
  <c r="BM197" i="29"/>
  <c r="BL206" i="29"/>
  <c r="BI206" i="29"/>
  <c r="BN199" i="29"/>
  <c r="BM199" i="29"/>
  <c r="BI208" i="29"/>
  <c r="BL208" i="29"/>
  <c r="BN212" i="29"/>
  <c r="BM212" i="29"/>
  <c r="BM211" i="29"/>
  <c r="BN211" i="29"/>
  <c r="BN219" i="29"/>
  <c r="BM219" i="29"/>
  <c r="BL212" i="29"/>
  <c r="BI212" i="29"/>
  <c r="BN205" i="29"/>
  <c r="BM205" i="29"/>
  <c r="BI219" i="29"/>
  <c r="BL219" i="29"/>
  <c r="BJ217" i="29"/>
  <c r="BK217" i="29" s="1"/>
  <c r="BJ168" i="29"/>
  <c r="BK168" i="29" s="1"/>
  <c r="BG168" i="29"/>
  <c r="BU168" i="29" s="1"/>
  <c r="BL211" i="29"/>
  <c r="BI211" i="29"/>
  <c r="BN208" i="29"/>
  <c r="BM208" i="29"/>
  <c r="BL62" i="29"/>
  <c r="BI20" i="29"/>
  <c r="BL43" i="29"/>
  <c r="BI76" i="29"/>
  <c r="BI82" i="29"/>
  <c r="BL16" i="29"/>
  <c r="BL15" i="29"/>
  <c r="BI73" i="29"/>
  <c r="BI27" i="29"/>
  <c r="BI105" i="29"/>
  <c r="BL103" i="29"/>
  <c r="BL128" i="29"/>
  <c r="BL70" i="29"/>
  <c r="BI48" i="29"/>
  <c r="BL109" i="29"/>
  <c r="BL32" i="29"/>
  <c r="BL34" i="29"/>
  <c r="BL81" i="29"/>
  <c r="BL130" i="29"/>
  <c r="BI23" i="29"/>
  <c r="BI15" i="29"/>
  <c r="BN48" i="29"/>
  <c r="BI62" i="29"/>
  <c r="BN130" i="29"/>
  <c r="BL48" i="29"/>
  <c r="BI130" i="29"/>
  <c r="BN133" i="29"/>
  <c r="BI81" i="29"/>
  <c r="BL76" i="29"/>
  <c r="BL27" i="29"/>
  <c r="BI16" i="29"/>
  <c r="BN33" i="29"/>
  <c r="BL82" i="29"/>
  <c r="BM127" i="29"/>
  <c r="BL105" i="29"/>
  <c r="BI70" i="29"/>
  <c r="BI32" i="29"/>
  <c r="BN124" i="29"/>
  <c r="BI128" i="29"/>
  <c r="BN75" i="29"/>
  <c r="BI109" i="29"/>
  <c r="BM20" i="29"/>
  <c r="BN20" i="29"/>
  <c r="BL23" i="29"/>
  <c r="BM128" i="29"/>
  <c r="BN128" i="29"/>
  <c r="BI43" i="29"/>
  <c r="BM18" i="29"/>
  <c r="BN18" i="29"/>
  <c r="BI103" i="29"/>
  <c r="BM105" i="29"/>
  <c r="BN105" i="29"/>
  <c r="BN103" i="29"/>
  <c r="BM103" i="29"/>
  <c r="BN26" i="29"/>
  <c r="BM26" i="29"/>
  <c r="BL73" i="29"/>
  <c r="BM73" i="29"/>
  <c r="BN73" i="29"/>
  <c r="BM68" i="29"/>
  <c r="BN68" i="29"/>
  <c r="BM167" i="29"/>
  <c r="BN167" i="29"/>
  <c r="BN82" i="29"/>
  <c r="BM82" i="29"/>
  <c r="BN19" i="29"/>
  <c r="BM19" i="29"/>
  <c r="BM76" i="29"/>
  <c r="BN76" i="29"/>
  <c r="BM34" i="29"/>
  <c r="BN34" i="29"/>
  <c r="BI34" i="29"/>
  <c r="BL14" i="29"/>
  <c r="BI14" i="29"/>
  <c r="BL20" i="29"/>
  <c r="BL54" i="29"/>
  <c r="BI54" i="29"/>
  <c r="BL107" i="29"/>
  <c r="BI107" i="29"/>
  <c r="BL31" i="29"/>
  <c r="BI31" i="29"/>
  <c r="BL21" i="29"/>
  <c r="BI21" i="29"/>
  <c r="AP6" i="29"/>
  <c r="AT6" i="29" s="1"/>
  <c r="AP7" i="29"/>
  <c r="AT7" i="29" s="1"/>
  <c r="AP8" i="29"/>
  <c r="AT8" i="29" s="1"/>
  <c r="BR150" i="29" l="1"/>
  <c r="BR193" i="29"/>
  <c r="BE7" i="29"/>
  <c r="BE8" i="29"/>
  <c r="AT2" i="29"/>
  <c r="BE6" i="29"/>
  <c r="BI217" i="29"/>
  <c r="BR217" i="29"/>
  <c r="BN154" i="29"/>
  <c r="BL217" i="29"/>
  <c r="BM150" i="29"/>
  <c r="BN150" i="29"/>
  <c r="BL193" i="29"/>
  <c r="BI193" i="29"/>
  <c r="BL150" i="29"/>
  <c r="BI150" i="29"/>
  <c r="BM217" i="29"/>
  <c r="BN217" i="29"/>
  <c r="BN168" i="29"/>
  <c r="BM168" i="29"/>
  <c r="BR168" i="29"/>
  <c r="BI168" i="29"/>
  <c r="BL168" i="29"/>
  <c r="BF8" i="29"/>
  <c r="AU8" i="29"/>
  <c r="AU7" i="29"/>
  <c r="BF7" i="29"/>
  <c r="BF6" i="29"/>
  <c r="AU6" i="29"/>
  <c r="AV7" i="29" l="1"/>
  <c r="AW7" i="29"/>
  <c r="AV8" i="29"/>
  <c r="AW8" i="29"/>
  <c r="AV6" i="29"/>
  <c r="AW6" i="29"/>
  <c r="BR10" i="29"/>
  <c r="AU5" i="29"/>
  <c r="AU2" i="29" s="1"/>
  <c r="BF5" i="29"/>
  <c r="BL11" i="29" l="1"/>
  <c r="BN9" i="29"/>
  <c r="BM9" i="29"/>
  <c r="BL9" i="29"/>
  <c r="BM10" i="29"/>
  <c r="BN10" i="29"/>
  <c r="BN11" i="29"/>
  <c r="BM11" i="29"/>
  <c r="BL10" i="29"/>
  <c r="AY7" i="29"/>
  <c r="BA7" i="29" s="1"/>
  <c r="AY6" i="29"/>
  <c r="AY8" i="29"/>
  <c r="BH8" i="29" s="1"/>
  <c r="AV5" i="29"/>
  <c r="AV2" i="29" s="1"/>
  <c r="AW5" i="29"/>
  <c r="AW2" i="29" s="1"/>
  <c r="AZ7" i="29" l="1"/>
  <c r="BG7" i="29" s="1"/>
  <c r="BU7" i="29" s="1"/>
  <c r="BH7" i="29"/>
  <c r="BA8" i="29"/>
  <c r="AZ8" i="29"/>
  <c r="BJ8" i="29" s="1"/>
  <c r="BK8" i="29" s="1"/>
  <c r="AZ6" i="29"/>
  <c r="BA6" i="29"/>
  <c r="BH6" i="29"/>
  <c r="AY5" i="29"/>
  <c r="AY2" i="29" s="1"/>
  <c r="BR7" i="29" l="1"/>
  <c r="BL7" i="29"/>
  <c r="BI7" i="29"/>
  <c r="BJ7" i="29"/>
  <c r="BK7" i="29" s="1"/>
  <c r="BJ6" i="29"/>
  <c r="BK6" i="29" s="1"/>
  <c r="BG8" i="29"/>
  <c r="BU8" i="29" s="1"/>
  <c r="BG6" i="29"/>
  <c r="BU6" i="29" s="1"/>
  <c r="BR6" i="29" l="1"/>
  <c r="BR8" i="29"/>
  <c r="BM6" i="29"/>
  <c r="BN6" i="29"/>
  <c r="BM7" i="29"/>
  <c r="BN7" i="29"/>
  <c r="BI6" i="29"/>
  <c r="BL6" i="29"/>
  <c r="BI8" i="29"/>
  <c r="AZ5" i="29" l="1"/>
  <c r="AZ2" i="29" s="1"/>
  <c r="BH5" i="29" l="1"/>
  <c r="BJ5" i="29" s="1"/>
  <c r="BK5" i="29" s="1"/>
  <c r="BA5" i="29"/>
  <c r="BA2" i="29" s="1"/>
  <c r="BG5" i="29" l="1"/>
  <c r="BU5" i="29" s="1"/>
  <c r="BM5" i="29"/>
  <c r="BN5" i="29"/>
  <c r="BG2" i="29" l="1"/>
  <c r="BG3" i="29" s="1"/>
  <c r="BL5" i="29"/>
  <c r="BR5" i="29"/>
  <c r="BI5" i="29"/>
  <c r="BE2" i="29" l="1"/>
  <c r="T8" i="29" l="1"/>
  <c r="T2" i="29" s="1"/>
  <c r="AT1" i="29" l="1"/>
  <c r="AC8" i="29"/>
  <c r="U8" i="29"/>
  <c r="U2" i="29" s="1"/>
  <c r="V8" i="29"/>
  <c r="V2" i="29" s="1"/>
  <c r="AB8" i="29" l="1"/>
  <c r="AB2" i="29" s="1"/>
  <c r="BH2" i="29" s="1"/>
  <c r="AE8" i="29"/>
  <c r="AF8" i="29" s="1"/>
  <c r="BM8" i="29" s="1"/>
  <c r="BI2" i="29" l="1"/>
  <c r="BJ2" i="29"/>
  <c r="BN8" i="29"/>
  <c r="BL8" i="29"/>
  <c r="AD8" i="29"/>
  <c r="AD2" i="29" s="1"/>
  <c r="BH3" i="29" l="1"/>
  <c r="AB1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Soundara Raja</author>
  </authors>
  <commentList>
    <comment ref="K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Soundara Raja:</t>
        </r>
        <r>
          <rPr>
            <sz val="9"/>
            <color indexed="81"/>
            <rFont val="Tahoma"/>
            <family val="2"/>
          </rPr>
          <t xml:space="preserve">
A - ANALYST
C - CALLER/CREDENTIAL
D - CODER
M - MANAGEMENT
S - TRANSACTION
E - CREDENTIAL
I -  DIGITAL
</t>
        </r>
      </text>
    </comment>
  </commentList>
</comments>
</file>

<file path=xl/sharedStrings.xml><?xml version="1.0" encoding="utf-8"?>
<sst xmlns="http://schemas.openxmlformats.org/spreadsheetml/2006/main" count="6588" uniqueCount="1041">
  <si>
    <t>AE2</t>
  </si>
  <si>
    <t>AE3</t>
  </si>
  <si>
    <t>AE4</t>
  </si>
  <si>
    <t>AE5</t>
  </si>
  <si>
    <t>AE6</t>
  </si>
  <si>
    <t>E1</t>
  </si>
  <si>
    <t>E2</t>
  </si>
  <si>
    <t>SE1</t>
  </si>
  <si>
    <t>Level / Rating</t>
  </si>
  <si>
    <t>AE1</t>
  </si>
  <si>
    <t>E3</t>
  </si>
  <si>
    <t>E4</t>
  </si>
  <si>
    <t>SE2</t>
  </si>
  <si>
    <t>SE3</t>
  </si>
  <si>
    <t>Revised overall CTC</t>
  </si>
  <si>
    <t>Before vs After revision</t>
  </si>
  <si>
    <t>Appraisal %</t>
  </si>
  <si>
    <t>Total Gross</t>
  </si>
  <si>
    <t>In dollars</t>
  </si>
  <si>
    <t>Employee ID</t>
  </si>
  <si>
    <t>Depart</t>
  </si>
  <si>
    <t>STATUS</t>
  </si>
  <si>
    <t>Annual Appraisal Review (E/NE)</t>
  </si>
  <si>
    <t>Category</t>
  </si>
  <si>
    <t>Prefix</t>
  </si>
  <si>
    <t>Employee Name</t>
  </si>
  <si>
    <t>DOJ</t>
  </si>
  <si>
    <t>Sai Exp</t>
  </si>
  <si>
    <t>Earlie.Exp</t>
  </si>
  <si>
    <t>Sub Band  - DOMAIN</t>
  </si>
  <si>
    <t>Role</t>
  </si>
  <si>
    <t>Curr Design</t>
  </si>
  <si>
    <t>Designation</t>
  </si>
  <si>
    <t>Current CTC</t>
  </si>
  <si>
    <t>Basic</t>
  </si>
  <si>
    <t>HRA</t>
  </si>
  <si>
    <t>Medical</t>
  </si>
  <si>
    <t xml:space="preserve">Special Allowance </t>
  </si>
  <si>
    <t>Current Gross</t>
  </si>
  <si>
    <t xml:space="preserve">PF-Co Share </t>
  </si>
  <si>
    <t xml:space="preserve">ESIC -Co. Share </t>
  </si>
  <si>
    <t>Labour Welfare</t>
  </si>
  <si>
    <t xml:space="preserve">Group Medical </t>
  </si>
  <si>
    <t>Gratuity</t>
  </si>
  <si>
    <t>Reimbursement</t>
  </si>
  <si>
    <t>Annul Bonus</t>
  </si>
  <si>
    <t xml:space="preserve">Current  CTC </t>
  </si>
  <si>
    <t xml:space="preserve">ESIC -Emp. Share </t>
  </si>
  <si>
    <t>Diff</t>
  </si>
  <si>
    <t>Current NTH</t>
  </si>
  <si>
    <t>Current NTH Monthly</t>
  </si>
  <si>
    <t>Appraiser</t>
  </si>
  <si>
    <t>Reviewer</t>
  </si>
  <si>
    <t>Self Rating</t>
  </si>
  <si>
    <t>Reveiwer</t>
  </si>
  <si>
    <t>Management</t>
  </si>
  <si>
    <t>Incr</t>
  </si>
  <si>
    <t>Pro rata</t>
  </si>
  <si>
    <t>Adj</t>
  </si>
  <si>
    <t>Increment %</t>
  </si>
  <si>
    <t>Promotion (Y/N)</t>
  </si>
  <si>
    <t>New Designaton</t>
  </si>
  <si>
    <t>Promotion Verify</t>
  </si>
  <si>
    <t>Revised CTC</t>
  </si>
  <si>
    <t>Revised Gross</t>
  </si>
  <si>
    <t>Co.PF</t>
  </si>
  <si>
    <t>Annual Bonus</t>
  </si>
  <si>
    <t xml:space="preserve">Revised CTC </t>
  </si>
  <si>
    <t xml:space="preserve"> Diff</t>
  </si>
  <si>
    <t>Revised NTH</t>
  </si>
  <si>
    <t>Revised NTH Monthly</t>
  </si>
  <si>
    <t>Abs Increase-CTC</t>
  </si>
  <si>
    <t>Abs Increase-NTH Monthly</t>
  </si>
  <si>
    <t>Difference in TH</t>
  </si>
  <si>
    <t>2021 Promotion</t>
  </si>
  <si>
    <t xml:space="preserve">2021 Management  Rating </t>
  </si>
  <si>
    <t>2021 - Oct Eligible ( Revsion)</t>
  </si>
  <si>
    <t>Current CTC vs Revised CTC</t>
  </si>
  <si>
    <t>SOS006</t>
  </si>
  <si>
    <t>OPERATIONS</t>
  </si>
  <si>
    <t>Active</t>
  </si>
  <si>
    <t>Eligible</t>
  </si>
  <si>
    <t>Exp</t>
  </si>
  <si>
    <t>SOUNDARA RAJA R</t>
  </si>
  <si>
    <t>Director</t>
  </si>
  <si>
    <t>NA</t>
  </si>
  <si>
    <t>Promoted</t>
  </si>
  <si>
    <t>SOS010</t>
  </si>
  <si>
    <t>R SUJATHA</t>
  </si>
  <si>
    <t>SOS012</t>
  </si>
  <si>
    <t>DEEPA N</t>
  </si>
  <si>
    <t>SOS449</t>
  </si>
  <si>
    <t>MICHAEL RUYA SELVARAJ JAWAHAR</t>
  </si>
  <si>
    <t>A</t>
  </si>
  <si>
    <t>Patient AR</t>
  </si>
  <si>
    <t>SOS451</t>
  </si>
  <si>
    <t>RAJESWARAN KUMARAVEL</t>
  </si>
  <si>
    <t>SOS160</t>
  </si>
  <si>
    <t>B SAPITHA</t>
  </si>
  <si>
    <t>SOS174</t>
  </si>
  <si>
    <t>ELANGO RAJENDRAN</t>
  </si>
  <si>
    <t>MIS</t>
  </si>
  <si>
    <t>SOS458</t>
  </si>
  <si>
    <t>ASHWIN K K V</t>
  </si>
  <si>
    <t>SOS195</t>
  </si>
  <si>
    <t>AHMEDUNNISA</t>
  </si>
  <si>
    <t>SOS201</t>
  </si>
  <si>
    <t>VAIDYANATHAN M</t>
  </si>
  <si>
    <t>SOS207</t>
  </si>
  <si>
    <t>KARTHIKEYAN K</t>
  </si>
  <si>
    <t>SOS512</t>
  </si>
  <si>
    <t>ANITHA G</t>
  </si>
  <si>
    <t>SOS213</t>
  </si>
  <si>
    <t>DEEPAK R</t>
  </si>
  <si>
    <t>SOS240</t>
  </si>
  <si>
    <t>RAMESH V</t>
  </si>
  <si>
    <t>IT</t>
  </si>
  <si>
    <t>SOS478</t>
  </si>
  <si>
    <t>HEMADEVI</t>
  </si>
  <si>
    <t>SOS280</t>
  </si>
  <si>
    <t>JOHN FERNANDEZ</t>
  </si>
  <si>
    <t>Salary Revision done</t>
  </si>
  <si>
    <t>SOS281</t>
  </si>
  <si>
    <t>SELVAJHANSI CHANDRAN</t>
  </si>
  <si>
    <t>HR</t>
  </si>
  <si>
    <t>SOS312</t>
  </si>
  <si>
    <t>VALARMATHI R</t>
  </si>
  <si>
    <t>SOS316</t>
  </si>
  <si>
    <t>SADHAM HUSSAIN A</t>
  </si>
  <si>
    <t>ASWINI B</t>
  </si>
  <si>
    <t>SOS332</t>
  </si>
  <si>
    <t>IMRAN KHAN S</t>
  </si>
  <si>
    <t>SOS340</t>
  </si>
  <si>
    <t>D ANGAMUTHU</t>
  </si>
  <si>
    <t>SOS360</t>
  </si>
  <si>
    <t>NELLAIAPPAN RAMAKRISHNAN</t>
  </si>
  <si>
    <t>SOS413</t>
  </si>
  <si>
    <t>GOWTHAM PORSELVAM</t>
  </si>
  <si>
    <t>SOS452</t>
  </si>
  <si>
    <t>K SASIKALA</t>
  </si>
  <si>
    <t>Payment Posting</t>
  </si>
  <si>
    <t>SOS365</t>
  </si>
  <si>
    <t>L DIVYA</t>
  </si>
  <si>
    <t>SOS368</t>
  </si>
  <si>
    <t>BHARATHE</t>
  </si>
  <si>
    <t>SOS362</t>
  </si>
  <si>
    <t>DINESH M</t>
  </si>
  <si>
    <t>SOS515</t>
  </si>
  <si>
    <t>MICHAEL JACSON</t>
  </si>
  <si>
    <t>SOS381</t>
  </si>
  <si>
    <t>PRASANTH R</t>
  </si>
  <si>
    <t>SOS383</t>
  </si>
  <si>
    <t>S VINOD BALAJI</t>
  </si>
  <si>
    <t>SOS390</t>
  </si>
  <si>
    <t>GOKULKRISHNAN GOPALAKRISHNAN</t>
  </si>
  <si>
    <t>Caller</t>
  </si>
  <si>
    <t>SOS393</t>
  </si>
  <si>
    <t>DINESH KUMAR</t>
  </si>
  <si>
    <t>SOS394</t>
  </si>
  <si>
    <t>RENUKADEVI S</t>
  </si>
  <si>
    <t>SOS400</t>
  </si>
  <si>
    <t>ELAKKIYA ELANGOVAN</t>
  </si>
  <si>
    <t>SOS403</t>
  </si>
  <si>
    <t>SARATHRAJ ANANDAN</t>
  </si>
  <si>
    <t>SOS293</t>
  </si>
  <si>
    <t>ARJUN MURUGAN</t>
  </si>
  <si>
    <t>SOS412</t>
  </si>
  <si>
    <t>SOS419</t>
  </si>
  <si>
    <t>SUSAI  JAGADISH JESURAJAN</t>
  </si>
  <si>
    <t>SOS420</t>
  </si>
  <si>
    <t>SUMAN S</t>
  </si>
  <si>
    <t>SOS701</t>
  </si>
  <si>
    <t>JOYJEBABHAKKIAM</t>
  </si>
  <si>
    <t>SOS431</t>
  </si>
  <si>
    <t>VENKATESH A</t>
  </si>
  <si>
    <t>SOS432</t>
  </si>
  <si>
    <t>MOHAMMED ALTHAF</t>
  </si>
  <si>
    <t>SOS443</t>
  </si>
  <si>
    <t>GOKULNATH MANIVANNAN</t>
  </si>
  <si>
    <t>SOS448</t>
  </si>
  <si>
    <t>SUBASH G</t>
  </si>
  <si>
    <t>SOS622</t>
  </si>
  <si>
    <t>PAKKIRMALIMAR</t>
  </si>
  <si>
    <t>SOS542</t>
  </si>
  <si>
    <t xml:space="preserve">Fresher </t>
  </si>
  <si>
    <t>K LOGANAYAGI</t>
  </si>
  <si>
    <t>SOS185</t>
  </si>
  <si>
    <t>CHANDRU ARIRAMAN</t>
  </si>
  <si>
    <t>SOS552</t>
  </si>
  <si>
    <t>VIDHYA</t>
  </si>
  <si>
    <t>R KARTHIKEYAN</t>
  </si>
  <si>
    <t>SOS466</t>
  </si>
  <si>
    <t xml:space="preserve">KUMARAN V </t>
  </si>
  <si>
    <t>Admin</t>
  </si>
  <si>
    <t>SOS467</t>
  </si>
  <si>
    <t xml:space="preserve">KANCHANA K </t>
  </si>
  <si>
    <t>SOS511</t>
  </si>
  <si>
    <t>SOS474</t>
  </si>
  <si>
    <t>DEVARAJ SUBIRAMANI</t>
  </si>
  <si>
    <t>SOS476</t>
  </si>
  <si>
    <t>K MANOHAR</t>
  </si>
  <si>
    <t>SOS577</t>
  </si>
  <si>
    <t>KARTHICK</t>
  </si>
  <si>
    <t>SOS521</t>
  </si>
  <si>
    <t>KAVITHA R</t>
  </si>
  <si>
    <t>SOS538</t>
  </si>
  <si>
    <t>NITYAPRIYA B</t>
  </si>
  <si>
    <t>SOS464</t>
  </si>
  <si>
    <t>M LOKESH</t>
  </si>
  <si>
    <t>SOS109</t>
  </si>
  <si>
    <t>ARULCHELVI G</t>
  </si>
  <si>
    <t>SOS373</t>
  </si>
  <si>
    <t>TAMILSELVI M</t>
  </si>
  <si>
    <t>SOS398</t>
  </si>
  <si>
    <t>BHAVANI RAJENDRAN</t>
  </si>
  <si>
    <t>SOS599</t>
  </si>
  <si>
    <t>BOWMIYA MURUGAN</t>
  </si>
  <si>
    <t>SOS470</t>
  </si>
  <si>
    <t>SUBASH T</t>
  </si>
  <si>
    <t>SOS549</t>
  </si>
  <si>
    <t>NAGARAJAN G</t>
  </si>
  <si>
    <t>SOS564</t>
  </si>
  <si>
    <t>SARANYA B</t>
  </si>
  <si>
    <t>SOS465</t>
  </si>
  <si>
    <t>RAGHUL RAMESH</t>
  </si>
  <si>
    <t>SOS482</t>
  </si>
  <si>
    <t>N PREMKUMAR</t>
  </si>
  <si>
    <t>SOS525</t>
  </si>
  <si>
    <t>HEPHZIBHA J</t>
  </si>
  <si>
    <t>SOS554</t>
  </si>
  <si>
    <t>ARAVINDAN DEIVASAGAYAM</t>
  </si>
  <si>
    <t>SOS547</t>
  </si>
  <si>
    <t>G V SANTHOSH</t>
  </si>
  <si>
    <t>SOS643</t>
  </si>
  <si>
    <t>PAVITHRA SUBBAIYAN</t>
  </si>
  <si>
    <t>SOS685</t>
  </si>
  <si>
    <t>LORITTASHERIL DSILVA ALFRED</t>
  </si>
  <si>
    <t>SOS682</t>
  </si>
  <si>
    <t>SOS551</t>
  </si>
  <si>
    <t>VINODHINI V</t>
  </si>
  <si>
    <t>SOS574</t>
  </si>
  <si>
    <t>MORISH</t>
  </si>
  <si>
    <t>SOS575</t>
  </si>
  <si>
    <t>E SHANTHOSHINI</t>
  </si>
  <si>
    <t>SOS257</t>
  </si>
  <si>
    <t>SHREE VINODHINI</t>
  </si>
  <si>
    <t>SOS405</t>
  </si>
  <si>
    <t>JEEVITHA</t>
  </si>
  <si>
    <t>SOS597</t>
  </si>
  <si>
    <t>RENUKA J</t>
  </si>
  <si>
    <t>SOS591</t>
  </si>
  <si>
    <t>ARI PARAKKIRAMA PANDIAN S</t>
  </si>
  <si>
    <t>SOS592</t>
  </si>
  <si>
    <t>KARTHICK NATARAJAN</t>
  </si>
  <si>
    <t>SOS596</t>
  </si>
  <si>
    <t>SARATHCHANDAR ANNAMALAI</t>
  </si>
  <si>
    <t>SOS589</t>
  </si>
  <si>
    <t>JOHN WESLY B</t>
  </si>
  <si>
    <t>SOS635</t>
  </si>
  <si>
    <t>CHITHIRAISELVI KARTHIKEYAN</t>
  </si>
  <si>
    <t>SOS634</t>
  </si>
  <si>
    <t>LAVANYA R</t>
  </si>
  <si>
    <t>SOS424</t>
  </si>
  <si>
    <t>THIRUMALAI S</t>
  </si>
  <si>
    <t>SOS565</t>
  </si>
  <si>
    <t>HARISH B</t>
  </si>
  <si>
    <t>SOS566</t>
  </si>
  <si>
    <t>K MANOJ KUMAR</t>
  </si>
  <si>
    <t>SOS646</t>
  </si>
  <si>
    <t>SHRI ALEXANDER J</t>
  </si>
  <si>
    <t>SOS650</t>
  </si>
  <si>
    <t>TAMIZHSELVAN KESAVAN</t>
  </si>
  <si>
    <t>SOS658</t>
  </si>
  <si>
    <t>BEULAH A</t>
  </si>
  <si>
    <t>Training Manager</t>
  </si>
  <si>
    <t>SOS667</t>
  </si>
  <si>
    <t>MOHAMED FAZIL S</t>
  </si>
  <si>
    <t>SOS666</t>
  </si>
  <si>
    <t>HEMA KUMAR L</t>
  </si>
  <si>
    <t>SOS637</t>
  </si>
  <si>
    <t>GAYATHRI SEKAR</t>
  </si>
  <si>
    <t>SOS673</t>
  </si>
  <si>
    <t>BHARATHI</t>
  </si>
  <si>
    <t>SOS677</t>
  </si>
  <si>
    <t>VINITH V</t>
  </si>
  <si>
    <t>Digital</t>
  </si>
  <si>
    <t>SOS680</t>
  </si>
  <si>
    <t>HAROON BASHA F</t>
  </si>
  <si>
    <t>SOS530</t>
  </si>
  <si>
    <t>PARTHIBAN B</t>
  </si>
  <si>
    <t>SOS706</t>
  </si>
  <si>
    <t>ANITHA HARIKRISHNAN</t>
  </si>
  <si>
    <t>SOS684</t>
  </si>
  <si>
    <t>PALANIVEL N</t>
  </si>
  <si>
    <t>SOS688</t>
  </si>
  <si>
    <t>YUVASREE M</t>
  </si>
  <si>
    <t>SOS690</t>
  </si>
  <si>
    <t>SREELEKHA V</t>
  </si>
  <si>
    <t>SOS311</t>
  </si>
  <si>
    <t>PAZHANI JAYAPRAKASH</t>
  </si>
  <si>
    <t>SOS705</t>
  </si>
  <si>
    <t>YUVARAJ T M</t>
  </si>
  <si>
    <t>SOS736</t>
  </si>
  <si>
    <t>LAXMI PRIYA VARATHARAJAN</t>
  </si>
  <si>
    <t>SOS711</t>
  </si>
  <si>
    <t>SASIKUMAR BABU</t>
  </si>
  <si>
    <t>SOS741</t>
  </si>
  <si>
    <t>P BHAVANI</t>
  </si>
  <si>
    <t>SOS732</t>
  </si>
  <si>
    <t>SUYAMBUTHANGAM</t>
  </si>
  <si>
    <t>SOS716</t>
  </si>
  <si>
    <t>YUVARAJ JAYASIL KUMAR</t>
  </si>
  <si>
    <t>SOS707</t>
  </si>
  <si>
    <t>SUGAN SIVANESAN</t>
  </si>
  <si>
    <t>SOS719</t>
  </si>
  <si>
    <t>S VIJAYA LAKSHMI</t>
  </si>
  <si>
    <t>SOS720</t>
  </si>
  <si>
    <t>KEERTHIKA</t>
  </si>
  <si>
    <t>SOS721</t>
  </si>
  <si>
    <t>VIGNESH ANANDHAN</t>
  </si>
  <si>
    <t>SOS722</t>
  </si>
  <si>
    <t>RAJESH RAVI</t>
  </si>
  <si>
    <t>SOS723</t>
  </si>
  <si>
    <t>PAVANKUMAR L</t>
  </si>
  <si>
    <t>SOS724</t>
  </si>
  <si>
    <t>VIGNESH R</t>
  </si>
  <si>
    <t>SOS725</t>
  </si>
  <si>
    <t>USMAN SUSAVUTHIN</t>
  </si>
  <si>
    <t>SOS755</t>
  </si>
  <si>
    <t>SASIKUMAR S</t>
  </si>
  <si>
    <t>SOS734</t>
  </si>
  <si>
    <t>LAKSHMI B</t>
  </si>
  <si>
    <t>SOS738</t>
  </si>
  <si>
    <t>VISHALI</t>
  </si>
  <si>
    <t>SOS743</t>
  </si>
  <si>
    <t>N ANEES FATHIMA</t>
  </si>
  <si>
    <t>SOS744</t>
  </si>
  <si>
    <t>R AJAY RAGUL</t>
  </si>
  <si>
    <t>SOS746</t>
  </si>
  <si>
    <t>SUMITHRA N</t>
  </si>
  <si>
    <t>SOS747</t>
  </si>
  <si>
    <t>G DIVYA</t>
  </si>
  <si>
    <t>SOS748</t>
  </si>
  <si>
    <t>SANGEETHA SUNDHAR</t>
  </si>
  <si>
    <t>SOS754</t>
  </si>
  <si>
    <t xml:space="preserve">C BALASUBRAMANI </t>
  </si>
  <si>
    <t>SOS739</t>
  </si>
  <si>
    <t>G SHIVAKUMAR</t>
  </si>
  <si>
    <t>SOS759</t>
  </si>
  <si>
    <t>RAJESH NARAYANAN</t>
  </si>
  <si>
    <t>SOS760</t>
  </si>
  <si>
    <t>V NANDAKUMAR</t>
  </si>
  <si>
    <t>SOS761</t>
  </si>
  <si>
    <t>VANITHA S</t>
  </si>
  <si>
    <t>SOS764</t>
  </si>
  <si>
    <t>ANTONY CHRISTOPHER J</t>
  </si>
  <si>
    <t>SOS766</t>
  </si>
  <si>
    <t>MOHAMMED EHSSAN M H</t>
  </si>
  <si>
    <t>SOS767</t>
  </si>
  <si>
    <t>KARTHICK C</t>
  </si>
  <si>
    <t>SOS769</t>
  </si>
  <si>
    <t>MUKESH K</t>
  </si>
  <si>
    <t>SOS770</t>
  </si>
  <si>
    <t>P VISRANTHI</t>
  </si>
  <si>
    <t>SOS774</t>
  </si>
  <si>
    <t>GANESH D</t>
  </si>
  <si>
    <t>SOS776</t>
  </si>
  <si>
    <t>H BARATH KUMAR</t>
  </si>
  <si>
    <t>SOS778</t>
  </si>
  <si>
    <t>JOHNSON PARVATHY</t>
  </si>
  <si>
    <t>SOS782</t>
  </si>
  <si>
    <t>THANGARAJ MURUGAN</t>
  </si>
  <si>
    <t>SOS786</t>
  </si>
  <si>
    <t>SOS787</t>
  </si>
  <si>
    <t>JESHAN JOSHWA DHINAKARAN</t>
  </si>
  <si>
    <t>SOS788</t>
  </si>
  <si>
    <t>PRAGADESH P</t>
  </si>
  <si>
    <t>SOS789</t>
  </si>
  <si>
    <t>KISHORE</t>
  </si>
  <si>
    <t>SOS790</t>
  </si>
  <si>
    <t>YUVARAJ D</t>
  </si>
  <si>
    <t>SOUNDARA RAJA  R</t>
  </si>
  <si>
    <t>SOS793</t>
  </si>
  <si>
    <t>GAYATHRI P</t>
  </si>
  <si>
    <t>SOS796</t>
  </si>
  <si>
    <t>HASEN FATHIMA SHEIK DAWOOD</t>
  </si>
  <si>
    <t>SOS798</t>
  </si>
  <si>
    <t>PREETHI</t>
  </si>
  <si>
    <t>SOS800</t>
  </si>
  <si>
    <t>VARSHA</t>
  </si>
  <si>
    <t>SOS802</t>
  </si>
  <si>
    <t>B VICHITRA</t>
  </si>
  <si>
    <t>SOS807</t>
  </si>
  <si>
    <t>SAM ISSAC KUMAR</t>
  </si>
  <si>
    <t>SOS810</t>
  </si>
  <si>
    <t>AKILESH D</t>
  </si>
  <si>
    <t>C</t>
  </si>
  <si>
    <t>SOS816</t>
  </si>
  <si>
    <t>MANOJ PRABHAKAR</t>
  </si>
  <si>
    <t>SOS819</t>
  </si>
  <si>
    <t>LAKSHMAN. S</t>
  </si>
  <si>
    <t>SOS820</t>
  </si>
  <si>
    <t>RAGHUL KANNAN</t>
  </si>
  <si>
    <t>I</t>
  </si>
  <si>
    <t>Data Analyst</t>
  </si>
  <si>
    <t>SOS821</t>
  </si>
  <si>
    <t>RAHUL RAJALINGAM</t>
  </si>
  <si>
    <t>P</t>
  </si>
  <si>
    <t>SOS825</t>
  </si>
  <si>
    <t>ARCHANA G</t>
  </si>
  <si>
    <t>SOS826</t>
  </si>
  <si>
    <t>SOS829</t>
  </si>
  <si>
    <t>GOWTHAMI S</t>
  </si>
  <si>
    <t>S</t>
  </si>
  <si>
    <t>Loyalty</t>
  </si>
  <si>
    <t>M</t>
  </si>
  <si>
    <t>Account Manager</t>
  </si>
  <si>
    <t>D</t>
  </si>
  <si>
    <t>E</t>
  </si>
  <si>
    <t>SOS329</t>
  </si>
  <si>
    <t>Q</t>
  </si>
  <si>
    <t>T</t>
  </si>
  <si>
    <t>Level</t>
  </si>
  <si>
    <t>Deferred Component</t>
  </si>
  <si>
    <t>Effective From 1July</t>
  </si>
  <si>
    <t xml:space="preserve">Effective From 1Apr </t>
  </si>
  <si>
    <t>Reimb</t>
  </si>
  <si>
    <t>SOS831</t>
  </si>
  <si>
    <t>SOS832</t>
  </si>
  <si>
    <t>SOS836</t>
  </si>
  <si>
    <t>SOS837</t>
  </si>
  <si>
    <t>SOS838</t>
  </si>
  <si>
    <t>SOS839</t>
  </si>
  <si>
    <t>SOS840</t>
  </si>
  <si>
    <t>SOS841</t>
  </si>
  <si>
    <t>SOS846</t>
  </si>
  <si>
    <t>SOS848</t>
  </si>
  <si>
    <t>SOS849</t>
  </si>
  <si>
    <t>SOS850</t>
  </si>
  <si>
    <t>SOS851</t>
  </si>
  <si>
    <t>SOS852</t>
  </si>
  <si>
    <t>SOS853</t>
  </si>
  <si>
    <t>SOS855</t>
  </si>
  <si>
    <t>SOS856</t>
  </si>
  <si>
    <t>SOS857</t>
  </si>
  <si>
    <t>SOS858</t>
  </si>
  <si>
    <t>SOS865</t>
  </si>
  <si>
    <t>SOS866</t>
  </si>
  <si>
    <t>SOS868</t>
  </si>
  <si>
    <t>SOS870</t>
  </si>
  <si>
    <t>SOS871</t>
  </si>
  <si>
    <t>SOS872</t>
  </si>
  <si>
    <t>SOS874</t>
  </si>
  <si>
    <t>SOS875</t>
  </si>
  <si>
    <t>SOS876</t>
  </si>
  <si>
    <t>SOS877</t>
  </si>
  <si>
    <t>SOS878</t>
  </si>
  <si>
    <t>SOS879</t>
  </si>
  <si>
    <t>SOS882</t>
  </si>
  <si>
    <t>SOS884</t>
  </si>
  <si>
    <t>SOS889</t>
  </si>
  <si>
    <t>SOS891</t>
  </si>
  <si>
    <t>SOS892</t>
  </si>
  <si>
    <t>SOS895</t>
  </si>
  <si>
    <t>SOS896</t>
  </si>
  <si>
    <t>SOS900</t>
  </si>
  <si>
    <t>SOS901</t>
  </si>
  <si>
    <t>SOS903</t>
  </si>
  <si>
    <t>SOS906</t>
  </si>
  <si>
    <t>SOS907</t>
  </si>
  <si>
    <t>SOS909</t>
  </si>
  <si>
    <t>SOS910</t>
  </si>
  <si>
    <t>SOS913</t>
  </si>
  <si>
    <t>SOS918</t>
  </si>
  <si>
    <t>SOS920</t>
  </si>
  <si>
    <t>SOS921</t>
  </si>
  <si>
    <t>SOS922</t>
  </si>
  <si>
    <t>SOS924</t>
  </si>
  <si>
    <t>SOS925</t>
  </si>
  <si>
    <t>SOS927</t>
  </si>
  <si>
    <t>SOS929</t>
  </si>
  <si>
    <t>SOS930</t>
  </si>
  <si>
    <t>SOS936</t>
  </si>
  <si>
    <t>SOS937</t>
  </si>
  <si>
    <t>SOS938</t>
  </si>
  <si>
    <t>SOS941</t>
  </si>
  <si>
    <t>SOS942</t>
  </si>
  <si>
    <t>SOS943</t>
  </si>
  <si>
    <t>SOS944</t>
  </si>
  <si>
    <t>SOS946</t>
  </si>
  <si>
    <t>SOS947</t>
  </si>
  <si>
    <t>SOS948</t>
  </si>
  <si>
    <t>SOS949</t>
  </si>
  <si>
    <t>SOS950</t>
  </si>
  <si>
    <t>SOS958</t>
  </si>
  <si>
    <t>SOS959</t>
  </si>
  <si>
    <t>SOS960</t>
  </si>
  <si>
    <t>SOS961</t>
  </si>
  <si>
    <t>SOS962</t>
  </si>
  <si>
    <t>SOS964</t>
  </si>
  <si>
    <t>SOS967</t>
  </si>
  <si>
    <t>SOS968</t>
  </si>
  <si>
    <t>SOS969</t>
  </si>
  <si>
    <t>SOS971</t>
  </si>
  <si>
    <t>SOS972</t>
  </si>
  <si>
    <t>SOS973</t>
  </si>
  <si>
    <t>SOS975</t>
  </si>
  <si>
    <t>SOS976</t>
  </si>
  <si>
    <t>SOS981</t>
  </si>
  <si>
    <t>SOS983</t>
  </si>
  <si>
    <t>SOS984</t>
  </si>
  <si>
    <t>SOS987</t>
  </si>
  <si>
    <t>SOS991</t>
  </si>
  <si>
    <t>SOS992</t>
  </si>
  <si>
    <t>SOS994</t>
  </si>
  <si>
    <t>SOS995</t>
  </si>
  <si>
    <t>SOS997</t>
  </si>
  <si>
    <t>SOS998</t>
  </si>
  <si>
    <t>SOS999</t>
  </si>
  <si>
    <t>SOS1000</t>
  </si>
  <si>
    <t>SOS1001</t>
  </si>
  <si>
    <t>SOS1002</t>
  </si>
  <si>
    <t>SOS1005</t>
  </si>
  <si>
    <t>SOS1007</t>
  </si>
  <si>
    <t>SOS1011</t>
  </si>
  <si>
    <t>SOS1013</t>
  </si>
  <si>
    <t>SOS1014</t>
  </si>
  <si>
    <t>SOS1015</t>
  </si>
  <si>
    <t>SOS1016</t>
  </si>
  <si>
    <t>SOS1017</t>
  </si>
  <si>
    <t>SOS1018</t>
  </si>
  <si>
    <t>SOS1019</t>
  </si>
  <si>
    <t>SOS1020</t>
  </si>
  <si>
    <t>SOS1021</t>
  </si>
  <si>
    <t>SOS1022</t>
  </si>
  <si>
    <t>SOS1023</t>
  </si>
  <si>
    <t>SOS1025</t>
  </si>
  <si>
    <t>SOS1026</t>
  </si>
  <si>
    <t>SOS1029</t>
  </si>
  <si>
    <t>SOS1030</t>
  </si>
  <si>
    <t>SOS1031</t>
  </si>
  <si>
    <t>SOS1034</t>
  </si>
  <si>
    <t>SOS1035</t>
  </si>
  <si>
    <t>SOS1036</t>
  </si>
  <si>
    <t>SOS1038</t>
  </si>
  <si>
    <t>SOS1039</t>
  </si>
  <si>
    <t>SOS1040</t>
  </si>
  <si>
    <t>SOS1041</t>
  </si>
  <si>
    <t>SOS1042</t>
  </si>
  <si>
    <t>SOS1043</t>
  </si>
  <si>
    <t>SOS1045</t>
  </si>
  <si>
    <t>SOS1046</t>
  </si>
  <si>
    <t>SOS1047</t>
  </si>
  <si>
    <t>SOS1048</t>
  </si>
  <si>
    <t>SOS1051</t>
  </si>
  <si>
    <t>SOS1052</t>
  </si>
  <si>
    <t>SOS1054</t>
  </si>
  <si>
    <t>SOS1055</t>
  </si>
  <si>
    <t>SOS1056</t>
  </si>
  <si>
    <t>SOS1057</t>
  </si>
  <si>
    <t>SOS1058</t>
  </si>
  <si>
    <t>SOS1059</t>
  </si>
  <si>
    <t>SOS1061</t>
  </si>
  <si>
    <t>SOS1062</t>
  </si>
  <si>
    <t>SOS1063</t>
  </si>
  <si>
    <t>SOS1064</t>
  </si>
  <si>
    <t>SOS1065</t>
  </si>
  <si>
    <t>SOS1066</t>
  </si>
  <si>
    <t>SOS1067</t>
  </si>
  <si>
    <t>SOS1068</t>
  </si>
  <si>
    <t>SOS1069</t>
  </si>
  <si>
    <t>SOS1070</t>
  </si>
  <si>
    <t>SOS1071</t>
  </si>
  <si>
    <t>SOS1073</t>
  </si>
  <si>
    <t>SOS1074</t>
  </si>
  <si>
    <t>SOS1075</t>
  </si>
  <si>
    <t>SOS1077</t>
  </si>
  <si>
    <t>SOS1078</t>
  </si>
  <si>
    <t>SOS1079</t>
  </si>
  <si>
    <t>SOS1081</t>
  </si>
  <si>
    <t>SOS1083</t>
  </si>
  <si>
    <t>SOS1085</t>
  </si>
  <si>
    <t>SOS1086</t>
  </si>
  <si>
    <t>SOS1087</t>
  </si>
  <si>
    <t>SOS1088</t>
  </si>
  <si>
    <t>SOS1089</t>
  </si>
  <si>
    <t>SOS1090</t>
  </si>
  <si>
    <t>SOS1092</t>
  </si>
  <si>
    <t>SOS1093</t>
  </si>
  <si>
    <t>SOS1094</t>
  </si>
  <si>
    <t>SOS1095</t>
  </si>
  <si>
    <t>SOS1097</t>
  </si>
  <si>
    <t>SOS1098</t>
  </si>
  <si>
    <t>SOS1099</t>
  </si>
  <si>
    <t>SOS1101</t>
  </si>
  <si>
    <t>SOS1102</t>
  </si>
  <si>
    <t>SOS1103</t>
  </si>
  <si>
    <t>SOS1104</t>
  </si>
  <si>
    <t>SOS1105</t>
  </si>
  <si>
    <t>SOS1106</t>
  </si>
  <si>
    <t>SOS1107</t>
  </si>
  <si>
    <t>SOS1108</t>
  </si>
  <si>
    <t>SOS1109</t>
  </si>
  <si>
    <t>SOS1110</t>
  </si>
  <si>
    <t>SOS1111</t>
  </si>
  <si>
    <t>SOS1114</t>
  </si>
  <si>
    <t>SOS1115</t>
  </si>
  <si>
    <t>SOS1116</t>
  </si>
  <si>
    <t>SOS1117</t>
  </si>
  <si>
    <t>SOS1119</t>
  </si>
  <si>
    <t>SOS1121</t>
  </si>
  <si>
    <t>SOS1124</t>
  </si>
  <si>
    <t>SOS1125</t>
  </si>
  <si>
    <t>SOS1127</t>
  </si>
  <si>
    <t>SOS1128</t>
  </si>
  <si>
    <t>SOS1129</t>
  </si>
  <si>
    <t>SOS1130</t>
  </si>
  <si>
    <t>SOS1132</t>
  </si>
  <si>
    <t>SOS1133</t>
  </si>
  <si>
    <t>SOS1134</t>
  </si>
  <si>
    <t>SOS1135</t>
  </si>
  <si>
    <t>SOS1136</t>
  </si>
  <si>
    <t>SOS1137</t>
  </si>
  <si>
    <t>SOS1139</t>
  </si>
  <si>
    <t>SOS1140</t>
  </si>
  <si>
    <t>SOS1141</t>
  </si>
  <si>
    <t>SOS1142</t>
  </si>
  <si>
    <t>SOS1144</t>
  </si>
  <si>
    <t>SOS1145</t>
  </si>
  <si>
    <t>SOS1146</t>
  </si>
  <si>
    <t>SOS1147</t>
  </si>
  <si>
    <t>SOS1148</t>
  </si>
  <si>
    <t>SOS1149</t>
  </si>
  <si>
    <t>SOS1150</t>
  </si>
  <si>
    <t>SOS1151</t>
  </si>
  <si>
    <t>SOS1153</t>
  </si>
  <si>
    <t>SOS1158</t>
  </si>
  <si>
    <t>SOS1159</t>
  </si>
  <si>
    <t>SOS1161</t>
  </si>
  <si>
    <t>SOS1162</t>
  </si>
  <si>
    <t>SOS1163</t>
  </si>
  <si>
    <t>SOS1164</t>
  </si>
  <si>
    <t>SOS1165</t>
  </si>
  <si>
    <t>SOS1166</t>
  </si>
  <si>
    <t>SATHISHKUMAR</t>
  </si>
  <si>
    <t>JAYASHREE VELU</t>
  </si>
  <si>
    <t>JAYASREE KESAVAN</t>
  </si>
  <si>
    <t>ASHA M</t>
  </si>
  <si>
    <t>G S UMA MAHEWSWARI</t>
  </si>
  <si>
    <t>PUDIPATTU SAI KRISHNA</t>
  </si>
  <si>
    <t>MANIKANDAN S</t>
  </si>
  <si>
    <t>AJITH KUMAR S L</t>
  </si>
  <si>
    <t>SAMJILAL</t>
  </si>
  <si>
    <t>KIRAN D</t>
  </si>
  <si>
    <t>HARILAL P S</t>
  </si>
  <si>
    <t>ABHIJITH</t>
  </si>
  <si>
    <t>SARAVANAN S</t>
  </si>
  <si>
    <t>DINESHKUMAR RAVINARAYANAN</t>
  </si>
  <si>
    <t>S VISHWANATHAN</t>
  </si>
  <si>
    <t>V AKSHAI VISHAL</t>
  </si>
  <si>
    <t>FRDDEY THOMAS J</t>
  </si>
  <si>
    <t>T SIVASAKTHIVEL</t>
  </si>
  <si>
    <t xml:space="preserve">VIJAY K </t>
  </si>
  <si>
    <t>NOORAHAMED GOWSARBASHA</t>
  </si>
  <si>
    <t>PADMANABAN PICHANDI</t>
  </si>
  <si>
    <t>ARUNPANDIYAN M</t>
  </si>
  <si>
    <t>ATHULYA K S</t>
  </si>
  <si>
    <t>SANJANA P C</t>
  </si>
  <si>
    <t>SELVAM R</t>
  </si>
  <si>
    <t>BHAGYALAKSHMI T</t>
  </si>
  <si>
    <t>HEROJI RAO P</t>
  </si>
  <si>
    <t>JAYALAKSHMI BALAN</t>
  </si>
  <si>
    <t>DANIEL DOMINIC YOUREY</t>
  </si>
  <si>
    <t>V.LEAH GRACE</t>
  </si>
  <si>
    <t>JOTHIPRIYA Y M</t>
  </si>
  <si>
    <t xml:space="preserve">B SANTHOSH KUMAR </t>
  </si>
  <si>
    <t>DHARMARAJ D</t>
  </si>
  <si>
    <t>MALINI A</t>
  </si>
  <si>
    <t>LAVANYA K</t>
  </si>
  <si>
    <t>PRAKASH M</t>
  </si>
  <si>
    <t>R VAISHNAVI</t>
  </si>
  <si>
    <t>K SACHINKUMAR</t>
  </si>
  <si>
    <t>MEGHA DILLIKAR</t>
  </si>
  <si>
    <t>CHRISTPHER ANTHONY DANIEL</t>
  </si>
  <si>
    <t>KHADER MOHIDEEN MOTHI</t>
  </si>
  <si>
    <t>VIJAY K</t>
  </si>
  <si>
    <t>KEERTHANA S</t>
  </si>
  <si>
    <t>VINOTH KUMAR V</t>
  </si>
  <si>
    <t>A KELVIN</t>
  </si>
  <si>
    <t>RAMACHANDRAN</t>
  </si>
  <si>
    <t>P BALAJI</t>
  </si>
  <si>
    <t>DINESHKUMAR B</t>
  </si>
  <si>
    <t>RAMESH A</t>
  </si>
  <si>
    <t>RAMESH B</t>
  </si>
  <si>
    <t>ARAVINTH KUMAR K</t>
  </si>
  <si>
    <t>VENKATESAN C</t>
  </si>
  <si>
    <t>POORNIMA RAMU</t>
  </si>
  <si>
    <t>A SHAYEEN</t>
  </si>
  <si>
    <t>THARANI KUMAR</t>
  </si>
  <si>
    <t>RAJALEKSHMI KALIYAPPAN</t>
  </si>
  <si>
    <t>BALAMURUGAN</t>
  </si>
  <si>
    <t>NANDHINI DESAPPAN</t>
  </si>
  <si>
    <t>MOHANDASS</t>
  </si>
  <si>
    <t>MOHAMED MUSTAFA N</t>
  </si>
  <si>
    <t>SHARUN KHAN N</t>
  </si>
  <si>
    <t>SARAVANAKUMAR T</t>
  </si>
  <si>
    <t>MUGESH R</t>
  </si>
  <si>
    <t>JAYASURYA</t>
  </si>
  <si>
    <t>GEETHA</t>
  </si>
  <si>
    <t>K KAVYA</t>
  </si>
  <si>
    <t>BAKKIYALAKSHMI A</t>
  </si>
  <si>
    <t>RAGHUNATHAN BALAKRISHNAN</t>
  </si>
  <si>
    <t>VIGNESH MOHAN</t>
  </si>
  <si>
    <t>SIVA MANIKANTA K</t>
  </si>
  <si>
    <t>HARIHARAN</t>
  </si>
  <si>
    <t>S VIJAY</t>
  </si>
  <si>
    <t>KARAN</t>
  </si>
  <si>
    <t>M HEMALATHA</t>
  </si>
  <si>
    <t>SUGANYA RANGAN</t>
  </si>
  <si>
    <t>PADMAPRIYA K</t>
  </si>
  <si>
    <t>INDIRA PRIYADHARSHNI</t>
  </si>
  <si>
    <t>RAGULAN</t>
  </si>
  <si>
    <t>D JHONY</t>
  </si>
  <si>
    <t>RISHIKUMAR M</t>
  </si>
  <si>
    <t>K RANJITHKUMAR</t>
  </si>
  <si>
    <t>NADEEM KHAN SARDAR</t>
  </si>
  <si>
    <t>R BHARATH KUMAR</t>
  </si>
  <si>
    <t>ARUN KANAGARAJ</t>
  </si>
  <si>
    <t>RAMESH</t>
  </si>
  <si>
    <t>MANOJ VERGHEESE</t>
  </si>
  <si>
    <t>GUNASEKARAN S</t>
  </si>
  <si>
    <t>KARISHMA A</t>
  </si>
  <si>
    <t>SANTHOSH KUMAR</t>
  </si>
  <si>
    <t>PRIYADHARSHINI SANKAR</t>
  </si>
  <si>
    <t>BADHUR JAMAN</t>
  </si>
  <si>
    <t>MADHAN</t>
  </si>
  <si>
    <t>HEMALATHA S</t>
  </si>
  <si>
    <t>R RAJAKUMARI</t>
  </si>
  <si>
    <t>SUVEDHA S</t>
  </si>
  <si>
    <t>GAYATHRIDEVI ARUMUGAM</t>
  </si>
  <si>
    <t>T KOMAGAN</t>
  </si>
  <si>
    <t>R NAVEENKUMAR</t>
  </si>
  <si>
    <t>SUMANRAJ ARUMUGAM</t>
  </si>
  <si>
    <t>MARIMUTHU G</t>
  </si>
  <si>
    <t>D MAHESWARAN</t>
  </si>
  <si>
    <t>P DINESH</t>
  </si>
  <si>
    <t>PRASANNA R</t>
  </si>
  <si>
    <t>ARJUN SIVAKUMAR</t>
  </si>
  <si>
    <t>KALANIDHI R</t>
  </si>
  <si>
    <t>M MANIKANDAM</t>
  </si>
  <si>
    <t>SUBASH P</t>
  </si>
  <si>
    <t>MURALIDHARAN SIVANESAN</t>
  </si>
  <si>
    <t>SURIYA B</t>
  </si>
  <si>
    <t>GOUTHAMAN P</t>
  </si>
  <si>
    <t>PRAVEEN</t>
  </si>
  <si>
    <t>NISWADEEN MOHAMED SARIF</t>
  </si>
  <si>
    <t>MOHANRAJ E</t>
  </si>
  <si>
    <t>SARAVANAN GANESAN</t>
  </si>
  <si>
    <t>YUVARAJ K</t>
  </si>
  <si>
    <t>RAMBABU ALAGARSAWMY</t>
  </si>
  <si>
    <t>MANOJ S</t>
  </si>
  <si>
    <t>R MADHUMITHA</t>
  </si>
  <si>
    <t>SUDHARSAN A</t>
  </si>
  <si>
    <t>SUBBULAKSHMI S</t>
  </si>
  <si>
    <t>RAMESH M</t>
  </si>
  <si>
    <t>SIVACHANDRAN</t>
  </si>
  <si>
    <t>RAJA S</t>
  </si>
  <si>
    <t>VENKATESH GOPI</t>
  </si>
  <si>
    <t>ASHWIN D</t>
  </si>
  <si>
    <t>R MAGESH</t>
  </si>
  <si>
    <t>MANOJ KUMAR N</t>
  </si>
  <si>
    <t>A SHAHID AFREEDI</t>
  </si>
  <si>
    <t>NANTHAGOPAL MARIMUTHU</t>
  </si>
  <si>
    <t>ARUNKUMAR M</t>
  </si>
  <si>
    <t>DHEENADAYALAN</t>
  </si>
  <si>
    <t>GANESAN M</t>
  </si>
  <si>
    <t>VIGHNESHWARAN CHIDAMBARAM</t>
  </si>
  <si>
    <t>KARTHICK M</t>
  </si>
  <si>
    <t>DHANASEKAR V</t>
  </si>
  <si>
    <t>VIMALRAJ N</t>
  </si>
  <si>
    <t>AVINASH ARAVIND</t>
  </si>
  <si>
    <t>MUTHURAJ T</t>
  </si>
  <si>
    <t>R DEVIKA</t>
  </si>
  <si>
    <t>JOHN ALEXANDER A</t>
  </si>
  <si>
    <t>MUTHUKUMAR G</t>
  </si>
  <si>
    <t>RAJENDIRAN KUPPUSAMY</t>
  </si>
  <si>
    <t>UMADEVI R</t>
  </si>
  <si>
    <t>ANTONY ROZAR FELIX</t>
  </si>
  <si>
    <t>DHIVITH KUMAR M</t>
  </si>
  <si>
    <t>D SURIYA</t>
  </si>
  <si>
    <t>DHEENA DHAYALAN E</t>
  </si>
  <si>
    <t>GANGATHARAN</t>
  </si>
  <si>
    <t>DHARANIKUMAR</t>
  </si>
  <si>
    <t>PARTHIBAN L</t>
  </si>
  <si>
    <t>K PRABHAKARAN</t>
  </si>
  <si>
    <t>A MOHAMMED ADIL</t>
  </si>
  <si>
    <t>AKASH</t>
  </si>
  <si>
    <t>JEYASHREE</t>
  </si>
  <si>
    <t>NARESHKUMAR N</t>
  </si>
  <si>
    <t>VASSANTH M</t>
  </si>
  <si>
    <t>PRAVEEN G</t>
  </si>
  <si>
    <t>RAJ ANBUNITHI</t>
  </si>
  <si>
    <t>VIGNESH KUMAR SARAVANARAJA</t>
  </si>
  <si>
    <t>MADHAN PALANI</t>
  </si>
  <si>
    <t>MOHAMED ASLAM NM</t>
  </si>
  <si>
    <t>JAYANTHAN P</t>
  </si>
  <si>
    <t>MUTHALAGAN KRISHNAN</t>
  </si>
  <si>
    <t>D GOWTHAM</t>
  </si>
  <si>
    <t>MUSHA</t>
  </si>
  <si>
    <t>VENUGOPAL</t>
  </si>
  <si>
    <t>JAMES AROCKIYA RAJ</t>
  </si>
  <si>
    <t>PREM M</t>
  </si>
  <si>
    <t>MANIKANDAN TAMILARASU</t>
  </si>
  <si>
    <t>SURESHBABU P A</t>
  </si>
  <si>
    <t>ABHINAV RAJ</t>
  </si>
  <si>
    <t>ASHIF L</t>
  </si>
  <si>
    <t>LOGESH</t>
  </si>
  <si>
    <t>SATHISHKUMAR PANDIYAN</t>
  </si>
  <si>
    <t>SATHISH KUMAR M</t>
  </si>
  <si>
    <t>KISHORE S</t>
  </si>
  <si>
    <t>PRASANNA KANNAN</t>
  </si>
  <si>
    <t>SHRI ARAVINDAAN S</t>
  </si>
  <si>
    <t xml:space="preserve">ANGALAN </t>
  </si>
  <si>
    <t>DINESH P</t>
  </si>
  <si>
    <t>MANO KULANTHAIRAJ</t>
  </si>
  <si>
    <t>ARIKARAN PALANISAMY</t>
  </si>
  <si>
    <t>RAGUL</t>
  </si>
  <si>
    <t>RAKESHSINGH M</t>
  </si>
  <si>
    <t>ANAND KUMAR M</t>
  </si>
  <si>
    <t>KANNAN NARAYANAN</t>
  </si>
  <si>
    <t>VENKATESAN S</t>
  </si>
  <si>
    <t>GOPINATH V</t>
  </si>
  <si>
    <t>AJAY GANESH</t>
  </si>
  <si>
    <t>FAIZAL M</t>
  </si>
  <si>
    <t xml:space="preserve">WILSONRAJADURAI </t>
  </si>
  <si>
    <t>ARUNVELAN</t>
  </si>
  <si>
    <t>SHYAM PRAKASH P</t>
  </si>
  <si>
    <t>SURYA</t>
  </si>
  <si>
    <t>SHREE THANGAMANI</t>
  </si>
  <si>
    <t xml:space="preserve">JAYASRI </t>
  </si>
  <si>
    <t>SANTHINI N</t>
  </si>
  <si>
    <t>E SANDHYA</t>
  </si>
  <si>
    <t>MUTHUMALA M</t>
  </si>
  <si>
    <t>VIJAYASUDHAN D</t>
  </si>
  <si>
    <t xml:space="preserve">MOHAMMED AZARUDEEN </t>
  </si>
  <si>
    <t>POOJA S</t>
  </si>
  <si>
    <t>J CHRISTINAL JABAKANI</t>
  </si>
  <si>
    <t>KOKILA S</t>
  </si>
  <si>
    <t>SWETHA S</t>
  </si>
  <si>
    <t>GEETHANJALI G</t>
  </si>
  <si>
    <t>VIGNESH KUMAR SIVAPRAKASAM</t>
  </si>
  <si>
    <t>KARTHICK S</t>
  </si>
  <si>
    <t>MONISHA S</t>
  </si>
  <si>
    <t>EMMANUEL</t>
  </si>
  <si>
    <t>MOHAMED FARIN</t>
  </si>
  <si>
    <t>RAVIKUMAR R</t>
  </si>
  <si>
    <t>AJAY M</t>
  </si>
  <si>
    <t>ANTHONY AJITHKUMAR JOSEPH</t>
  </si>
  <si>
    <t>MOHAN RAJ</t>
  </si>
  <si>
    <t>BHARATH V</t>
  </si>
  <si>
    <t>SRINATH S</t>
  </si>
  <si>
    <t>YUVARAJ</t>
  </si>
  <si>
    <t>DIVYABHARATHI K</t>
  </si>
  <si>
    <t>L</t>
  </si>
  <si>
    <t>Vice-President</t>
  </si>
  <si>
    <t>AR Lead</t>
  </si>
  <si>
    <t>Coder Audit</t>
  </si>
  <si>
    <t>Transaction Lead</t>
  </si>
  <si>
    <t>Credentialing Team</t>
  </si>
  <si>
    <t>Coding Lead</t>
  </si>
  <si>
    <t>Lead-Digital</t>
  </si>
  <si>
    <t>Automation Business Analyst</t>
  </si>
  <si>
    <t>Medical Coder</t>
  </si>
  <si>
    <t>AR Analyst</t>
  </si>
  <si>
    <t>Audit Manager</t>
  </si>
  <si>
    <t>Payment posting</t>
  </si>
  <si>
    <t>AR Audit</t>
  </si>
  <si>
    <t>Caller Lead</t>
  </si>
  <si>
    <t>Credentialing Lead</t>
  </si>
  <si>
    <t>Payment Posting Lead</t>
  </si>
  <si>
    <t>Demo &amp; Charge Entry</t>
  </si>
  <si>
    <t>Demo &amp; EV Lead</t>
  </si>
  <si>
    <t>Product Manager</t>
  </si>
  <si>
    <t>Transition &amp; Audit Manager</t>
  </si>
  <si>
    <t>Infrastructure Manager</t>
  </si>
  <si>
    <t>Credentialing Manager</t>
  </si>
  <si>
    <t>Transition Lead</t>
  </si>
  <si>
    <t>Junior Trainer</t>
  </si>
  <si>
    <t>Demo Audit</t>
  </si>
  <si>
    <t>HR Recruitment</t>
  </si>
  <si>
    <t>HD Demo &amp; EV Audit</t>
  </si>
  <si>
    <t>Patient Caller</t>
  </si>
  <si>
    <t>HR Operations</t>
  </si>
  <si>
    <t>Transaction Audit</t>
  </si>
  <si>
    <t>Transition Team</t>
  </si>
  <si>
    <t>Facility Caller</t>
  </si>
  <si>
    <t>Transaction Audit Lead</t>
  </si>
  <si>
    <t>AR Audit Lead</t>
  </si>
  <si>
    <t>VBA Developer</t>
  </si>
  <si>
    <t>Product Owner</t>
  </si>
  <si>
    <t>US Accounting</t>
  </si>
  <si>
    <t>Mr</t>
  </si>
  <si>
    <t>Ms</t>
  </si>
  <si>
    <t>MANAGEMENT</t>
  </si>
  <si>
    <t>MANOJ WADHWANI</t>
  </si>
  <si>
    <t>SATHISH MUTHUKRISHNAN</t>
  </si>
  <si>
    <t>ALEXANDAR JAYARAJ</t>
  </si>
  <si>
    <t>RAJ MUTALIK</t>
  </si>
  <si>
    <t>ARVIND RAYMOND MENEZES</t>
  </si>
  <si>
    <t>AHMEDUNNISA M</t>
  </si>
  <si>
    <t>IMRAN KHAN  S</t>
  </si>
  <si>
    <t>PREM M / IMRAN KHAN</t>
  </si>
  <si>
    <t>JAGADISH KUMAR N</t>
  </si>
  <si>
    <t>Pakkirmalimar</t>
  </si>
  <si>
    <t>SELVAJHANSI  CHANDRAN</t>
  </si>
  <si>
    <t>R  SUJATHA</t>
  </si>
  <si>
    <t>SADHAM HUSSAIN  A</t>
  </si>
  <si>
    <t>M  LOKESH</t>
  </si>
  <si>
    <t>MICHEAL HEALEY</t>
  </si>
  <si>
    <t>SUSAI JAGADISH JESURAJAN</t>
  </si>
  <si>
    <t>S  VINOD BALAJI</t>
  </si>
  <si>
    <t>Karthik S</t>
  </si>
  <si>
    <t>Sathishkumar</t>
  </si>
  <si>
    <t>Antony Christopher J</t>
  </si>
  <si>
    <t>VAIDYANATHAN  M</t>
  </si>
  <si>
    <t>KUMARAN  V</t>
  </si>
  <si>
    <t>DIYA WADHWANI</t>
  </si>
  <si>
    <t>BIKRAM SINGH</t>
  </si>
  <si>
    <t>RAMESH BABU</t>
  </si>
  <si>
    <t>Arvind Raymond Menezes</t>
  </si>
  <si>
    <t>SELVAJHANSI</t>
  </si>
  <si>
    <t>Special allowance</t>
  </si>
  <si>
    <t>Not Eligible</t>
  </si>
  <si>
    <t>Credentialing Audit</t>
  </si>
  <si>
    <t>SOS1168</t>
  </si>
  <si>
    <t>SOS1169</t>
  </si>
  <si>
    <t>SOS1170</t>
  </si>
  <si>
    <t>SOS1171</t>
  </si>
  <si>
    <t>SOS1172</t>
  </si>
  <si>
    <t>SOS1173</t>
  </si>
  <si>
    <t>SOS1174</t>
  </si>
  <si>
    <t>SOS1175</t>
  </si>
  <si>
    <t>SOS1176</t>
  </si>
  <si>
    <t>SOS1177</t>
  </si>
  <si>
    <t>SOS1178</t>
  </si>
  <si>
    <t>SOS1179</t>
  </si>
  <si>
    <t>SOS1180</t>
  </si>
  <si>
    <t>SOS1181</t>
  </si>
  <si>
    <t>KAMALJEET SINGH</t>
  </si>
  <si>
    <t>PRAVEEN KUMAR A</t>
  </si>
  <si>
    <t xml:space="preserve">VIMALRAJ V V </t>
  </si>
  <si>
    <t>GOUTHAMAN</t>
  </si>
  <si>
    <t xml:space="preserve">H S MOHAMMAD DAWOOD </t>
  </si>
  <si>
    <t>SANJAI V</t>
  </si>
  <si>
    <t>J RAJKUMAR</t>
  </si>
  <si>
    <t>JEGATHEESWARAN G</t>
  </si>
  <si>
    <t>GOWTHAM NEELAMBARAM H</t>
  </si>
  <si>
    <t>MOHAMED SHOAIB</t>
  </si>
  <si>
    <t>KISHORE KUMAR S</t>
  </si>
  <si>
    <t>R SARAVANAN</t>
  </si>
  <si>
    <t>AJAY R</t>
  </si>
  <si>
    <t>SIVANESAN P</t>
  </si>
  <si>
    <t>FP &amp; A</t>
  </si>
  <si>
    <t>ADMIN</t>
  </si>
  <si>
    <t xml:space="preserve">Annual Appraisal Rating </t>
  </si>
  <si>
    <t>Incr %</t>
  </si>
  <si>
    <t>0.0</t>
  </si>
  <si>
    <t>9.4</t>
  </si>
  <si>
    <t>8.10</t>
  </si>
  <si>
    <t>7.6</t>
  </si>
  <si>
    <t>7.5</t>
  </si>
  <si>
    <t>7.3</t>
  </si>
  <si>
    <t>5.5</t>
  </si>
  <si>
    <t>5.3</t>
  </si>
  <si>
    <t>4.8</t>
  </si>
  <si>
    <t>4.6</t>
  </si>
  <si>
    <t>4.5</t>
  </si>
  <si>
    <t>3.9</t>
  </si>
  <si>
    <t>3.8</t>
  </si>
  <si>
    <t>3.7</t>
  </si>
  <si>
    <t>3.1</t>
  </si>
  <si>
    <t>3.0</t>
  </si>
  <si>
    <t>2.6</t>
  </si>
  <si>
    <t>2.4</t>
  </si>
  <si>
    <t>2.3</t>
  </si>
  <si>
    <t>2.2</t>
  </si>
  <si>
    <t>2.1</t>
  </si>
  <si>
    <t>2.0</t>
  </si>
  <si>
    <t>1.11</t>
  </si>
  <si>
    <t>1.10</t>
  </si>
  <si>
    <t>1.9</t>
  </si>
  <si>
    <t>1.8</t>
  </si>
  <si>
    <t>1.7</t>
  </si>
  <si>
    <t>1.6</t>
  </si>
  <si>
    <t>1.5</t>
  </si>
  <si>
    <t>1.4</t>
  </si>
  <si>
    <t>1.3</t>
  </si>
  <si>
    <t>1.2</t>
  </si>
  <si>
    <t>1.1</t>
  </si>
  <si>
    <t>1.0</t>
  </si>
  <si>
    <t>0.11</t>
  </si>
  <si>
    <t>0.10</t>
  </si>
  <si>
    <t>0.9</t>
  </si>
  <si>
    <t>0.8</t>
  </si>
  <si>
    <t>0.7</t>
  </si>
  <si>
    <t>0.6</t>
  </si>
  <si>
    <t>0.5</t>
  </si>
  <si>
    <t>0.4</t>
  </si>
  <si>
    <t>0.3</t>
  </si>
  <si>
    <t>0.2</t>
  </si>
  <si>
    <t>0.1</t>
  </si>
  <si>
    <t>14.5</t>
  </si>
  <si>
    <t>14.8</t>
  </si>
  <si>
    <t>11.7</t>
  </si>
  <si>
    <t>10.1</t>
  </si>
  <si>
    <t>9.10</t>
  </si>
  <si>
    <t>9.7</t>
  </si>
  <si>
    <t>9.6</t>
  </si>
  <si>
    <t>9.5</t>
  </si>
  <si>
    <t>8.7</t>
  </si>
  <si>
    <t>8.3</t>
  </si>
  <si>
    <t>8.2</t>
  </si>
  <si>
    <t>8.0</t>
  </si>
  <si>
    <t>7.4</t>
  </si>
  <si>
    <t>7.1</t>
  </si>
  <si>
    <t>6.1</t>
  </si>
  <si>
    <t>5.11</t>
  </si>
  <si>
    <t>5.10</t>
  </si>
  <si>
    <t>5.9</t>
  </si>
  <si>
    <t>5.7</t>
  </si>
  <si>
    <t>5.6</t>
  </si>
  <si>
    <t>5.2</t>
  </si>
  <si>
    <t>5.0</t>
  </si>
  <si>
    <t>4.10</t>
  </si>
  <si>
    <t>4.4</t>
  </si>
  <si>
    <t>3.10</t>
  </si>
  <si>
    <t>3.2</t>
  </si>
  <si>
    <t>2.10</t>
  </si>
  <si>
    <t>2.9</t>
  </si>
  <si>
    <t>2.8</t>
  </si>
  <si>
    <t>2.7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</si>
</sst>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43" formatCode="_(* #,##0.00_);_(* \(#,##0.00\);_(* &quot;-&quot;??_);_(@_)"/>
    <numFmt numFmtId="164" formatCode="_ * #,##0.00_ ;_ * \-#,##0.00_ ;_ * &quot;-&quot;??_ ;_ @_ "/>
    <numFmt numFmtId="165" formatCode="0.0%"/>
    <numFmt numFmtId="166" formatCode="_(* #,##0_);_(* \(#,##0\);_(* &quot;-&quot;??_);_(@_)"/>
    <numFmt numFmtId="167" formatCode="&quot;$&quot;#,##0.00"/>
    <numFmt numFmtId="168" formatCode="&quot;Yes&quot;;&quot;Yes&quot;;&quot;No&quot;"/>
    <numFmt numFmtId="169" formatCode="m/d/yyyy;@"/>
    <numFmt numFmtId="170" formatCode="&quot;$&quot;#,##0"/>
    <numFmt numFmtId="171" formatCode="[$-409]d/mmm/yy;@"/>
    <numFmt numFmtId="172" formatCode="[$₹-449]\ #,##0.00"/>
  </numFmts>
  <fonts count="31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charset val="204"/>
    </font>
    <font>
      <sz val="11"/>
      <color rgb="FF9C6500"/>
      <name val="Calibri"/>
      <family val="2"/>
      <scheme val="minor"/>
    </font>
    <font>
      <sz val="10"/>
      <color indexed="8"/>
      <name val="MS Sans Serif"/>
    </font>
    <font>
      <sz val="11"/>
      <color indexed="8"/>
      <name val="Calibri"/>
      <family val="2"/>
    </font>
    <font>
      <b/>
      <sz val="11.05"/>
      <color indexed="8"/>
      <name val="Verdana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b/>
      <sz val="10"/>
      <color indexed="8"/>
      <name val="MS Sans Serif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1"/>
      <scheme val="maj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CC0000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88402966399123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7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3" fillId="0" borderId="0"/>
    <xf numFmtId="0" fontId="5" fillId="0" borderId="0"/>
    <xf numFmtId="0" fontId="14" fillId="13" borderId="0" applyNumberFormat="0" applyBorder="0" applyAlignment="0" applyProtection="0"/>
    <xf numFmtId="0" fontId="5" fillId="14" borderId="6" applyNumberFormat="0" applyFont="0" applyAlignment="0" applyProtection="0"/>
    <xf numFmtId="0" fontId="13" fillId="14" borderId="6" applyNumberFormat="0" applyFont="0" applyAlignment="0" applyProtection="0"/>
    <xf numFmtId="0" fontId="5" fillId="0" borderId="0"/>
    <xf numFmtId="0" fontId="4" fillId="0" borderId="0"/>
    <xf numFmtId="0" fontId="15" fillId="0" borderId="0"/>
    <xf numFmtId="0" fontId="16" fillId="0" borderId="0"/>
    <xf numFmtId="0" fontId="4" fillId="0" borderId="0"/>
    <xf numFmtId="9" fontId="1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14" borderId="6" applyNumberFormat="0" applyFont="0" applyAlignment="0" applyProtection="0"/>
    <xf numFmtId="0" fontId="4" fillId="0" borderId="0"/>
    <xf numFmtId="0" fontId="18" fillId="0" borderId="0"/>
    <xf numFmtId="168" fontId="16" fillId="0" borderId="0" applyFont="0" applyFill="0" applyBorder="0" applyAlignment="0" applyProtection="0"/>
    <xf numFmtId="0" fontId="18" fillId="0" borderId="0"/>
    <xf numFmtId="168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0" fontId="18" fillId="0" borderId="0"/>
    <xf numFmtId="0" fontId="18" fillId="0" borderId="0"/>
    <xf numFmtId="169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0" fontId="18" fillId="0" borderId="0"/>
    <xf numFmtId="0" fontId="18" fillId="0" borderId="0"/>
    <xf numFmtId="16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0" fontId="18" fillId="0" borderId="0"/>
    <xf numFmtId="0" fontId="18" fillId="0" borderId="0"/>
    <xf numFmtId="168" fontId="16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4" fillId="0" borderId="0"/>
    <xf numFmtId="9" fontId="16" fillId="0" borderId="0" applyFont="0" applyFill="0" applyBorder="0" applyAlignment="0" applyProtection="0"/>
    <xf numFmtId="0" fontId="19" fillId="0" borderId="0"/>
    <xf numFmtId="9" fontId="16" fillId="0" borderId="0" applyFont="0" applyFill="0" applyBorder="0" applyAlignment="0" applyProtection="0"/>
    <xf numFmtId="0" fontId="21" fillId="15" borderId="0" applyNumberFormat="0" applyBorder="0" applyAlignment="0" applyProtection="0"/>
    <xf numFmtId="0" fontId="22" fillId="16" borderId="0" applyNumberFormat="0" applyBorder="0" applyAlignment="0" applyProtection="0"/>
    <xf numFmtId="0" fontId="25" fillId="0" borderId="0"/>
    <xf numFmtId="0" fontId="25" fillId="18" borderId="6" applyNumberFormat="0" applyFont="0" applyAlignment="0" applyProtection="0"/>
    <xf numFmtId="0" fontId="26" fillId="0" borderId="0" applyNumberFormat="0" applyFill="0" applyBorder="0" applyAlignment="0" applyProtection="0"/>
    <xf numFmtId="0" fontId="24" fillId="20" borderId="8" applyNumberFormat="0" applyAlignment="0" applyProtection="0"/>
    <xf numFmtId="0" fontId="3" fillId="0" borderId="0"/>
    <xf numFmtId="0" fontId="3" fillId="0" borderId="0"/>
    <xf numFmtId="0" fontId="3" fillId="17" borderId="0" applyNumberFormat="0" applyBorder="0" applyAlignment="0" applyProtection="0"/>
    <xf numFmtId="0" fontId="14" fillId="19" borderId="0" applyNumberFormat="0" applyBorder="0" applyAlignment="0" applyProtection="0"/>
    <xf numFmtId="0" fontId="3" fillId="18" borderId="6" applyNumberFormat="0" applyFont="0" applyAlignment="0" applyProtection="0"/>
  </cellStyleXfs>
  <cellXfs count="104">
    <xf numFmtId="0" fontId="0" fillId="0" borderId="0" xfId="0"/>
    <xf numFmtId="0" fontId="8" fillId="2" borderId="1" xfId="3" applyFont="1" applyFill="1" applyBorder="1" applyAlignment="1">
      <alignment horizontal="center"/>
    </xf>
    <xf numFmtId="0" fontId="8" fillId="2" borderId="2" xfId="3" applyFont="1" applyFill="1" applyBorder="1" applyAlignment="1">
      <alignment horizontal="center"/>
    </xf>
    <xf numFmtId="0" fontId="8" fillId="2" borderId="3" xfId="3" applyFont="1" applyFill="1" applyBorder="1" applyAlignment="1">
      <alignment horizontal="center"/>
    </xf>
    <xf numFmtId="0" fontId="8" fillId="2" borderId="0" xfId="3" applyFont="1" applyFill="1" applyAlignment="1">
      <alignment horizontal="center"/>
    </xf>
    <xf numFmtId="0" fontId="8" fillId="3" borderId="0" xfId="3" applyFont="1" applyFill="1" applyAlignment="1">
      <alignment horizontal="center"/>
    </xf>
    <xf numFmtId="9" fontId="8" fillId="2" borderId="1" xfId="3" applyNumberFormat="1" applyFont="1" applyFill="1" applyBorder="1" applyAlignment="1">
      <alignment horizontal="center"/>
    </xf>
    <xf numFmtId="9" fontId="8" fillId="3" borderId="1" xfId="3" applyNumberFormat="1" applyFont="1" applyFill="1" applyBorder="1" applyAlignment="1">
      <alignment horizontal="center"/>
    </xf>
    <xf numFmtId="9" fontId="8" fillId="4" borderId="1" xfId="3" applyNumberFormat="1" applyFont="1" applyFill="1" applyBorder="1" applyAlignment="1">
      <alignment horizontal="center"/>
    </xf>
    <xf numFmtId="0" fontId="8" fillId="2" borderId="4" xfId="3" applyFont="1" applyFill="1" applyBorder="1" applyAlignment="1">
      <alignment horizontal="center"/>
    </xf>
    <xf numFmtId="0" fontId="9" fillId="3" borderId="1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165" fontId="8" fillId="0" borderId="1" xfId="3" applyNumberFormat="1" applyFont="1" applyBorder="1" applyAlignment="1">
      <alignment horizontal="center" vertical="center"/>
    </xf>
    <xf numFmtId="165" fontId="0" fillId="0" borderId="0" xfId="2" applyNumberFormat="1" applyFont="1"/>
    <xf numFmtId="0" fontId="20" fillId="0" borderId="1" xfId="0" applyFont="1" applyBorder="1"/>
    <xf numFmtId="0" fontId="20" fillId="0" borderId="0" xfId="0" applyFont="1"/>
    <xf numFmtId="0" fontId="8" fillId="2" borderId="1" xfId="12" applyFont="1" applyFill="1" applyBorder="1" applyAlignment="1">
      <alignment horizontal="center"/>
    </xf>
    <xf numFmtId="9" fontId="0" fillId="0" borderId="0" xfId="0" applyNumberFormat="1"/>
    <xf numFmtId="9" fontId="0" fillId="0" borderId="0" xfId="2" applyFont="1"/>
    <xf numFmtId="2" fontId="0" fillId="0" borderId="0" xfId="0" applyNumberFormat="1"/>
    <xf numFmtId="9" fontId="2" fillId="0" borderId="1" xfId="75" applyFont="1" applyBorder="1" applyAlignment="1">
      <alignment horizontal="center"/>
    </xf>
    <xf numFmtId="165" fontId="0" fillId="0" borderId="0" xfId="0" applyNumberFormat="1"/>
    <xf numFmtId="10" fontId="0" fillId="0" borderId="0" xfId="0" applyNumberFormat="1"/>
    <xf numFmtId="0" fontId="30" fillId="0" borderId="0" xfId="0" applyFo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9" borderId="1" xfId="0" applyFont="1" applyFill="1" applyBorder="1" applyAlignment="1" applyProtection="1">
      <alignment horizontal="center" vertical="center"/>
      <protection locked="0"/>
    </xf>
    <xf numFmtId="43" fontId="0" fillId="0" borderId="1" xfId="1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67" fontId="6" fillId="0" borderId="1" xfId="0" applyNumberFormat="1" applyFont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locked="0"/>
    </xf>
    <xf numFmtId="0" fontId="7" fillId="6" borderId="1" xfId="0" applyFont="1" applyFill="1" applyBorder="1" applyAlignment="1" applyProtection="1">
      <alignment horizontal="center" vertical="center" wrapText="1"/>
      <protection locked="0"/>
    </xf>
    <xf numFmtId="0" fontId="7" fillId="12" borderId="1" xfId="0" applyFont="1" applyFill="1" applyBorder="1" applyAlignment="1" applyProtection="1">
      <alignment horizontal="center" vertical="center" wrapText="1"/>
      <protection locked="0"/>
    </xf>
    <xf numFmtId="43" fontId="28" fillId="22" borderId="1" xfId="1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7" fillId="23" borderId="0" xfId="0" applyFont="1" applyFill="1" applyAlignment="1" applyProtection="1">
      <alignment horizontal="center" vertical="top" wrapText="1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left" vertical="center"/>
      <protection locked="0"/>
    </xf>
    <xf numFmtId="171" fontId="8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3" fontId="0" fillId="0" borderId="1" xfId="0" applyNumberFormat="1" applyBorder="1" applyAlignment="1" applyProtection="1">
      <alignment horizontal="center" vertical="center"/>
      <protection locked="0"/>
    </xf>
    <xf numFmtId="2" fontId="6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19" applyFon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2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horizontal="center" vertical="center"/>
      <protection locked="0"/>
    </xf>
    <xf numFmtId="9" fontId="0" fillId="0" borderId="1" xfId="2" applyFon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5" fontId="0" fillId="0" borderId="1" xfId="2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165" fontId="0" fillId="10" borderId="1" xfId="2" applyNumberFormat="1" applyFont="1" applyFill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1" fontId="0" fillId="0" borderId="5" xfId="0" applyNumberFormat="1" applyBorder="1" applyAlignment="1" applyProtection="1">
      <alignment horizontal="center" vertical="center"/>
      <protection locked="0"/>
    </xf>
    <xf numFmtId="0" fontId="8" fillId="0" borderId="2" xfId="19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65" fontId="2" fillId="0" borderId="1" xfId="2" applyNumberFormat="1" applyFont="1" applyBorder="1" applyAlignment="1" applyProtection="1">
      <alignment horizontal="center" vertical="center"/>
      <protection locked="0"/>
    </xf>
    <xf numFmtId="1" fontId="0" fillId="0" borderId="7" xfId="0" applyNumberFormat="1" applyBorder="1" applyAlignment="1" applyProtection="1">
      <alignment horizontal="center"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43" fontId="6" fillId="0" borderId="1" xfId="1" applyFont="1" applyBorder="1" applyAlignment="1" applyProtection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172" fontId="6" fillId="0" borderId="0" xfId="1" applyNumberFormat="1" applyFont="1" applyBorder="1" applyAlignment="1" applyProtection="1">
      <alignment horizontal="center" vertical="center"/>
    </xf>
    <xf numFmtId="43" fontId="6" fillId="0" borderId="0" xfId="1" applyFont="1" applyBorder="1" applyAlignment="1" applyProtection="1">
      <alignment horizontal="center" vertical="center"/>
    </xf>
    <xf numFmtId="43" fontId="7" fillId="9" borderId="1" xfId="1" applyFont="1" applyFill="1" applyBorder="1" applyAlignment="1" applyProtection="1">
      <alignment horizontal="center" vertical="center"/>
    </xf>
    <xf numFmtId="166" fontId="7" fillId="9" borderId="1" xfId="1" applyNumberFormat="1" applyFont="1" applyFill="1" applyBorder="1" applyAlignment="1" applyProtection="1">
      <alignment horizontal="center" vertical="center"/>
    </xf>
    <xf numFmtId="9" fontId="6" fillId="0" borderId="1" xfId="2" applyFont="1" applyBorder="1" applyAlignment="1" applyProtection="1">
      <alignment horizontal="center" vertical="center"/>
    </xf>
    <xf numFmtId="6" fontId="6" fillId="0" borderId="1" xfId="1" applyNumberFormat="1" applyFont="1" applyFill="1" applyBorder="1" applyAlignment="1" applyProtection="1">
      <alignment horizontal="center" vertical="center"/>
    </xf>
    <xf numFmtId="172" fontId="6" fillId="0" borderId="0" xfId="1" applyNumberFormat="1" applyFont="1" applyFill="1" applyBorder="1" applyAlignment="1" applyProtection="1">
      <alignment horizontal="center" vertical="center"/>
    </xf>
    <xf numFmtId="43" fontId="22" fillId="16" borderId="1" xfId="77" applyNumberFormat="1" applyBorder="1" applyAlignment="1" applyProtection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43" fontId="7" fillId="5" borderId="1" xfId="1" applyFont="1" applyFill="1" applyBorder="1" applyAlignment="1" applyProtection="1">
      <alignment horizontal="center" vertical="center"/>
    </xf>
    <xf numFmtId="172" fontId="22" fillId="16" borderId="1" xfId="77" applyNumberFormat="1" applyBorder="1" applyAlignment="1" applyProtection="1">
      <alignment horizontal="center" vertical="center"/>
    </xf>
    <xf numFmtId="43" fontId="0" fillId="0" borderId="1" xfId="1" applyFont="1" applyBorder="1" applyAlignment="1" applyProtection="1">
      <alignment horizontal="center" vertical="center"/>
    </xf>
    <xf numFmtId="43" fontId="0" fillId="0" borderId="1" xfId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43" fontId="6" fillId="0" borderId="1" xfId="16" applyFont="1" applyFill="1" applyBorder="1" applyAlignment="1" applyProtection="1">
      <alignment horizontal="center" vertical="center"/>
    </xf>
    <xf numFmtId="43" fontId="0" fillId="0" borderId="1" xfId="0" applyNumberFormat="1" applyBorder="1" applyAlignment="1">
      <alignment horizontal="center" vertical="center"/>
    </xf>
    <xf numFmtId="43" fontId="6" fillId="0" borderId="1" xfId="16" applyFont="1" applyFill="1" applyBorder="1" applyAlignment="1" applyProtection="1">
      <alignment horizontal="center" vertical="center" wrapText="1"/>
    </xf>
    <xf numFmtId="172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43" fontId="0" fillId="0" borderId="0" xfId="1" applyFont="1" applyAlignment="1" applyProtection="1">
      <alignment horizontal="center" vertical="center"/>
    </xf>
    <xf numFmtId="172" fontId="0" fillId="0" borderId="0" xfId="0" applyNumberFormat="1" applyAlignment="1">
      <alignment horizontal="center" vertical="center"/>
    </xf>
    <xf numFmtId="10" fontId="7" fillId="9" borderId="1" xfId="1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0" fontId="7" fillId="0" borderId="1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9" fontId="0" fillId="0" borderId="0" xfId="1" applyNumberFormat="1" applyFont="1" applyAlignment="1" applyProtection="1">
      <alignment horizontal="center" vertical="center"/>
    </xf>
    <xf numFmtId="9" fontId="0" fillId="0" borderId="0" xfId="2" applyFont="1" applyFill="1" applyAlignment="1" applyProtection="1">
      <alignment horizontal="center" vertical="center"/>
    </xf>
    <xf numFmtId="0" fontId="21" fillId="15" borderId="1" xfId="76" applyBorder="1" applyAlignment="1" applyProtection="1">
      <alignment horizontal="center" vertical="center"/>
    </xf>
    <xf numFmtId="43" fontId="7" fillId="7" borderId="1" xfId="1" applyFont="1" applyFill="1" applyBorder="1" applyAlignment="1" applyProtection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</cellXfs>
  <cellStyles count="87">
    <cellStyle name="20% - Accent6 2" xfId="84" xr:uid="{F046BBD1-F29E-4514-B08F-0344D67014E5}"/>
    <cellStyle name="Accent6" xfId="77" builtinId="49"/>
    <cellStyle name="Bad" xfId="76" builtinId="27"/>
    <cellStyle name="Comma" xfId="1" builtinId="3"/>
    <cellStyle name="Comma 2" xfId="17" xr:uid="{00000000-0005-0000-0000-000001000000}"/>
    <cellStyle name="Comma 5" xfId="16" xr:uid="{00000000-0005-0000-0000-000002000000}"/>
    <cellStyle name="Comma 7" xfId="15" xr:uid="{00000000-0005-0000-0000-000003000000}"/>
    <cellStyle name="Currency 2" xfId="35" xr:uid="{00000000-0005-0000-0000-000005000000}"/>
    <cellStyle name="Currency 2 10" xfId="36" xr:uid="{00000000-0005-0000-0000-000006000000}"/>
    <cellStyle name="Currency 2 11" xfId="37" xr:uid="{00000000-0005-0000-0000-000007000000}"/>
    <cellStyle name="Currency 2 14" xfId="27" xr:uid="{00000000-0005-0000-0000-000008000000}"/>
    <cellStyle name="Currency 2 2" xfId="30" xr:uid="{00000000-0005-0000-0000-000009000000}"/>
    <cellStyle name="Currency 2 49" xfId="38" xr:uid="{00000000-0005-0000-0000-00000A000000}"/>
    <cellStyle name="Currency 2 50" xfId="26" xr:uid="{00000000-0005-0000-0000-00000B000000}"/>
    <cellStyle name="Currency 2 51" xfId="31" xr:uid="{00000000-0005-0000-0000-00000C000000}"/>
    <cellStyle name="Currency 2 53" xfId="24" xr:uid="{00000000-0005-0000-0000-00000D000000}"/>
    <cellStyle name="Currency 2 56" xfId="34" xr:uid="{00000000-0005-0000-0000-00000E000000}"/>
    <cellStyle name="Currency 2 57" xfId="39" xr:uid="{00000000-0005-0000-0000-00000F000000}"/>
    <cellStyle name="Currency 2 58" xfId="42" xr:uid="{00000000-0005-0000-0000-000010000000}"/>
    <cellStyle name="Input 2" xfId="81" xr:uid="{8F4E13D4-B6E0-4F3C-80B9-4D39862D5C6F}"/>
    <cellStyle name="Neutral 2" xfId="6" xr:uid="{00000000-0005-0000-0000-000011000000}"/>
    <cellStyle name="Neutral 2 2" xfId="85" xr:uid="{EFCEC577-72E0-4A05-B580-F23F82E2EBC8}"/>
    <cellStyle name="Normal" xfId="0" builtinId="0"/>
    <cellStyle name="Normal 14" xfId="45" xr:uid="{00000000-0005-0000-0000-000013000000}"/>
    <cellStyle name="Normal 2" xfId="5" xr:uid="{00000000-0005-0000-0000-000014000000}"/>
    <cellStyle name="Normal 2 10" xfId="32" xr:uid="{00000000-0005-0000-0000-000015000000}"/>
    <cellStyle name="Normal 2 11" xfId="25" xr:uid="{00000000-0005-0000-0000-000016000000}"/>
    <cellStyle name="Normal 2 13" xfId="46" xr:uid="{00000000-0005-0000-0000-000017000000}"/>
    <cellStyle name="Normal 2 14" xfId="33" xr:uid="{00000000-0005-0000-0000-000018000000}"/>
    <cellStyle name="Normal 2 15" xfId="40" xr:uid="{00000000-0005-0000-0000-000019000000}"/>
    <cellStyle name="Normal 2 16" xfId="43" xr:uid="{00000000-0005-0000-0000-00001A000000}"/>
    <cellStyle name="Normal 2 17" xfId="47" xr:uid="{00000000-0005-0000-0000-00001B000000}"/>
    <cellStyle name="Normal 2 19" xfId="50" xr:uid="{00000000-0005-0000-0000-00001C000000}"/>
    <cellStyle name="Normal 2 2" xfId="19" xr:uid="{00000000-0005-0000-0000-00001D000000}"/>
    <cellStyle name="Normal 2 2 2" xfId="52" xr:uid="{00000000-0005-0000-0000-00001E000000}"/>
    <cellStyle name="Normal 2 2 5 3" xfId="74" xr:uid="{00000000-0005-0000-0000-00001F000000}"/>
    <cellStyle name="Normal 2 20" xfId="41" xr:uid="{00000000-0005-0000-0000-000020000000}"/>
    <cellStyle name="Normal 2 21" xfId="44" xr:uid="{00000000-0005-0000-0000-000021000000}"/>
    <cellStyle name="Normal 2 22" xfId="48" xr:uid="{00000000-0005-0000-0000-000022000000}"/>
    <cellStyle name="Normal 2 23" xfId="53" xr:uid="{00000000-0005-0000-0000-000023000000}"/>
    <cellStyle name="Normal 2 24" xfId="51" xr:uid="{00000000-0005-0000-0000-000024000000}"/>
    <cellStyle name="Normal 2 25" xfId="54" xr:uid="{00000000-0005-0000-0000-000025000000}"/>
    <cellStyle name="Normal 2 27" xfId="56" xr:uid="{00000000-0005-0000-0000-000026000000}"/>
    <cellStyle name="Normal 2 28" xfId="58" xr:uid="{00000000-0005-0000-0000-000027000000}"/>
    <cellStyle name="Normal 2 29" xfId="60" xr:uid="{00000000-0005-0000-0000-000028000000}"/>
    <cellStyle name="Normal 2 3" xfId="82" xr:uid="{DBBA393F-342D-46EB-90FE-D5E40C1EB1C5}"/>
    <cellStyle name="Normal 2 30" xfId="55" xr:uid="{00000000-0005-0000-0000-000029000000}"/>
    <cellStyle name="Normal 2 31" xfId="62" xr:uid="{00000000-0005-0000-0000-00002A000000}"/>
    <cellStyle name="Normal 2 32" xfId="57" xr:uid="{00000000-0005-0000-0000-00002B000000}"/>
    <cellStyle name="Normal 2 33" xfId="59" xr:uid="{00000000-0005-0000-0000-00002C000000}"/>
    <cellStyle name="Normal 2 34" xfId="61" xr:uid="{00000000-0005-0000-0000-00002D000000}"/>
    <cellStyle name="Normal 2 35" xfId="63" xr:uid="{00000000-0005-0000-0000-00002E000000}"/>
    <cellStyle name="Normal 2 37" xfId="65" xr:uid="{00000000-0005-0000-0000-00002F000000}"/>
    <cellStyle name="Normal 2 38" xfId="67" xr:uid="{00000000-0005-0000-0000-000030000000}"/>
    <cellStyle name="Normal 2 39" xfId="29" xr:uid="{00000000-0005-0000-0000-000031000000}"/>
    <cellStyle name="Normal 2 40" xfId="64" xr:uid="{00000000-0005-0000-0000-000032000000}"/>
    <cellStyle name="Normal 2 41" xfId="69" xr:uid="{00000000-0005-0000-0000-000033000000}"/>
    <cellStyle name="Normal 2 42" xfId="66" xr:uid="{00000000-0005-0000-0000-000034000000}"/>
    <cellStyle name="Normal 2 43" xfId="68" xr:uid="{00000000-0005-0000-0000-000035000000}"/>
    <cellStyle name="Normal 2 44" xfId="28" xr:uid="{00000000-0005-0000-0000-000036000000}"/>
    <cellStyle name="Normal 2 45" xfId="70" xr:uid="{00000000-0005-0000-0000-000037000000}"/>
    <cellStyle name="Normal 2 46" xfId="23" xr:uid="{00000000-0005-0000-0000-000038000000}"/>
    <cellStyle name="Normal 2 6" xfId="71" xr:uid="{00000000-0005-0000-0000-000039000000}"/>
    <cellStyle name="Normal 3" xfId="3" xr:uid="{00000000-0005-0000-0000-00003A000000}"/>
    <cellStyle name="Normal 3 2" xfId="9" xr:uid="{00000000-0005-0000-0000-00003B000000}"/>
    <cellStyle name="Normal 3 2 2" xfId="22" xr:uid="{00000000-0005-0000-0000-00003C000000}"/>
    <cellStyle name="Normal 3 3" xfId="11" xr:uid="{00000000-0005-0000-0000-00003D000000}"/>
    <cellStyle name="Normal 3 4" xfId="12" xr:uid="{00000000-0005-0000-0000-00003E000000}"/>
    <cellStyle name="Normal 3 5" xfId="20" xr:uid="{00000000-0005-0000-0000-00003F000000}"/>
    <cellStyle name="Normal 3 6" xfId="83" xr:uid="{A3BA06BB-9FFA-44BA-A106-D8016E8411BF}"/>
    <cellStyle name="Normal 4" xfId="4" xr:uid="{00000000-0005-0000-0000-000040000000}"/>
    <cellStyle name="Normal 5" xfId="10" xr:uid="{00000000-0005-0000-0000-000041000000}"/>
    <cellStyle name="Normal 6" xfId="72" xr:uid="{00000000-0005-0000-0000-000042000000}"/>
    <cellStyle name="Normal 7" xfId="78" xr:uid="{C76F1D40-AAA3-48ED-9BAA-C276245BBF1E}"/>
    <cellStyle name="Normal 9" xfId="13" xr:uid="{00000000-0005-0000-0000-000043000000}"/>
    <cellStyle name="Normal 91" xfId="49" xr:uid="{00000000-0005-0000-0000-000044000000}"/>
    <cellStyle name="Note 2" xfId="7" xr:uid="{00000000-0005-0000-0000-000045000000}"/>
    <cellStyle name="Note 2 2" xfId="21" xr:uid="{00000000-0005-0000-0000-000046000000}"/>
    <cellStyle name="Note 2 3" xfId="86" xr:uid="{6771058A-1824-4E92-B94B-DB29541BC23F}"/>
    <cellStyle name="Note 3" xfId="8" xr:uid="{00000000-0005-0000-0000-000047000000}"/>
    <cellStyle name="Note 4" xfId="79" xr:uid="{C81875A1-BB72-4E7F-AD40-F4D6B45D45AA}"/>
    <cellStyle name="Percent" xfId="2" builtinId="5"/>
    <cellStyle name="Percent 2" xfId="18" xr:uid="{00000000-0005-0000-0000-000049000000}"/>
    <cellStyle name="Percent 2 2" xfId="75" xr:uid="{00000000-0005-0000-0000-00004A000000}"/>
    <cellStyle name="Percent 3" xfId="14" xr:uid="{00000000-0005-0000-0000-00004B000000}"/>
    <cellStyle name="Percent 5" xfId="73" xr:uid="{00000000-0005-0000-0000-00004C000000}"/>
    <cellStyle name="Title 2" xfId="80" xr:uid="{6D6A46D7-1964-4EEC-A6DA-F1040DBD153D}"/>
  </cellStyles>
  <dxfs count="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chine113\Documents%20and%20Settings\psingh\Local%20Settings\Temporary%20Internet%20Files\Content.Outlook\OOPHVGEW\Saicle%20_%20FTE%20cost_V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chine113\Documents%20and%20Settings\cthorat\Local%20Settings\Temporary%20Internet%20Files\Content.Outlook\3DOW38VB\cashflow_forecast_actual_samp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Revenue "/>
      <sheetName val="Salary Expenses "/>
      <sheetName val="Other Expenses"/>
      <sheetName val="Dep_Cost"/>
      <sheetName val="Dep Cost"/>
      <sheetName val="AR"/>
      <sheetName val="Loan to Saicle "/>
      <sheetName val="Loan_Infra"/>
      <sheetName val="Loan_WC"/>
      <sheetName val="Invoice Register _USD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Loan Amortization Schedule</v>
          </cell>
        </row>
        <row r="4">
          <cell r="B4" t="str">
            <v>Enter values</v>
          </cell>
          <cell r="H4" t="str">
            <v>Loan summary</v>
          </cell>
        </row>
        <row r="5">
          <cell r="C5" t="str">
            <v>Loan amount</v>
          </cell>
          <cell r="D5">
            <v>3345888.2</v>
          </cell>
          <cell r="I5" t="str">
            <v>Scheduled payment</v>
          </cell>
          <cell r="J5">
            <v>64685.392510256519</v>
          </cell>
        </row>
        <row r="6">
          <cell r="C6" t="str">
            <v>Annual interest rate</v>
          </cell>
          <cell r="D6">
            <v>0.06</v>
          </cell>
          <cell r="I6" t="str">
            <v>Scheduled number of payments</v>
          </cell>
          <cell r="J6">
            <v>60</v>
          </cell>
        </row>
        <row r="7">
          <cell r="C7" t="str">
            <v>Loan period in years</v>
          </cell>
          <cell r="D7">
            <v>5</v>
          </cell>
          <cell r="I7" t="str">
            <v>Actual number of payments</v>
          </cell>
          <cell r="J7">
            <v>60</v>
          </cell>
        </row>
        <row r="8">
          <cell r="C8" t="str">
            <v>Number of payments per year</v>
          </cell>
          <cell r="D8">
            <v>12</v>
          </cell>
          <cell r="I8" t="str">
            <v>Total early payments</v>
          </cell>
          <cell r="J8">
            <v>0</v>
          </cell>
        </row>
        <row r="9">
          <cell r="C9" t="str">
            <v>Start date of loan</v>
          </cell>
          <cell r="D9">
            <v>40909</v>
          </cell>
          <cell r="I9" t="str">
            <v>Total interest</v>
          </cell>
          <cell r="J9">
            <v>535235.35061527276</v>
          </cell>
        </row>
        <row r="10">
          <cell r="C10" t="str">
            <v>Optional extra payments</v>
          </cell>
          <cell r="D10">
            <v>0</v>
          </cell>
        </row>
        <row r="12">
          <cell r="B12" t="str">
            <v>Lender name:</v>
          </cell>
        </row>
        <row r="16">
          <cell r="A16" t="str">
            <v>Pmt. No.</v>
          </cell>
          <cell r="B16" t="str">
            <v>Payment Date</v>
          </cell>
          <cell r="C16" t="str">
            <v>Beginning Balance</v>
          </cell>
          <cell r="D16" t="str">
            <v>Scheduled Payment</v>
          </cell>
          <cell r="E16" t="str">
            <v>Extra Payment</v>
          </cell>
          <cell r="F16" t="str">
            <v>Total Payment</v>
          </cell>
          <cell r="G16" t="str">
            <v>Principal</v>
          </cell>
          <cell r="H16" t="str">
            <v>Interest</v>
          </cell>
          <cell r="I16" t="str">
            <v>Ending Balance</v>
          </cell>
          <cell r="J16" t="str">
            <v>Cumulative Interest</v>
          </cell>
        </row>
        <row r="18">
          <cell r="A18">
            <v>1</v>
          </cell>
          <cell r="B18">
            <v>40940</v>
          </cell>
          <cell r="C18">
            <v>3345888.2</v>
          </cell>
          <cell r="D18">
            <v>64685.392510256519</v>
          </cell>
          <cell r="E18">
            <v>0</v>
          </cell>
          <cell r="F18">
            <v>64685.392510256519</v>
          </cell>
          <cell r="G18">
            <v>47955.95151025652</v>
          </cell>
          <cell r="H18">
            <v>16729.441000000003</v>
          </cell>
          <cell r="I18">
            <v>3297932.2484897436</v>
          </cell>
          <cell r="J18">
            <v>16729.441000000003</v>
          </cell>
        </row>
        <row r="19">
          <cell r="A19">
            <v>2</v>
          </cell>
          <cell r="B19">
            <v>40969</v>
          </cell>
          <cell r="C19">
            <v>3297932.2484897436</v>
          </cell>
          <cell r="D19">
            <v>64685.392510256519</v>
          </cell>
          <cell r="E19">
            <v>0</v>
          </cell>
          <cell r="F19">
            <v>64685.392510256519</v>
          </cell>
          <cell r="G19">
            <v>48195.731267807801</v>
          </cell>
          <cell r="H19">
            <v>16489.661242448718</v>
          </cell>
          <cell r="I19">
            <v>3249736.5172219356</v>
          </cell>
          <cell r="J19">
            <v>33219.102242448716</v>
          </cell>
        </row>
        <row r="20">
          <cell r="A20">
            <v>3</v>
          </cell>
          <cell r="B20">
            <v>41000</v>
          </cell>
          <cell r="C20">
            <v>3249736.5172219356</v>
          </cell>
          <cell r="D20">
            <v>64685.392510256519</v>
          </cell>
          <cell r="E20">
            <v>0</v>
          </cell>
          <cell r="F20">
            <v>64685.392510256519</v>
          </cell>
          <cell r="G20">
            <v>48436.709924146839</v>
          </cell>
          <cell r="H20">
            <v>16248.682586109679</v>
          </cell>
          <cell r="I20">
            <v>3201299.8072977886</v>
          </cell>
          <cell r="J20">
            <v>49467.784828558397</v>
          </cell>
        </row>
        <row r="21">
          <cell r="A21">
            <v>4</v>
          </cell>
          <cell r="B21">
            <v>41030</v>
          </cell>
          <cell r="C21">
            <v>3201299.8072977886</v>
          </cell>
          <cell r="D21">
            <v>64685.392510256519</v>
          </cell>
          <cell r="E21">
            <v>0</v>
          </cell>
          <cell r="F21">
            <v>64685.392510256519</v>
          </cell>
          <cell r="G21">
            <v>48678.893473767574</v>
          </cell>
          <cell r="H21">
            <v>16006.499036488944</v>
          </cell>
          <cell r="I21">
            <v>3152620.9138240209</v>
          </cell>
          <cell r="J21">
            <v>65474.283865047342</v>
          </cell>
        </row>
        <row r="22">
          <cell r="A22">
            <v>5</v>
          </cell>
          <cell r="B22">
            <v>41061</v>
          </cell>
          <cell r="C22">
            <v>3152620.9138240209</v>
          </cell>
          <cell r="D22">
            <v>64685.392510256519</v>
          </cell>
          <cell r="E22">
            <v>0</v>
          </cell>
          <cell r="F22">
            <v>64685.392510256519</v>
          </cell>
          <cell r="G22">
            <v>48922.287941136412</v>
          </cell>
          <cell r="H22">
            <v>15763.104569120105</v>
          </cell>
          <cell r="I22">
            <v>3103698.6258828845</v>
          </cell>
          <cell r="J22">
            <v>81237.388434167442</v>
          </cell>
        </row>
        <row r="23">
          <cell r="A23">
            <v>6</v>
          </cell>
          <cell r="B23">
            <v>41091</v>
          </cell>
          <cell r="C23">
            <v>3103698.6258828845</v>
          </cell>
          <cell r="D23">
            <v>64685.392510256519</v>
          </cell>
          <cell r="E23">
            <v>0</v>
          </cell>
          <cell r="F23">
            <v>64685.392510256519</v>
          </cell>
          <cell r="G23">
            <v>49166.8993808421</v>
          </cell>
          <cell r="H23">
            <v>15518.493129414421</v>
          </cell>
          <cell r="I23">
            <v>3054531.7265020423</v>
          </cell>
          <cell r="J23">
            <v>96755.881563581861</v>
          </cell>
        </row>
        <row r="24">
          <cell r="A24">
            <v>7</v>
          </cell>
          <cell r="B24">
            <v>41122</v>
          </cell>
          <cell r="C24">
            <v>3054531.7265020423</v>
          </cell>
          <cell r="D24">
            <v>64685.392510256519</v>
          </cell>
          <cell r="E24">
            <v>0</v>
          </cell>
          <cell r="F24">
            <v>64685.392510256519</v>
          </cell>
          <cell r="G24">
            <v>49412.733877746308</v>
          </cell>
          <cell r="H24">
            <v>15272.658632510211</v>
          </cell>
          <cell r="I24">
            <v>3005118.9926242959</v>
          </cell>
          <cell r="J24">
            <v>112028.54019609207</v>
          </cell>
        </row>
        <row r="25">
          <cell r="A25">
            <v>8</v>
          </cell>
          <cell r="B25">
            <v>41153</v>
          </cell>
          <cell r="C25">
            <v>3005118.9926242959</v>
          </cell>
          <cell r="D25">
            <v>64685.392510256519</v>
          </cell>
          <cell r="E25">
            <v>0</v>
          </cell>
          <cell r="F25">
            <v>64685.392510256519</v>
          </cell>
          <cell r="G25">
            <v>49659.797547135044</v>
          </cell>
          <cell r="H25">
            <v>15025.594963121477</v>
          </cell>
          <cell r="I25">
            <v>2955459.1950771608</v>
          </cell>
          <cell r="J25">
            <v>127054.13515921355</v>
          </cell>
        </row>
        <row r="26">
          <cell r="A26">
            <v>9</v>
          </cell>
          <cell r="B26">
            <v>41183</v>
          </cell>
          <cell r="C26">
            <v>2955459.1950771608</v>
          </cell>
          <cell r="D26">
            <v>64685.392510256519</v>
          </cell>
          <cell r="E26">
            <v>0</v>
          </cell>
          <cell r="F26">
            <v>64685.392510256519</v>
          </cell>
          <cell r="G26">
            <v>49908.096534870718</v>
          </cell>
          <cell r="H26">
            <v>14777.295975385803</v>
          </cell>
          <cell r="I26">
            <v>2905551.0985422903</v>
          </cell>
          <cell r="J26">
            <v>141831.43113459935</v>
          </cell>
        </row>
        <row r="27">
          <cell r="A27">
            <v>10</v>
          </cell>
          <cell r="B27">
            <v>41214</v>
          </cell>
          <cell r="C27">
            <v>2905551.0985422903</v>
          </cell>
          <cell r="D27">
            <v>64685.392510256519</v>
          </cell>
          <cell r="E27">
            <v>0</v>
          </cell>
          <cell r="F27">
            <v>64685.392510256519</v>
          </cell>
          <cell r="G27">
            <v>50157.637017545065</v>
          </cell>
          <cell r="H27">
            <v>14527.755492711452</v>
          </cell>
          <cell r="I27">
            <v>2855393.461524745</v>
          </cell>
          <cell r="J27">
            <v>156359.18662731079</v>
          </cell>
        </row>
        <row r="28">
          <cell r="A28">
            <v>11</v>
          </cell>
          <cell r="B28">
            <v>41244</v>
          </cell>
          <cell r="C28">
            <v>2855393.461524745</v>
          </cell>
          <cell r="D28">
            <v>64685.392510256519</v>
          </cell>
          <cell r="E28">
            <v>0</v>
          </cell>
          <cell r="F28">
            <v>64685.392510256519</v>
          </cell>
          <cell r="G28">
            <v>50408.425202632796</v>
          </cell>
          <cell r="H28">
            <v>14276.967307623725</v>
          </cell>
          <cell r="I28">
            <v>2804985.0363221122</v>
          </cell>
          <cell r="J28">
            <v>170636.15393493453</v>
          </cell>
        </row>
        <row r="29">
          <cell r="A29">
            <v>12</v>
          </cell>
          <cell r="B29">
            <v>41275</v>
          </cell>
          <cell r="C29">
            <v>2804985.0363221122</v>
          </cell>
          <cell r="D29">
            <v>64685.392510256519</v>
          </cell>
          <cell r="E29">
            <v>0</v>
          </cell>
          <cell r="F29">
            <v>64685.392510256519</v>
          </cell>
          <cell r="G29">
            <v>50660.467328645958</v>
          </cell>
          <cell r="H29">
            <v>14024.925181610561</v>
          </cell>
          <cell r="I29">
            <v>2754324.5689934664</v>
          </cell>
          <cell r="J29">
            <v>184661.07911654509</v>
          </cell>
        </row>
        <row r="30">
          <cell r="A30">
            <v>13</v>
          </cell>
          <cell r="B30">
            <v>41306</v>
          </cell>
          <cell r="C30">
            <v>2754324.5689934664</v>
          </cell>
          <cell r="D30">
            <v>64685.392510256519</v>
          </cell>
          <cell r="E30">
            <v>0</v>
          </cell>
          <cell r="F30">
            <v>64685.392510256519</v>
          </cell>
          <cell r="G30">
            <v>50913.76966528919</v>
          </cell>
          <cell r="H30">
            <v>13771.622844967331</v>
          </cell>
          <cell r="I30">
            <v>2703410.7993281772</v>
          </cell>
          <cell r="J30">
            <v>198432.70196151242</v>
          </cell>
        </row>
        <row r="31">
          <cell r="A31">
            <v>14</v>
          </cell>
          <cell r="B31">
            <v>41334</v>
          </cell>
          <cell r="C31">
            <v>2703410.7993281772</v>
          </cell>
          <cell r="D31">
            <v>64685.392510256519</v>
          </cell>
          <cell r="E31">
            <v>0</v>
          </cell>
          <cell r="F31">
            <v>64685.392510256519</v>
          </cell>
          <cell r="G31">
            <v>51168.338513615636</v>
          </cell>
          <cell r="H31">
            <v>13517.053996640885</v>
          </cell>
          <cell r="I31">
            <v>2652242.4608145617</v>
          </cell>
          <cell r="J31">
            <v>211949.75595815331</v>
          </cell>
        </row>
        <row r="32">
          <cell r="A32">
            <v>15</v>
          </cell>
          <cell r="B32">
            <v>41365</v>
          </cell>
          <cell r="C32">
            <v>2652242.4608145617</v>
          </cell>
          <cell r="D32">
            <v>64685.392510256519</v>
          </cell>
          <cell r="E32">
            <v>0</v>
          </cell>
          <cell r="F32">
            <v>64685.392510256519</v>
          </cell>
          <cell r="G32">
            <v>51424.180206183708</v>
          </cell>
          <cell r="H32">
            <v>13261.212304072809</v>
          </cell>
          <cell r="I32">
            <v>2600818.2806083779</v>
          </cell>
          <cell r="J32">
            <v>225210.96826222612</v>
          </cell>
        </row>
        <row r="33">
          <cell r="A33">
            <v>16</v>
          </cell>
          <cell r="B33">
            <v>41395</v>
          </cell>
          <cell r="C33">
            <v>2600818.2806083779</v>
          </cell>
          <cell r="D33">
            <v>64685.392510256519</v>
          </cell>
          <cell r="E33">
            <v>0</v>
          </cell>
          <cell r="F33">
            <v>64685.392510256519</v>
          </cell>
          <cell r="G33">
            <v>51681.301107214633</v>
          </cell>
          <cell r="H33">
            <v>13004.091403041888</v>
          </cell>
          <cell r="I33">
            <v>2549136.9795011631</v>
          </cell>
          <cell r="J33">
            <v>238215.059665268</v>
          </cell>
        </row>
        <row r="34">
          <cell r="A34">
            <v>17</v>
          </cell>
          <cell r="B34">
            <v>41426</v>
          </cell>
          <cell r="C34">
            <v>2549136.9795011631</v>
          </cell>
          <cell r="D34">
            <v>64685.392510256519</v>
          </cell>
          <cell r="E34">
            <v>0</v>
          </cell>
          <cell r="F34">
            <v>64685.392510256519</v>
          </cell>
          <cell r="G34">
            <v>51939.707612750703</v>
          </cell>
          <cell r="H34">
            <v>12745.684897505815</v>
          </cell>
          <cell r="I34">
            <v>2497197.2718884125</v>
          </cell>
          <cell r="J34">
            <v>250960.74456277382</v>
          </cell>
        </row>
        <row r="35">
          <cell r="A35">
            <v>18</v>
          </cell>
          <cell r="B35">
            <v>41456</v>
          </cell>
          <cell r="C35">
            <v>2497197.2718884125</v>
          </cell>
          <cell r="D35">
            <v>64685.392510256519</v>
          </cell>
          <cell r="E35">
            <v>0</v>
          </cell>
          <cell r="F35">
            <v>64685.392510256519</v>
          </cell>
          <cell r="G35">
            <v>52199.406150814459</v>
          </cell>
          <cell r="H35">
            <v>12485.986359442062</v>
          </cell>
          <cell r="I35">
            <v>2444997.8657375979</v>
          </cell>
          <cell r="J35">
            <v>263446.73092221591</v>
          </cell>
        </row>
        <row r="36">
          <cell r="A36">
            <v>19</v>
          </cell>
          <cell r="B36">
            <v>41487</v>
          </cell>
          <cell r="C36">
            <v>2444997.8657375979</v>
          </cell>
          <cell r="D36">
            <v>64685.392510256519</v>
          </cell>
          <cell r="E36">
            <v>0</v>
          </cell>
          <cell r="F36">
            <v>64685.392510256519</v>
          </cell>
          <cell r="G36">
            <v>52460.40318156853</v>
          </cell>
          <cell r="H36">
            <v>12224.989328687989</v>
          </cell>
          <cell r="I36">
            <v>2392537.4625560292</v>
          </cell>
          <cell r="J36">
            <v>275671.72025090392</v>
          </cell>
        </row>
        <row r="37">
          <cell r="A37">
            <v>20</v>
          </cell>
          <cell r="B37">
            <v>41518</v>
          </cell>
          <cell r="C37">
            <v>2392537.4625560292</v>
          </cell>
          <cell r="D37">
            <v>64685.392510256519</v>
          </cell>
          <cell r="E37">
            <v>0</v>
          </cell>
          <cell r="F37">
            <v>64685.392510256519</v>
          </cell>
          <cell r="G37">
            <v>52722.705197476374</v>
          </cell>
          <cell r="H37">
            <v>11962.687312780145</v>
          </cell>
          <cell r="I37">
            <v>2339814.7573585529</v>
          </cell>
          <cell r="J37">
            <v>287634.40756368404</v>
          </cell>
        </row>
        <row r="38">
          <cell r="A38">
            <v>21</v>
          </cell>
          <cell r="B38">
            <v>41548</v>
          </cell>
          <cell r="C38">
            <v>2339814.7573585529</v>
          </cell>
          <cell r="D38">
            <v>64685.392510256519</v>
          </cell>
          <cell r="E38">
            <v>0</v>
          </cell>
          <cell r="F38">
            <v>64685.392510256519</v>
          </cell>
          <cell r="G38">
            <v>52986.318723463752</v>
          </cell>
          <cell r="H38">
            <v>11699.073786792766</v>
          </cell>
          <cell r="I38">
            <v>2286828.438635089</v>
          </cell>
          <cell r="J38">
            <v>299333.4813504768</v>
          </cell>
        </row>
        <row r="39">
          <cell r="A39">
            <v>22</v>
          </cell>
          <cell r="B39">
            <v>41579</v>
          </cell>
          <cell r="C39">
            <v>2286828.438635089</v>
          </cell>
          <cell r="D39">
            <v>64685.392510256519</v>
          </cell>
          <cell r="E39">
            <v>0</v>
          </cell>
          <cell r="F39">
            <v>64685.392510256519</v>
          </cell>
          <cell r="G39">
            <v>53251.250317081074</v>
          </cell>
          <cell r="H39">
            <v>11434.142193175445</v>
          </cell>
          <cell r="I39">
            <v>2233577.1883180081</v>
          </cell>
          <cell r="J39">
            <v>310767.62354365224</v>
          </cell>
        </row>
        <row r="40">
          <cell r="A40">
            <v>23</v>
          </cell>
          <cell r="B40">
            <v>41609</v>
          </cell>
          <cell r="C40">
            <v>2233577.1883180081</v>
          </cell>
          <cell r="D40">
            <v>64685.392510256519</v>
          </cell>
          <cell r="E40">
            <v>0</v>
          </cell>
          <cell r="F40">
            <v>64685.392510256519</v>
          </cell>
          <cell r="G40">
            <v>53517.506568666482</v>
          </cell>
          <cell r="H40">
            <v>11167.885941590039</v>
          </cell>
          <cell r="I40">
            <v>2180059.6817493415</v>
          </cell>
          <cell r="J40">
            <v>321935.50948524231</v>
          </cell>
        </row>
        <row r="41">
          <cell r="A41">
            <v>24</v>
          </cell>
          <cell r="B41">
            <v>41640</v>
          </cell>
          <cell r="C41">
            <v>2180059.6817493415</v>
          </cell>
          <cell r="D41">
            <v>64685.392510256519</v>
          </cell>
          <cell r="E41">
            <v>0</v>
          </cell>
          <cell r="F41">
            <v>64685.392510256519</v>
          </cell>
          <cell r="G41">
            <v>53785.094101509814</v>
          </cell>
          <cell r="H41">
            <v>10900.298408746707</v>
          </cell>
          <cell r="I41">
            <v>2126274.5876478315</v>
          </cell>
          <cell r="J41">
            <v>332835.80789398903</v>
          </cell>
        </row>
        <row r="42">
          <cell r="A42">
            <v>25</v>
          </cell>
          <cell r="B42">
            <v>41671</v>
          </cell>
          <cell r="C42">
            <v>2126274.5876478315</v>
          </cell>
          <cell r="D42">
            <v>64685.392510256519</v>
          </cell>
          <cell r="E42">
            <v>0</v>
          </cell>
          <cell r="F42">
            <v>64685.392510256519</v>
          </cell>
          <cell r="G42">
            <v>54054.019572017365</v>
          </cell>
          <cell r="H42">
            <v>10631.372938239158</v>
          </cell>
          <cell r="I42">
            <v>2072220.5680758143</v>
          </cell>
          <cell r="J42">
            <v>343467.18083222816</v>
          </cell>
        </row>
        <row r="43">
          <cell r="A43">
            <v>26</v>
          </cell>
          <cell r="B43">
            <v>41699</v>
          </cell>
          <cell r="C43">
            <v>2072220.5680758143</v>
          </cell>
          <cell r="D43">
            <v>64685.392510256519</v>
          </cell>
          <cell r="E43">
            <v>0</v>
          </cell>
          <cell r="F43">
            <v>64685.392510256519</v>
          </cell>
          <cell r="G43">
            <v>54324.289669877449</v>
          </cell>
          <cell r="H43">
            <v>10361.102840379071</v>
          </cell>
          <cell r="I43">
            <v>2017896.2784059369</v>
          </cell>
          <cell r="J43">
            <v>353828.28367260721</v>
          </cell>
        </row>
        <row r="44">
          <cell r="A44">
            <v>27</v>
          </cell>
          <cell r="B44">
            <v>41730</v>
          </cell>
          <cell r="C44">
            <v>2017896.2784059369</v>
          </cell>
          <cell r="D44">
            <v>64685.392510256519</v>
          </cell>
          <cell r="E44">
            <v>0</v>
          </cell>
          <cell r="F44">
            <v>64685.392510256519</v>
          </cell>
          <cell r="G44">
            <v>54595.911118226839</v>
          </cell>
          <cell r="H44">
            <v>10089.481392029684</v>
          </cell>
          <cell r="I44">
            <v>1963300.3672877101</v>
          </cell>
          <cell r="J44">
            <v>363917.76506463689</v>
          </cell>
        </row>
        <row r="45">
          <cell r="A45">
            <v>28</v>
          </cell>
          <cell r="B45">
            <v>41760</v>
          </cell>
          <cell r="C45">
            <v>1963300.3672877101</v>
          </cell>
          <cell r="D45">
            <v>64685.392510256519</v>
          </cell>
          <cell r="E45">
            <v>0</v>
          </cell>
          <cell r="F45">
            <v>64685.392510256519</v>
          </cell>
          <cell r="G45">
            <v>54868.890673817965</v>
          </cell>
          <cell r="H45">
            <v>9816.5018364385505</v>
          </cell>
          <cell r="I45">
            <v>1908431.476613892</v>
          </cell>
          <cell r="J45">
            <v>373734.26690107543</v>
          </cell>
        </row>
        <row r="46">
          <cell r="A46">
            <v>29</v>
          </cell>
          <cell r="B46">
            <v>41791</v>
          </cell>
          <cell r="C46">
            <v>1908431.476613892</v>
          </cell>
          <cell r="D46">
            <v>64685.392510256519</v>
          </cell>
          <cell r="E46">
            <v>0</v>
          </cell>
          <cell r="F46">
            <v>64685.392510256519</v>
          </cell>
          <cell r="G46">
            <v>55143.235127187058</v>
          </cell>
          <cell r="H46">
            <v>9542.1573830694597</v>
          </cell>
          <cell r="I46">
            <v>1853288.2414867049</v>
          </cell>
          <cell r="J46">
            <v>383276.42428414489</v>
          </cell>
        </row>
        <row r="47">
          <cell r="A47">
            <v>30</v>
          </cell>
          <cell r="B47">
            <v>41821</v>
          </cell>
          <cell r="C47">
            <v>1853288.2414867049</v>
          </cell>
          <cell r="D47">
            <v>64685.392510256519</v>
          </cell>
          <cell r="E47">
            <v>0</v>
          </cell>
          <cell r="F47">
            <v>64685.392510256519</v>
          </cell>
          <cell r="G47">
            <v>55418.951302822992</v>
          </cell>
          <cell r="H47">
            <v>9266.4412074335251</v>
          </cell>
          <cell r="I47">
            <v>1797869.290183882</v>
          </cell>
          <cell r="J47">
            <v>392542.86549157841</v>
          </cell>
        </row>
        <row r="48">
          <cell r="A48">
            <v>31</v>
          </cell>
          <cell r="B48">
            <v>41852</v>
          </cell>
          <cell r="C48">
            <v>1797869.290183882</v>
          </cell>
          <cell r="D48">
            <v>64685.392510256519</v>
          </cell>
          <cell r="E48">
            <v>0</v>
          </cell>
          <cell r="F48">
            <v>64685.392510256519</v>
          </cell>
          <cell r="G48">
            <v>55696.04605933711</v>
          </cell>
          <cell r="H48">
            <v>8989.3464509194091</v>
          </cell>
          <cell r="I48">
            <v>1742173.2441245448</v>
          </cell>
          <cell r="J48">
            <v>401532.21194249782</v>
          </cell>
        </row>
        <row r="49">
          <cell r="A49">
            <v>32</v>
          </cell>
          <cell r="B49">
            <v>41883</v>
          </cell>
          <cell r="C49">
            <v>1742173.2441245448</v>
          </cell>
          <cell r="D49">
            <v>64685.392510256519</v>
          </cell>
          <cell r="E49">
            <v>0</v>
          </cell>
          <cell r="F49">
            <v>64685.392510256519</v>
          </cell>
          <cell r="G49">
            <v>55974.526289633795</v>
          </cell>
          <cell r="H49">
            <v>8710.8662206227236</v>
          </cell>
          <cell r="I49">
            <v>1686198.7178349111</v>
          </cell>
          <cell r="J49">
            <v>410243.07816312055</v>
          </cell>
        </row>
        <row r="50">
          <cell r="A50">
            <v>33</v>
          </cell>
          <cell r="B50">
            <v>41913</v>
          </cell>
          <cell r="C50">
            <v>1686198.7178349111</v>
          </cell>
          <cell r="D50">
            <v>64685.392510256519</v>
          </cell>
          <cell r="E50">
            <v>0</v>
          </cell>
          <cell r="F50">
            <v>64685.392510256519</v>
          </cell>
          <cell r="G50">
            <v>56254.398921081964</v>
          </cell>
          <cell r="H50">
            <v>8430.9935891745554</v>
          </cell>
          <cell r="I50">
            <v>1629944.318913829</v>
          </cell>
          <cell r="J50">
            <v>418674.07175229513</v>
          </cell>
        </row>
        <row r="51">
          <cell r="A51">
            <v>34</v>
          </cell>
          <cell r="B51">
            <v>41944</v>
          </cell>
          <cell r="C51">
            <v>1629944.318913829</v>
          </cell>
          <cell r="D51">
            <v>64685.392510256519</v>
          </cell>
          <cell r="E51">
            <v>0</v>
          </cell>
          <cell r="F51">
            <v>64685.392510256519</v>
          </cell>
          <cell r="G51">
            <v>56535.670915687377</v>
          </cell>
          <cell r="H51">
            <v>8149.7215945691451</v>
          </cell>
          <cell r="I51">
            <v>1573408.6479981416</v>
          </cell>
          <cell r="J51">
            <v>426823.79334686429</v>
          </cell>
        </row>
        <row r="52">
          <cell r="A52">
            <v>35</v>
          </cell>
          <cell r="B52">
            <v>41974</v>
          </cell>
          <cell r="C52">
            <v>1573408.6479981416</v>
          </cell>
          <cell r="D52">
            <v>64685.392510256519</v>
          </cell>
          <cell r="E52">
            <v>0</v>
          </cell>
          <cell r="F52">
            <v>64685.392510256519</v>
          </cell>
          <cell r="G52">
            <v>56818.349270265811</v>
          </cell>
          <cell r="H52">
            <v>7867.0432399907077</v>
          </cell>
          <cell r="I52">
            <v>1516590.2987278758</v>
          </cell>
          <cell r="J52">
            <v>434690.836586855</v>
          </cell>
        </row>
        <row r="53">
          <cell r="A53">
            <v>36</v>
          </cell>
          <cell r="B53">
            <v>42005</v>
          </cell>
          <cell r="C53">
            <v>1516590.2987278758</v>
          </cell>
          <cell r="D53">
            <v>64685.392510256519</v>
          </cell>
          <cell r="E53">
            <v>0</v>
          </cell>
          <cell r="F53">
            <v>64685.392510256519</v>
          </cell>
          <cell r="G53">
            <v>57102.441016617144</v>
          </cell>
          <cell r="H53">
            <v>7582.9514936393789</v>
          </cell>
          <cell r="I53">
            <v>1459487.8577112586</v>
          </cell>
          <cell r="J53">
            <v>442273.78808049439</v>
          </cell>
        </row>
        <row r="54">
          <cell r="A54">
            <v>37</v>
          </cell>
          <cell r="B54">
            <v>42036</v>
          </cell>
          <cell r="C54">
            <v>1459487.8577112586</v>
          </cell>
          <cell r="D54">
            <v>64685.392510256519</v>
          </cell>
          <cell r="E54">
            <v>0</v>
          </cell>
          <cell r="F54">
            <v>64685.392510256519</v>
          </cell>
          <cell r="G54">
            <v>57387.953221700227</v>
          </cell>
          <cell r="H54">
            <v>7297.439288556292</v>
          </cell>
          <cell r="I54">
            <v>1402099.9044895584</v>
          </cell>
          <cell r="J54">
            <v>449571.22736905067</v>
          </cell>
        </row>
        <row r="55">
          <cell r="A55">
            <v>38</v>
          </cell>
          <cell r="B55">
            <v>42064</v>
          </cell>
          <cell r="C55">
            <v>1402099.9044895584</v>
          </cell>
          <cell r="D55">
            <v>64685.392510256519</v>
          </cell>
          <cell r="E55">
            <v>0</v>
          </cell>
          <cell r="F55">
            <v>64685.392510256519</v>
          </cell>
          <cell r="G55">
            <v>57674.892987808729</v>
          </cell>
          <cell r="H55">
            <v>7010.4995224477925</v>
          </cell>
          <cell r="I55">
            <v>1344425.0115017497</v>
          </cell>
          <cell r="J55">
            <v>456581.72689149849</v>
          </cell>
        </row>
        <row r="56">
          <cell r="A56">
            <v>39</v>
          </cell>
          <cell r="B56">
            <v>42095</v>
          </cell>
          <cell r="C56">
            <v>1344425.0115017497</v>
          </cell>
          <cell r="D56">
            <v>64685.392510256519</v>
          </cell>
          <cell r="E56">
            <v>0</v>
          </cell>
          <cell r="F56">
            <v>64685.392510256519</v>
          </cell>
          <cell r="G56">
            <v>57963.267452747772</v>
          </cell>
          <cell r="H56">
            <v>6722.1250575087479</v>
          </cell>
          <cell r="I56">
            <v>1286461.744049002</v>
          </cell>
          <cell r="J56">
            <v>463303.85194900725</v>
          </cell>
        </row>
        <row r="57">
          <cell r="A57">
            <v>40</v>
          </cell>
          <cell r="B57">
            <v>42125</v>
          </cell>
          <cell r="C57">
            <v>1286461.744049002</v>
          </cell>
          <cell r="D57">
            <v>64685.392510256519</v>
          </cell>
          <cell r="E57">
            <v>0</v>
          </cell>
          <cell r="F57">
            <v>64685.392510256519</v>
          </cell>
          <cell r="G57">
            <v>58253.083790011508</v>
          </cell>
          <cell r="H57">
            <v>6432.3087202450088</v>
          </cell>
          <cell r="I57">
            <v>1228208.6602589905</v>
          </cell>
          <cell r="J57">
            <v>469736.16066925228</v>
          </cell>
        </row>
        <row r="58">
          <cell r="A58">
            <v>41</v>
          </cell>
          <cell r="B58">
            <v>42156</v>
          </cell>
          <cell r="C58">
            <v>1228208.6602589905</v>
          </cell>
          <cell r="D58">
            <v>64685.392510256519</v>
          </cell>
          <cell r="E58">
            <v>0</v>
          </cell>
          <cell r="F58">
            <v>64685.392510256519</v>
          </cell>
          <cell r="G58">
            <v>58544.349208961568</v>
          </cell>
          <cell r="H58">
            <v>6141.0433012949516</v>
          </cell>
          <cell r="I58">
            <v>1169664.311050029</v>
          </cell>
          <cell r="J58">
            <v>475877.20397054724</v>
          </cell>
        </row>
        <row r="59">
          <cell r="A59">
            <v>42</v>
          </cell>
          <cell r="B59">
            <v>42186</v>
          </cell>
          <cell r="C59">
            <v>1169664.311050029</v>
          </cell>
          <cell r="D59">
            <v>64685.392510256519</v>
          </cell>
          <cell r="E59">
            <v>0</v>
          </cell>
          <cell r="F59">
            <v>64685.392510256519</v>
          </cell>
          <cell r="G59">
            <v>58837.070955006377</v>
          </cell>
          <cell r="H59">
            <v>5848.3215552501451</v>
          </cell>
          <cell r="I59">
            <v>1110827.2400950226</v>
          </cell>
          <cell r="J59">
            <v>481725.52552579739</v>
          </cell>
        </row>
        <row r="60">
          <cell r="A60">
            <v>43</v>
          </cell>
          <cell r="B60">
            <v>42217</v>
          </cell>
          <cell r="C60">
            <v>1110827.2400950226</v>
          </cell>
          <cell r="D60">
            <v>64685.392510256519</v>
          </cell>
          <cell r="E60">
            <v>0</v>
          </cell>
          <cell r="F60">
            <v>64685.392510256519</v>
          </cell>
          <cell r="G60">
            <v>59131.256309781405</v>
          </cell>
          <cell r="H60">
            <v>5554.1362004751127</v>
          </cell>
          <cell r="I60">
            <v>1051695.9837852411</v>
          </cell>
          <cell r="J60">
            <v>487279.66172627249</v>
          </cell>
        </row>
        <row r="61">
          <cell r="A61">
            <v>44</v>
          </cell>
          <cell r="B61">
            <v>42248</v>
          </cell>
          <cell r="C61">
            <v>1051695.9837852411</v>
          </cell>
          <cell r="D61">
            <v>64685.392510256519</v>
          </cell>
          <cell r="E61">
            <v>0</v>
          </cell>
          <cell r="F61">
            <v>64685.392510256519</v>
          </cell>
          <cell r="G61">
            <v>59426.912591330314</v>
          </cell>
          <cell r="H61">
            <v>5258.4799189262058</v>
          </cell>
          <cell r="I61">
            <v>992269.07119391079</v>
          </cell>
          <cell r="J61">
            <v>492538.14164519869</v>
          </cell>
        </row>
        <row r="62">
          <cell r="A62">
            <v>45</v>
          </cell>
          <cell r="B62">
            <v>42278</v>
          </cell>
          <cell r="C62">
            <v>992269.07119391079</v>
          </cell>
          <cell r="D62">
            <v>64685.392510256519</v>
          </cell>
          <cell r="E62">
            <v>0</v>
          </cell>
          <cell r="F62">
            <v>64685.392510256519</v>
          </cell>
          <cell r="G62">
            <v>59724.047154286964</v>
          </cell>
          <cell r="H62">
            <v>4961.3453559695536</v>
          </cell>
          <cell r="I62">
            <v>932545.02403962379</v>
          </cell>
          <cell r="J62">
            <v>497499.48700116825</v>
          </cell>
        </row>
        <row r="63">
          <cell r="A63">
            <v>46</v>
          </cell>
          <cell r="B63">
            <v>42309</v>
          </cell>
          <cell r="C63">
            <v>932545.02403962379</v>
          </cell>
          <cell r="D63">
            <v>64685.392510256519</v>
          </cell>
          <cell r="E63">
            <v>0</v>
          </cell>
          <cell r="F63">
            <v>64685.392510256519</v>
          </cell>
          <cell r="G63">
            <v>60022.667390058399</v>
          </cell>
          <cell r="H63">
            <v>4662.7251201981189</v>
          </cell>
          <cell r="I63">
            <v>872522.35664956539</v>
          </cell>
          <cell r="J63">
            <v>502162.21212136635</v>
          </cell>
        </row>
        <row r="64">
          <cell r="A64">
            <v>47</v>
          </cell>
          <cell r="B64">
            <v>42339</v>
          </cell>
          <cell r="C64">
            <v>872522.35664956539</v>
          </cell>
          <cell r="D64">
            <v>64685.392510256519</v>
          </cell>
          <cell r="E64">
            <v>0</v>
          </cell>
          <cell r="F64">
            <v>64685.392510256519</v>
          </cell>
          <cell r="G64">
            <v>60322.780727008692</v>
          </cell>
          <cell r="H64">
            <v>4362.6117832478267</v>
          </cell>
          <cell r="I64">
            <v>812199.57592255669</v>
          </cell>
          <cell r="J64">
            <v>506524.8239046142</v>
          </cell>
        </row>
        <row r="65">
          <cell r="A65">
            <v>48</v>
          </cell>
          <cell r="B65">
            <v>42370</v>
          </cell>
          <cell r="C65">
            <v>812199.57592255669</v>
          </cell>
          <cell r="D65">
            <v>64685.392510256519</v>
          </cell>
          <cell r="E65">
            <v>0</v>
          </cell>
          <cell r="F65">
            <v>64685.392510256519</v>
          </cell>
          <cell r="G65">
            <v>60624.394630643736</v>
          </cell>
          <cell r="H65">
            <v>4060.9978796127834</v>
          </cell>
          <cell r="I65">
            <v>751575.18129191292</v>
          </cell>
          <cell r="J65">
            <v>510585.82178422698</v>
          </cell>
        </row>
        <row r="66">
          <cell r="A66">
            <v>49</v>
          </cell>
          <cell r="B66">
            <v>42401</v>
          </cell>
          <cell r="C66">
            <v>751575.18129191292</v>
          </cell>
          <cell r="D66">
            <v>64685.392510256519</v>
          </cell>
          <cell r="E66">
            <v>0</v>
          </cell>
          <cell r="F66">
            <v>64685.392510256519</v>
          </cell>
          <cell r="G66">
            <v>60927.516603796954</v>
          </cell>
          <cell r="H66">
            <v>3757.8759064595647</v>
          </cell>
          <cell r="I66">
            <v>690647.66468811594</v>
          </cell>
          <cell r="J66">
            <v>514343.69769068656</v>
          </cell>
        </row>
        <row r="67">
          <cell r="A67">
            <v>50</v>
          </cell>
          <cell r="B67">
            <v>42430</v>
          </cell>
          <cell r="C67">
            <v>690647.66468811594</v>
          </cell>
          <cell r="D67">
            <v>64685.392510256519</v>
          </cell>
          <cell r="E67">
            <v>0</v>
          </cell>
          <cell r="F67">
            <v>64685.392510256519</v>
          </cell>
          <cell r="G67">
            <v>61232.15418681594</v>
          </cell>
          <cell r="H67">
            <v>3453.2383234405793</v>
          </cell>
          <cell r="I67">
            <v>629415.51050129998</v>
          </cell>
          <cell r="J67">
            <v>517796.93601412716</v>
          </cell>
        </row>
        <row r="68">
          <cell r="A68">
            <v>51</v>
          </cell>
          <cell r="B68">
            <v>42461</v>
          </cell>
          <cell r="C68">
            <v>629415.51050129998</v>
          </cell>
          <cell r="D68">
            <v>64685.392510256519</v>
          </cell>
          <cell r="E68">
            <v>0</v>
          </cell>
          <cell r="F68">
            <v>64685.392510256519</v>
          </cell>
          <cell r="G68">
            <v>61538.314957750015</v>
          </cell>
          <cell r="H68">
            <v>3147.0775525065001</v>
          </cell>
          <cell r="I68">
            <v>567877.19554354995</v>
          </cell>
          <cell r="J68">
            <v>520944.01356663369</v>
          </cell>
        </row>
        <row r="69">
          <cell r="A69">
            <v>52</v>
          </cell>
          <cell r="B69">
            <v>42491</v>
          </cell>
          <cell r="C69">
            <v>567877.19554354995</v>
          </cell>
          <cell r="D69">
            <v>64685.392510256519</v>
          </cell>
          <cell r="E69">
            <v>0</v>
          </cell>
          <cell r="F69">
            <v>64685.392510256519</v>
          </cell>
          <cell r="G69">
            <v>61846.00653253877</v>
          </cell>
          <cell r="H69">
            <v>2839.3859777177495</v>
          </cell>
          <cell r="I69">
            <v>506031.18901101116</v>
          </cell>
          <cell r="J69">
            <v>523783.39954435144</v>
          </cell>
        </row>
        <row r="70">
          <cell r="A70">
            <v>53</v>
          </cell>
          <cell r="B70">
            <v>42522</v>
          </cell>
          <cell r="C70">
            <v>506031.18901101116</v>
          </cell>
          <cell r="D70">
            <v>64685.392510256519</v>
          </cell>
          <cell r="E70">
            <v>0</v>
          </cell>
          <cell r="F70">
            <v>64685.392510256519</v>
          </cell>
          <cell r="G70">
            <v>62155.236565201463</v>
          </cell>
          <cell r="H70">
            <v>2530.1559450550558</v>
          </cell>
          <cell r="I70">
            <v>443875.95244580967</v>
          </cell>
          <cell r="J70">
            <v>526313.55548940646</v>
          </cell>
        </row>
        <row r="71">
          <cell r="A71">
            <v>54</v>
          </cell>
          <cell r="B71">
            <v>42552</v>
          </cell>
          <cell r="C71">
            <v>443875.95244580967</v>
          </cell>
          <cell r="D71">
            <v>64685.392510256519</v>
          </cell>
          <cell r="E71">
            <v>0</v>
          </cell>
          <cell r="F71">
            <v>64685.392510256519</v>
          </cell>
          <cell r="G71">
            <v>62466.012748027468</v>
          </cell>
          <cell r="H71">
            <v>2219.3797622290481</v>
          </cell>
          <cell r="I71">
            <v>381409.93969778222</v>
          </cell>
          <cell r="J71">
            <v>528532.9352516355</v>
          </cell>
        </row>
        <row r="72">
          <cell r="A72">
            <v>55</v>
          </cell>
          <cell r="B72">
            <v>42583</v>
          </cell>
          <cell r="C72">
            <v>381409.93969778222</v>
          </cell>
          <cell r="D72">
            <v>64685.392510256519</v>
          </cell>
          <cell r="E72">
            <v>0</v>
          </cell>
          <cell r="F72">
            <v>64685.392510256519</v>
          </cell>
          <cell r="G72">
            <v>62778.342811767609</v>
          </cell>
          <cell r="H72">
            <v>1907.0496984889112</v>
          </cell>
          <cell r="I72">
            <v>318631.59688601462</v>
          </cell>
          <cell r="J72">
            <v>530439.9849501244</v>
          </cell>
        </row>
        <row r="73">
          <cell r="A73">
            <v>56</v>
          </cell>
          <cell r="B73">
            <v>42614</v>
          </cell>
          <cell r="C73">
            <v>318631.59688601462</v>
          </cell>
          <cell r="D73">
            <v>64685.392510256519</v>
          </cell>
          <cell r="E73">
            <v>0</v>
          </cell>
          <cell r="F73">
            <v>64685.392510256519</v>
          </cell>
          <cell r="G73">
            <v>63092.234525826447</v>
          </cell>
          <cell r="H73">
            <v>1593.1579844300732</v>
          </cell>
          <cell r="I73">
            <v>255539.36236018818</v>
          </cell>
          <cell r="J73">
            <v>532033.14293455449</v>
          </cell>
        </row>
        <row r="74">
          <cell r="A74">
            <v>57</v>
          </cell>
          <cell r="B74">
            <v>42644</v>
          </cell>
          <cell r="C74">
            <v>255539.36236018818</v>
          </cell>
          <cell r="D74">
            <v>64685.392510256519</v>
          </cell>
          <cell r="E74">
            <v>0</v>
          </cell>
          <cell r="F74">
            <v>64685.392510256519</v>
          </cell>
          <cell r="G74">
            <v>63407.69569845558</v>
          </cell>
          <cell r="H74">
            <v>1277.6968118009408</v>
          </cell>
          <cell r="I74">
            <v>192131.6666617326</v>
          </cell>
          <cell r="J74">
            <v>533310.83974635543</v>
          </cell>
        </row>
        <row r="75">
          <cell r="A75">
            <v>58</v>
          </cell>
          <cell r="B75">
            <v>42675</v>
          </cell>
          <cell r="C75">
            <v>192131.6666617326</v>
          </cell>
          <cell r="D75">
            <v>64685.392510256519</v>
          </cell>
          <cell r="E75">
            <v>0</v>
          </cell>
          <cell r="F75">
            <v>64685.392510256519</v>
          </cell>
          <cell r="G75">
            <v>63724.734176947859</v>
          </cell>
          <cell r="H75">
            <v>960.65833330866292</v>
          </cell>
          <cell r="I75">
            <v>128406.93248478475</v>
          </cell>
          <cell r="J75">
            <v>534271.49807966407</v>
          </cell>
        </row>
        <row r="76">
          <cell r="A76">
            <v>59</v>
          </cell>
          <cell r="B76">
            <v>42705</v>
          </cell>
          <cell r="C76">
            <v>128406.93248478475</v>
          </cell>
          <cell r="D76">
            <v>64685.392510256519</v>
          </cell>
          <cell r="E76">
            <v>0</v>
          </cell>
          <cell r="F76">
            <v>64685.392510256519</v>
          </cell>
          <cell r="G76">
            <v>64043.357847832594</v>
          </cell>
          <cell r="H76">
            <v>642.03466242392369</v>
          </cell>
          <cell r="I76">
            <v>64363.574636952151</v>
          </cell>
          <cell r="J76">
            <v>534913.53274208796</v>
          </cell>
        </row>
        <row r="77">
          <cell r="A77">
            <v>60</v>
          </cell>
          <cell r="B77">
            <v>42736</v>
          </cell>
          <cell r="C77">
            <v>64363.574636952151</v>
          </cell>
          <cell r="D77">
            <v>64685.392510256519</v>
          </cell>
          <cell r="E77">
            <v>0</v>
          </cell>
          <cell r="F77">
            <v>64363.574636952151</v>
          </cell>
          <cell r="G77">
            <v>64041.756763767393</v>
          </cell>
          <cell r="H77">
            <v>321.81787318476074</v>
          </cell>
          <cell r="I77">
            <v>0</v>
          </cell>
          <cell r="J77">
            <v>535235.35061527276</v>
          </cell>
        </row>
        <row r="78">
          <cell r="A78">
            <v>61</v>
          </cell>
          <cell r="B78">
            <v>42767</v>
          </cell>
          <cell r="C78">
            <v>0</v>
          </cell>
          <cell r="D78">
            <v>64685.392510256519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535235.35061527276</v>
          </cell>
        </row>
        <row r="79">
          <cell r="A79">
            <v>62</v>
          </cell>
          <cell r="B79">
            <v>42795</v>
          </cell>
          <cell r="C79">
            <v>0</v>
          </cell>
          <cell r="D79">
            <v>64685.392510256519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535235.35061527276</v>
          </cell>
        </row>
        <row r="80">
          <cell r="A80">
            <v>63</v>
          </cell>
          <cell r="B80">
            <v>42826</v>
          </cell>
          <cell r="C80">
            <v>0</v>
          </cell>
          <cell r="D80">
            <v>64685.392510256519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535235.35061527276</v>
          </cell>
        </row>
        <row r="81">
          <cell r="A81">
            <v>64</v>
          </cell>
          <cell r="B81">
            <v>42856</v>
          </cell>
          <cell r="C81">
            <v>0</v>
          </cell>
          <cell r="D81">
            <v>64685.392510256519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535235.35061527276</v>
          </cell>
        </row>
        <row r="82">
          <cell r="A82">
            <v>65</v>
          </cell>
          <cell r="B82">
            <v>42887</v>
          </cell>
          <cell r="C82">
            <v>0</v>
          </cell>
          <cell r="D82">
            <v>64685.392510256519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535235.35061527276</v>
          </cell>
        </row>
        <row r="83">
          <cell r="A83">
            <v>66</v>
          </cell>
          <cell r="B83">
            <v>42917</v>
          </cell>
          <cell r="C83">
            <v>0</v>
          </cell>
          <cell r="D83">
            <v>64685.392510256519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535235.35061527276</v>
          </cell>
        </row>
        <row r="84">
          <cell r="A84">
            <v>67</v>
          </cell>
          <cell r="B84">
            <v>42948</v>
          </cell>
          <cell r="C84">
            <v>0</v>
          </cell>
          <cell r="D84">
            <v>64685.392510256519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535235.35061527276</v>
          </cell>
        </row>
        <row r="85">
          <cell r="A85">
            <v>68</v>
          </cell>
          <cell r="B85">
            <v>42979</v>
          </cell>
          <cell r="C85">
            <v>0</v>
          </cell>
          <cell r="D85">
            <v>64685.392510256519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535235.35061527276</v>
          </cell>
        </row>
        <row r="86">
          <cell r="A86">
            <v>69</v>
          </cell>
          <cell r="B86">
            <v>43009</v>
          </cell>
          <cell r="C86">
            <v>0</v>
          </cell>
          <cell r="D86">
            <v>64685.392510256519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535235.35061527276</v>
          </cell>
        </row>
        <row r="87">
          <cell r="A87">
            <v>70</v>
          </cell>
          <cell r="B87">
            <v>43040</v>
          </cell>
          <cell r="C87">
            <v>0</v>
          </cell>
          <cell r="D87">
            <v>64685.392510256519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535235.35061527276</v>
          </cell>
        </row>
        <row r="88">
          <cell r="A88">
            <v>71</v>
          </cell>
          <cell r="B88">
            <v>43070</v>
          </cell>
          <cell r="C88">
            <v>0</v>
          </cell>
          <cell r="D88">
            <v>64685.392510256519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535235.35061527276</v>
          </cell>
        </row>
        <row r="89">
          <cell r="A89">
            <v>72</v>
          </cell>
          <cell r="B89">
            <v>43101</v>
          </cell>
          <cell r="C89">
            <v>0</v>
          </cell>
          <cell r="D89">
            <v>64685.392510256519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535235.35061527276</v>
          </cell>
        </row>
        <row r="90">
          <cell r="A90">
            <v>73</v>
          </cell>
          <cell r="B90">
            <v>43132</v>
          </cell>
          <cell r="C90">
            <v>0</v>
          </cell>
          <cell r="D90">
            <v>64685.392510256519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535235.35061527276</v>
          </cell>
        </row>
        <row r="91">
          <cell r="A91">
            <v>74</v>
          </cell>
          <cell r="B91">
            <v>43160</v>
          </cell>
          <cell r="C91">
            <v>0</v>
          </cell>
          <cell r="D91">
            <v>64685.392510256519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535235.35061527276</v>
          </cell>
        </row>
        <row r="92">
          <cell r="A92">
            <v>75</v>
          </cell>
          <cell r="B92">
            <v>43191</v>
          </cell>
          <cell r="C92">
            <v>0</v>
          </cell>
          <cell r="D92">
            <v>64685.392510256519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535235.35061527276</v>
          </cell>
        </row>
        <row r="93">
          <cell r="A93">
            <v>76</v>
          </cell>
          <cell r="B93">
            <v>43221</v>
          </cell>
          <cell r="C93">
            <v>0</v>
          </cell>
          <cell r="D93">
            <v>64685.392510256519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535235.35061527276</v>
          </cell>
        </row>
        <row r="94">
          <cell r="A94">
            <v>77</v>
          </cell>
          <cell r="B94">
            <v>43252</v>
          </cell>
          <cell r="C94">
            <v>0</v>
          </cell>
          <cell r="D94">
            <v>64685.392510256519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535235.35061527276</v>
          </cell>
        </row>
        <row r="95">
          <cell r="A95">
            <v>78</v>
          </cell>
          <cell r="B95">
            <v>43282</v>
          </cell>
          <cell r="C95">
            <v>0</v>
          </cell>
          <cell r="D95">
            <v>64685.392510256519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535235.35061527276</v>
          </cell>
        </row>
        <row r="96">
          <cell r="A96">
            <v>79</v>
          </cell>
          <cell r="B96">
            <v>43313</v>
          </cell>
          <cell r="C96">
            <v>0</v>
          </cell>
          <cell r="D96">
            <v>64685.392510256519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535235.35061527276</v>
          </cell>
        </row>
        <row r="97">
          <cell r="A97">
            <v>80</v>
          </cell>
          <cell r="B97">
            <v>43344</v>
          </cell>
          <cell r="C97">
            <v>0</v>
          </cell>
          <cell r="D97">
            <v>64685.392510256519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535235.35061527276</v>
          </cell>
        </row>
        <row r="98">
          <cell r="A98">
            <v>81</v>
          </cell>
          <cell r="B98">
            <v>43374</v>
          </cell>
          <cell r="C98">
            <v>0</v>
          </cell>
          <cell r="D98">
            <v>64685.392510256519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535235.35061527276</v>
          </cell>
        </row>
        <row r="99">
          <cell r="A99">
            <v>82</v>
          </cell>
          <cell r="B99">
            <v>43405</v>
          </cell>
          <cell r="C99">
            <v>0</v>
          </cell>
          <cell r="D99">
            <v>64685.392510256519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535235.35061527276</v>
          </cell>
        </row>
        <row r="100">
          <cell r="A100">
            <v>83</v>
          </cell>
          <cell r="B100">
            <v>43435</v>
          </cell>
          <cell r="C100">
            <v>0</v>
          </cell>
          <cell r="D100">
            <v>64685.392510256519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535235.35061527276</v>
          </cell>
        </row>
        <row r="101">
          <cell r="A101">
            <v>84</v>
          </cell>
          <cell r="B101">
            <v>43466</v>
          </cell>
          <cell r="C101">
            <v>0</v>
          </cell>
          <cell r="D101">
            <v>64685.392510256519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535235.35061527276</v>
          </cell>
        </row>
        <row r="102">
          <cell r="A102">
            <v>85</v>
          </cell>
          <cell r="B102">
            <v>43497</v>
          </cell>
          <cell r="C102">
            <v>0</v>
          </cell>
          <cell r="D102">
            <v>64685.392510256519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535235.35061527276</v>
          </cell>
        </row>
        <row r="103">
          <cell r="A103">
            <v>86</v>
          </cell>
          <cell r="B103">
            <v>43525</v>
          </cell>
          <cell r="C103">
            <v>0</v>
          </cell>
          <cell r="D103">
            <v>64685.392510256519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535235.35061527276</v>
          </cell>
        </row>
        <row r="104">
          <cell r="A104">
            <v>87</v>
          </cell>
          <cell r="B104">
            <v>43556</v>
          </cell>
          <cell r="C104">
            <v>0</v>
          </cell>
          <cell r="D104">
            <v>64685.392510256519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535235.35061527276</v>
          </cell>
        </row>
        <row r="105">
          <cell r="A105">
            <v>88</v>
          </cell>
          <cell r="B105">
            <v>43586</v>
          </cell>
          <cell r="C105">
            <v>0</v>
          </cell>
          <cell r="D105">
            <v>64685.392510256519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535235.35061527276</v>
          </cell>
        </row>
        <row r="106">
          <cell r="A106">
            <v>89</v>
          </cell>
          <cell r="B106">
            <v>43617</v>
          </cell>
          <cell r="C106">
            <v>0</v>
          </cell>
          <cell r="D106">
            <v>64685.392510256519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535235.35061527276</v>
          </cell>
        </row>
        <row r="107">
          <cell r="A107">
            <v>90</v>
          </cell>
          <cell r="B107">
            <v>43647</v>
          </cell>
          <cell r="C107">
            <v>0</v>
          </cell>
          <cell r="D107">
            <v>64685.392510256519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535235.35061527276</v>
          </cell>
        </row>
        <row r="108">
          <cell r="A108">
            <v>91</v>
          </cell>
          <cell r="B108">
            <v>43678</v>
          </cell>
          <cell r="C108">
            <v>0</v>
          </cell>
          <cell r="D108">
            <v>64685.392510256519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535235.35061527276</v>
          </cell>
        </row>
        <row r="109">
          <cell r="A109">
            <v>92</v>
          </cell>
          <cell r="B109">
            <v>43709</v>
          </cell>
          <cell r="C109">
            <v>0</v>
          </cell>
          <cell r="D109">
            <v>64685.392510256519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535235.35061527276</v>
          </cell>
        </row>
        <row r="110">
          <cell r="A110">
            <v>93</v>
          </cell>
          <cell r="B110">
            <v>43739</v>
          </cell>
          <cell r="C110">
            <v>0</v>
          </cell>
          <cell r="D110">
            <v>64685.392510256519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535235.35061527276</v>
          </cell>
        </row>
        <row r="111">
          <cell r="A111">
            <v>94</v>
          </cell>
          <cell r="B111">
            <v>43770</v>
          </cell>
          <cell r="C111">
            <v>0</v>
          </cell>
          <cell r="D111">
            <v>64685.392510256519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535235.35061527276</v>
          </cell>
        </row>
        <row r="112">
          <cell r="A112">
            <v>95</v>
          </cell>
          <cell r="B112">
            <v>43800</v>
          </cell>
          <cell r="C112">
            <v>0</v>
          </cell>
          <cell r="D112">
            <v>64685.392510256519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535235.35061527276</v>
          </cell>
        </row>
        <row r="113">
          <cell r="A113">
            <v>96</v>
          </cell>
          <cell r="B113">
            <v>43831</v>
          </cell>
          <cell r="C113">
            <v>0</v>
          </cell>
          <cell r="D113">
            <v>64685.392510256519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535235.35061527276</v>
          </cell>
        </row>
        <row r="114">
          <cell r="A114">
            <v>97</v>
          </cell>
          <cell r="B114">
            <v>43862</v>
          </cell>
          <cell r="C114">
            <v>0</v>
          </cell>
          <cell r="D114">
            <v>64685.392510256519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535235.35061527276</v>
          </cell>
        </row>
        <row r="115">
          <cell r="A115">
            <v>98</v>
          </cell>
          <cell r="B115">
            <v>43891</v>
          </cell>
          <cell r="C115">
            <v>0</v>
          </cell>
          <cell r="D115">
            <v>64685.392510256519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535235.35061527276</v>
          </cell>
        </row>
        <row r="116">
          <cell r="A116">
            <v>99</v>
          </cell>
          <cell r="B116">
            <v>43922</v>
          </cell>
          <cell r="C116">
            <v>0</v>
          </cell>
          <cell r="D116">
            <v>64685.392510256519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535235.35061527276</v>
          </cell>
        </row>
        <row r="117">
          <cell r="A117">
            <v>100</v>
          </cell>
          <cell r="B117">
            <v>43952</v>
          </cell>
          <cell r="C117">
            <v>0</v>
          </cell>
          <cell r="D117">
            <v>64685.392510256519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535235.35061527276</v>
          </cell>
        </row>
        <row r="118">
          <cell r="A118">
            <v>101</v>
          </cell>
          <cell r="B118">
            <v>43983</v>
          </cell>
          <cell r="C118">
            <v>0</v>
          </cell>
          <cell r="D118">
            <v>64685.392510256519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535235.35061527276</v>
          </cell>
        </row>
        <row r="119">
          <cell r="A119">
            <v>102</v>
          </cell>
          <cell r="B119">
            <v>44013</v>
          </cell>
          <cell r="C119">
            <v>0</v>
          </cell>
          <cell r="D119">
            <v>64685.392510256519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535235.35061527276</v>
          </cell>
        </row>
        <row r="120">
          <cell r="A120">
            <v>103</v>
          </cell>
          <cell r="B120">
            <v>44044</v>
          </cell>
          <cell r="C120">
            <v>0</v>
          </cell>
          <cell r="D120">
            <v>64685.392510256519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535235.35061527276</v>
          </cell>
        </row>
        <row r="121">
          <cell r="A121">
            <v>104</v>
          </cell>
          <cell r="B121">
            <v>44075</v>
          </cell>
          <cell r="C121">
            <v>0</v>
          </cell>
          <cell r="D121">
            <v>64685.392510256519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535235.35061527276</v>
          </cell>
        </row>
        <row r="122">
          <cell r="A122">
            <v>105</v>
          </cell>
          <cell r="B122">
            <v>44105</v>
          </cell>
          <cell r="C122">
            <v>0</v>
          </cell>
          <cell r="D122">
            <v>64685.392510256519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535235.35061527276</v>
          </cell>
        </row>
        <row r="123">
          <cell r="A123">
            <v>106</v>
          </cell>
          <cell r="B123">
            <v>44136</v>
          </cell>
          <cell r="C123">
            <v>0</v>
          </cell>
          <cell r="D123">
            <v>64685.392510256519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535235.35061527276</v>
          </cell>
        </row>
        <row r="124">
          <cell r="A124">
            <v>107</v>
          </cell>
          <cell r="B124">
            <v>44166</v>
          </cell>
          <cell r="C124">
            <v>0</v>
          </cell>
          <cell r="D124">
            <v>64685.392510256519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535235.35061527276</v>
          </cell>
        </row>
        <row r="125">
          <cell r="A125">
            <v>108</v>
          </cell>
          <cell r="B125">
            <v>44197</v>
          </cell>
          <cell r="C125">
            <v>0</v>
          </cell>
          <cell r="D125">
            <v>64685.392510256519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535235.35061527276</v>
          </cell>
        </row>
        <row r="126">
          <cell r="A126">
            <v>109</v>
          </cell>
          <cell r="B126">
            <v>44228</v>
          </cell>
          <cell r="C126">
            <v>0</v>
          </cell>
          <cell r="D126">
            <v>64685.392510256519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535235.35061527276</v>
          </cell>
        </row>
        <row r="127">
          <cell r="A127">
            <v>110</v>
          </cell>
          <cell r="B127">
            <v>44256</v>
          </cell>
          <cell r="C127">
            <v>0</v>
          </cell>
          <cell r="D127">
            <v>64685.392510256519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535235.35061527276</v>
          </cell>
        </row>
        <row r="128">
          <cell r="A128">
            <v>111</v>
          </cell>
          <cell r="B128">
            <v>44287</v>
          </cell>
          <cell r="C128">
            <v>0</v>
          </cell>
          <cell r="D128">
            <v>64685.392510256519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535235.35061527276</v>
          </cell>
        </row>
        <row r="129">
          <cell r="A129">
            <v>112</v>
          </cell>
          <cell r="B129">
            <v>44317</v>
          </cell>
          <cell r="C129">
            <v>0</v>
          </cell>
          <cell r="D129">
            <v>64685.392510256519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535235.35061527276</v>
          </cell>
        </row>
        <row r="130">
          <cell r="A130">
            <v>113</v>
          </cell>
          <cell r="B130">
            <v>44348</v>
          </cell>
          <cell r="C130">
            <v>0</v>
          </cell>
          <cell r="D130">
            <v>64685.392510256519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535235.35061527276</v>
          </cell>
        </row>
        <row r="131">
          <cell r="A131">
            <v>114</v>
          </cell>
          <cell r="B131">
            <v>44378</v>
          </cell>
          <cell r="C131">
            <v>0</v>
          </cell>
          <cell r="D131">
            <v>64685.392510256519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535235.35061527276</v>
          </cell>
        </row>
        <row r="132">
          <cell r="A132">
            <v>115</v>
          </cell>
          <cell r="B132">
            <v>44409</v>
          </cell>
          <cell r="C132">
            <v>0</v>
          </cell>
          <cell r="D132">
            <v>64685.392510256519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535235.35061527276</v>
          </cell>
        </row>
        <row r="133">
          <cell r="A133">
            <v>116</v>
          </cell>
          <cell r="B133">
            <v>44440</v>
          </cell>
          <cell r="C133">
            <v>0</v>
          </cell>
          <cell r="D133">
            <v>64685.392510256519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535235.35061527276</v>
          </cell>
        </row>
        <row r="134">
          <cell r="A134">
            <v>117</v>
          </cell>
          <cell r="B134">
            <v>44470</v>
          </cell>
          <cell r="C134">
            <v>0</v>
          </cell>
          <cell r="D134">
            <v>64685.392510256519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535235.35061527276</v>
          </cell>
        </row>
        <row r="135">
          <cell r="A135">
            <v>118</v>
          </cell>
          <cell r="B135">
            <v>44501</v>
          </cell>
          <cell r="C135">
            <v>0</v>
          </cell>
          <cell r="D135">
            <v>64685.392510256519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535235.35061527276</v>
          </cell>
        </row>
        <row r="136">
          <cell r="A136">
            <v>119</v>
          </cell>
          <cell r="B136">
            <v>44531</v>
          </cell>
          <cell r="C136">
            <v>0</v>
          </cell>
          <cell r="D136">
            <v>64685.392510256519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535235.35061527276</v>
          </cell>
        </row>
        <row r="137">
          <cell r="A137">
            <v>120</v>
          </cell>
          <cell r="B137">
            <v>44562</v>
          </cell>
          <cell r="C137">
            <v>0</v>
          </cell>
          <cell r="D137">
            <v>64685.392510256519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535235.35061527276</v>
          </cell>
        </row>
        <row r="138">
          <cell r="A138">
            <v>121</v>
          </cell>
          <cell r="B138">
            <v>44593</v>
          </cell>
          <cell r="C138">
            <v>0</v>
          </cell>
          <cell r="D138">
            <v>64685.392510256519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535235.35061527276</v>
          </cell>
        </row>
        <row r="139">
          <cell r="A139">
            <v>122</v>
          </cell>
          <cell r="B139">
            <v>44621</v>
          </cell>
          <cell r="C139">
            <v>0</v>
          </cell>
          <cell r="D139">
            <v>64685.392510256519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535235.35061527276</v>
          </cell>
        </row>
        <row r="140">
          <cell r="A140">
            <v>123</v>
          </cell>
          <cell r="B140">
            <v>44652</v>
          </cell>
          <cell r="C140">
            <v>0</v>
          </cell>
          <cell r="D140">
            <v>64685.392510256519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535235.35061527276</v>
          </cell>
        </row>
        <row r="141">
          <cell r="A141">
            <v>124</v>
          </cell>
          <cell r="B141">
            <v>44682</v>
          </cell>
          <cell r="C141">
            <v>0</v>
          </cell>
          <cell r="D141">
            <v>64685.392510256519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535235.35061527276</v>
          </cell>
        </row>
        <row r="142">
          <cell r="A142">
            <v>125</v>
          </cell>
          <cell r="B142">
            <v>44713</v>
          </cell>
          <cell r="C142">
            <v>0</v>
          </cell>
          <cell r="D142">
            <v>64685.392510256519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535235.35061527276</v>
          </cell>
        </row>
        <row r="143">
          <cell r="A143">
            <v>126</v>
          </cell>
          <cell r="B143">
            <v>44743</v>
          </cell>
          <cell r="C143">
            <v>0</v>
          </cell>
          <cell r="D143">
            <v>64685.392510256519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535235.35061527276</v>
          </cell>
        </row>
        <row r="144">
          <cell r="A144">
            <v>127</v>
          </cell>
          <cell r="B144">
            <v>44774</v>
          </cell>
          <cell r="C144">
            <v>0</v>
          </cell>
          <cell r="D144">
            <v>64685.392510256519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535235.35061527276</v>
          </cell>
        </row>
        <row r="145">
          <cell r="A145">
            <v>128</v>
          </cell>
          <cell r="B145">
            <v>44805</v>
          </cell>
          <cell r="C145">
            <v>0</v>
          </cell>
          <cell r="D145">
            <v>64685.392510256519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535235.35061527276</v>
          </cell>
        </row>
        <row r="146">
          <cell r="A146">
            <v>129</v>
          </cell>
          <cell r="B146">
            <v>44835</v>
          </cell>
          <cell r="C146">
            <v>0</v>
          </cell>
          <cell r="D146">
            <v>64685.392510256519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535235.35061527276</v>
          </cell>
        </row>
        <row r="147">
          <cell r="A147">
            <v>130</v>
          </cell>
          <cell r="B147">
            <v>44866</v>
          </cell>
          <cell r="C147">
            <v>0</v>
          </cell>
          <cell r="D147">
            <v>64685.392510256519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535235.35061527276</v>
          </cell>
        </row>
        <row r="148">
          <cell r="A148">
            <v>131</v>
          </cell>
          <cell r="B148">
            <v>44896</v>
          </cell>
          <cell r="C148">
            <v>0</v>
          </cell>
          <cell r="D148">
            <v>64685.392510256519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535235.35061527276</v>
          </cell>
        </row>
        <row r="149">
          <cell r="A149">
            <v>132</v>
          </cell>
          <cell r="B149">
            <v>44927</v>
          </cell>
          <cell r="C149">
            <v>0</v>
          </cell>
          <cell r="D149">
            <v>64685.392510256519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535235.35061527276</v>
          </cell>
        </row>
        <row r="150">
          <cell r="A150">
            <v>133</v>
          </cell>
          <cell r="B150">
            <v>44958</v>
          </cell>
          <cell r="C150">
            <v>0</v>
          </cell>
          <cell r="D150">
            <v>64685.392510256519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535235.35061527276</v>
          </cell>
        </row>
        <row r="151">
          <cell r="A151">
            <v>134</v>
          </cell>
          <cell r="B151">
            <v>44986</v>
          </cell>
          <cell r="C151">
            <v>0</v>
          </cell>
          <cell r="D151">
            <v>64685.392510256519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535235.35061527276</v>
          </cell>
        </row>
        <row r="152">
          <cell r="A152">
            <v>135</v>
          </cell>
          <cell r="B152">
            <v>45017</v>
          </cell>
          <cell r="C152">
            <v>0</v>
          </cell>
          <cell r="D152">
            <v>64685.392510256519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535235.35061527276</v>
          </cell>
        </row>
        <row r="153">
          <cell r="A153">
            <v>136</v>
          </cell>
          <cell r="B153">
            <v>45047</v>
          </cell>
          <cell r="C153">
            <v>0</v>
          </cell>
          <cell r="D153">
            <v>64685.392510256519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535235.35061527276</v>
          </cell>
        </row>
        <row r="154">
          <cell r="A154">
            <v>137</v>
          </cell>
          <cell r="B154">
            <v>45078</v>
          </cell>
          <cell r="C154">
            <v>0</v>
          </cell>
          <cell r="D154">
            <v>64685.392510256519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535235.35061527276</v>
          </cell>
        </row>
        <row r="155">
          <cell r="A155">
            <v>138</v>
          </cell>
          <cell r="B155">
            <v>45108</v>
          </cell>
          <cell r="C155">
            <v>0</v>
          </cell>
          <cell r="D155">
            <v>64685.392510256519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535235.35061527276</v>
          </cell>
        </row>
        <row r="156">
          <cell r="A156">
            <v>139</v>
          </cell>
          <cell r="B156">
            <v>45139</v>
          </cell>
          <cell r="C156">
            <v>0</v>
          </cell>
          <cell r="D156">
            <v>64685.392510256519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535235.35061527276</v>
          </cell>
        </row>
        <row r="157">
          <cell r="A157">
            <v>140</v>
          </cell>
          <cell r="B157">
            <v>45170</v>
          </cell>
          <cell r="C157">
            <v>0</v>
          </cell>
          <cell r="D157">
            <v>64685.392510256519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535235.35061527276</v>
          </cell>
        </row>
        <row r="158">
          <cell r="A158">
            <v>141</v>
          </cell>
          <cell r="B158">
            <v>45200</v>
          </cell>
          <cell r="C158">
            <v>0</v>
          </cell>
          <cell r="D158">
            <v>64685.392510256519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535235.35061527276</v>
          </cell>
        </row>
        <row r="159">
          <cell r="A159">
            <v>142</v>
          </cell>
          <cell r="B159">
            <v>45231</v>
          </cell>
          <cell r="C159">
            <v>0</v>
          </cell>
          <cell r="D159">
            <v>64685.392510256519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535235.35061527276</v>
          </cell>
        </row>
        <row r="160">
          <cell r="A160">
            <v>143</v>
          </cell>
          <cell r="B160">
            <v>45261</v>
          </cell>
          <cell r="C160">
            <v>0</v>
          </cell>
          <cell r="D160">
            <v>64685.392510256519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535235.35061527276</v>
          </cell>
        </row>
        <row r="161">
          <cell r="A161">
            <v>144</v>
          </cell>
          <cell r="B161">
            <v>45292</v>
          </cell>
          <cell r="C161">
            <v>0</v>
          </cell>
          <cell r="D161">
            <v>64685.392510256519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535235.35061527276</v>
          </cell>
        </row>
        <row r="162">
          <cell r="A162">
            <v>145</v>
          </cell>
          <cell r="B162">
            <v>45323</v>
          </cell>
          <cell r="C162">
            <v>0</v>
          </cell>
          <cell r="D162">
            <v>64685.392510256519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535235.35061527276</v>
          </cell>
        </row>
        <row r="163">
          <cell r="A163">
            <v>146</v>
          </cell>
          <cell r="B163">
            <v>45352</v>
          </cell>
          <cell r="C163">
            <v>0</v>
          </cell>
          <cell r="D163">
            <v>64685.392510256519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535235.35061527276</v>
          </cell>
        </row>
        <row r="164">
          <cell r="A164">
            <v>147</v>
          </cell>
          <cell r="B164">
            <v>45383</v>
          </cell>
          <cell r="C164">
            <v>0</v>
          </cell>
          <cell r="D164">
            <v>64685.392510256519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535235.35061527276</v>
          </cell>
        </row>
        <row r="165">
          <cell r="A165">
            <v>148</v>
          </cell>
          <cell r="B165">
            <v>45413</v>
          </cell>
          <cell r="C165">
            <v>0</v>
          </cell>
          <cell r="D165">
            <v>64685.392510256519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535235.35061527276</v>
          </cell>
        </row>
        <row r="166">
          <cell r="A166">
            <v>149</v>
          </cell>
          <cell r="B166">
            <v>45444</v>
          </cell>
          <cell r="C166">
            <v>0</v>
          </cell>
          <cell r="D166">
            <v>64685.392510256519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535235.35061527276</v>
          </cell>
        </row>
        <row r="167">
          <cell r="A167">
            <v>150</v>
          </cell>
          <cell r="B167">
            <v>45474</v>
          </cell>
          <cell r="C167">
            <v>0</v>
          </cell>
          <cell r="D167">
            <v>64685.392510256519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535235.35061527276</v>
          </cell>
        </row>
        <row r="168">
          <cell r="A168">
            <v>151</v>
          </cell>
          <cell r="B168">
            <v>45505</v>
          </cell>
          <cell r="C168">
            <v>0</v>
          </cell>
          <cell r="D168">
            <v>64685.392510256519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535235.35061527276</v>
          </cell>
        </row>
        <row r="169">
          <cell r="A169">
            <v>152</v>
          </cell>
          <cell r="B169">
            <v>45536</v>
          </cell>
          <cell r="C169">
            <v>0</v>
          </cell>
          <cell r="D169">
            <v>64685.392510256519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535235.35061527276</v>
          </cell>
        </row>
        <row r="170">
          <cell r="A170">
            <v>153</v>
          </cell>
          <cell r="B170">
            <v>45566</v>
          </cell>
          <cell r="C170">
            <v>0</v>
          </cell>
          <cell r="D170">
            <v>64685.392510256519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535235.35061527276</v>
          </cell>
        </row>
        <row r="171">
          <cell r="A171">
            <v>154</v>
          </cell>
          <cell r="B171">
            <v>45597</v>
          </cell>
          <cell r="C171">
            <v>0</v>
          </cell>
          <cell r="D171">
            <v>64685.392510256519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535235.35061527276</v>
          </cell>
        </row>
        <row r="172">
          <cell r="A172">
            <v>155</v>
          </cell>
          <cell r="B172">
            <v>45627</v>
          </cell>
          <cell r="C172">
            <v>0</v>
          </cell>
          <cell r="D172">
            <v>64685.392510256519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535235.35061527276</v>
          </cell>
        </row>
        <row r="173">
          <cell r="A173">
            <v>156</v>
          </cell>
          <cell r="B173">
            <v>45658</v>
          </cell>
          <cell r="C173">
            <v>0</v>
          </cell>
          <cell r="D173">
            <v>64685.392510256519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535235.35061527276</v>
          </cell>
        </row>
        <row r="174">
          <cell r="A174">
            <v>157</v>
          </cell>
          <cell r="B174">
            <v>45689</v>
          </cell>
          <cell r="C174">
            <v>0</v>
          </cell>
          <cell r="D174">
            <v>64685.392510256519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535235.35061527276</v>
          </cell>
        </row>
        <row r="175">
          <cell r="A175">
            <v>158</v>
          </cell>
          <cell r="B175">
            <v>45717</v>
          </cell>
          <cell r="C175">
            <v>0</v>
          </cell>
          <cell r="D175">
            <v>64685.392510256519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535235.35061527276</v>
          </cell>
        </row>
        <row r="176">
          <cell r="A176">
            <v>159</v>
          </cell>
          <cell r="B176">
            <v>45748</v>
          </cell>
          <cell r="C176">
            <v>0</v>
          </cell>
          <cell r="D176">
            <v>64685.392510256519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535235.35061527276</v>
          </cell>
        </row>
        <row r="177">
          <cell r="A177">
            <v>160</v>
          </cell>
          <cell r="B177">
            <v>45778</v>
          </cell>
          <cell r="C177">
            <v>0</v>
          </cell>
          <cell r="D177">
            <v>64685.392510256519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535235.35061527276</v>
          </cell>
        </row>
        <row r="178">
          <cell r="A178">
            <v>161</v>
          </cell>
          <cell r="B178">
            <v>45809</v>
          </cell>
          <cell r="C178">
            <v>0</v>
          </cell>
          <cell r="D178">
            <v>64685.392510256519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535235.35061527276</v>
          </cell>
        </row>
        <row r="179">
          <cell r="A179">
            <v>162</v>
          </cell>
          <cell r="B179">
            <v>45839</v>
          </cell>
          <cell r="C179">
            <v>0</v>
          </cell>
          <cell r="D179">
            <v>64685.392510256519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535235.35061527276</v>
          </cell>
        </row>
        <row r="180">
          <cell r="A180">
            <v>163</v>
          </cell>
          <cell r="B180">
            <v>45870</v>
          </cell>
          <cell r="C180">
            <v>0</v>
          </cell>
          <cell r="D180">
            <v>64685.392510256519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535235.35061527276</v>
          </cell>
        </row>
        <row r="181">
          <cell r="A181">
            <v>164</v>
          </cell>
          <cell r="B181">
            <v>45901</v>
          </cell>
          <cell r="C181">
            <v>0</v>
          </cell>
          <cell r="D181">
            <v>64685.392510256519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535235.35061527276</v>
          </cell>
        </row>
        <row r="182">
          <cell r="A182">
            <v>165</v>
          </cell>
          <cell r="B182">
            <v>45931</v>
          </cell>
          <cell r="C182">
            <v>0</v>
          </cell>
          <cell r="D182">
            <v>64685.392510256519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535235.35061527276</v>
          </cell>
        </row>
        <row r="183">
          <cell r="A183">
            <v>166</v>
          </cell>
          <cell r="B183">
            <v>45962</v>
          </cell>
          <cell r="C183">
            <v>0</v>
          </cell>
          <cell r="D183">
            <v>64685.392510256519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535235.35061527276</v>
          </cell>
        </row>
        <row r="184">
          <cell r="A184">
            <v>167</v>
          </cell>
          <cell r="B184">
            <v>45992</v>
          </cell>
          <cell r="C184">
            <v>0</v>
          </cell>
          <cell r="D184">
            <v>64685.392510256519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535235.35061527276</v>
          </cell>
        </row>
        <row r="185">
          <cell r="A185">
            <v>168</v>
          </cell>
          <cell r="B185">
            <v>46023</v>
          </cell>
          <cell r="C185">
            <v>0</v>
          </cell>
          <cell r="D185">
            <v>64685.392510256519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535235.35061527276</v>
          </cell>
        </row>
        <row r="186">
          <cell r="A186">
            <v>169</v>
          </cell>
          <cell r="B186">
            <v>46054</v>
          </cell>
          <cell r="C186">
            <v>0</v>
          </cell>
          <cell r="D186">
            <v>64685.392510256519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535235.35061527276</v>
          </cell>
        </row>
        <row r="187">
          <cell r="A187">
            <v>170</v>
          </cell>
          <cell r="B187">
            <v>46082</v>
          </cell>
          <cell r="C187">
            <v>0</v>
          </cell>
          <cell r="D187">
            <v>64685.392510256519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535235.35061527276</v>
          </cell>
        </row>
        <row r="188">
          <cell r="A188">
            <v>171</v>
          </cell>
          <cell r="B188">
            <v>46113</v>
          </cell>
          <cell r="C188">
            <v>0</v>
          </cell>
          <cell r="D188">
            <v>64685.392510256519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535235.35061527276</v>
          </cell>
        </row>
        <row r="189">
          <cell r="A189">
            <v>172</v>
          </cell>
          <cell r="B189">
            <v>46143</v>
          </cell>
          <cell r="C189">
            <v>0</v>
          </cell>
          <cell r="D189">
            <v>64685.392510256519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535235.35061527276</v>
          </cell>
        </row>
        <row r="190">
          <cell r="A190">
            <v>173</v>
          </cell>
          <cell r="B190">
            <v>46174</v>
          </cell>
          <cell r="C190">
            <v>0</v>
          </cell>
          <cell r="D190">
            <v>64685.392510256519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535235.35061527276</v>
          </cell>
        </row>
        <row r="191">
          <cell r="A191">
            <v>174</v>
          </cell>
          <cell r="B191">
            <v>46204</v>
          </cell>
          <cell r="C191">
            <v>0</v>
          </cell>
          <cell r="D191">
            <v>64685.392510256519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535235.35061527276</v>
          </cell>
        </row>
        <row r="192">
          <cell r="A192">
            <v>175</v>
          </cell>
          <cell r="B192">
            <v>46235</v>
          </cell>
          <cell r="C192">
            <v>0</v>
          </cell>
          <cell r="D192">
            <v>64685.392510256519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535235.35061527276</v>
          </cell>
        </row>
        <row r="193">
          <cell r="A193">
            <v>176</v>
          </cell>
          <cell r="B193">
            <v>46266</v>
          </cell>
          <cell r="C193">
            <v>0</v>
          </cell>
          <cell r="D193">
            <v>64685.392510256519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535235.35061527276</v>
          </cell>
        </row>
        <row r="194">
          <cell r="A194">
            <v>177</v>
          </cell>
          <cell r="B194">
            <v>46296</v>
          </cell>
          <cell r="C194">
            <v>0</v>
          </cell>
          <cell r="D194">
            <v>64685.392510256519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535235.35061527276</v>
          </cell>
        </row>
        <row r="195">
          <cell r="A195">
            <v>178</v>
          </cell>
          <cell r="B195">
            <v>46327</v>
          </cell>
          <cell r="C195">
            <v>0</v>
          </cell>
          <cell r="D195">
            <v>64685.392510256519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535235.35061527276</v>
          </cell>
        </row>
        <row r="196">
          <cell r="A196">
            <v>179</v>
          </cell>
          <cell r="B196">
            <v>46357</v>
          </cell>
          <cell r="C196">
            <v>0</v>
          </cell>
          <cell r="D196">
            <v>64685.392510256519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535235.35061527276</v>
          </cell>
        </row>
        <row r="197">
          <cell r="A197">
            <v>180</v>
          </cell>
          <cell r="B197">
            <v>46388</v>
          </cell>
          <cell r="C197">
            <v>0</v>
          </cell>
          <cell r="D197">
            <v>64685.392510256519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535235.35061527276</v>
          </cell>
        </row>
        <row r="198">
          <cell r="A198">
            <v>181</v>
          </cell>
          <cell r="B198">
            <v>46419</v>
          </cell>
          <cell r="C198">
            <v>0</v>
          </cell>
          <cell r="D198">
            <v>64685.392510256519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535235.35061527276</v>
          </cell>
        </row>
        <row r="199">
          <cell r="A199">
            <v>182</v>
          </cell>
          <cell r="B199">
            <v>46447</v>
          </cell>
          <cell r="C199">
            <v>0</v>
          </cell>
          <cell r="D199">
            <v>64685.392510256519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535235.35061527276</v>
          </cell>
        </row>
        <row r="200">
          <cell r="A200">
            <v>183</v>
          </cell>
          <cell r="B200">
            <v>46478</v>
          </cell>
          <cell r="C200">
            <v>0</v>
          </cell>
          <cell r="D200">
            <v>64685.392510256519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535235.35061527276</v>
          </cell>
        </row>
        <row r="201">
          <cell r="A201">
            <v>184</v>
          </cell>
          <cell r="B201">
            <v>46508</v>
          </cell>
          <cell r="C201">
            <v>0</v>
          </cell>
          <cell r="D201">
            <v>64685.392510256519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535235.35061527276</v>
          </cell>
        </row>
        <row r="202">
          <cell r="A202">
            <v>185</v>
          </cell>
          <cell r="B202">
            <v>46539</v>
          </cell>
          <cell r="C202">
            <v>0</v>
          </cell>
          <cell r="D202">
            <v>64685.392510256519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535235.35061527276</v>
          </cell>
        </row>
        <row r="203">
          <cell r="A203">
            <v>186</v>
          </cell>
          <cell r="B203">
            <v>46569</v>
          </cell>
          <cell r="C203">
            <v>0</v>
          </cell>
          <cell r="D203">
            <v>64685.392510256519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535235.35061527276</v>
          </cell>
        </row>
        <row r="204">
          <cell r="A204">
            <v>187</v>
          </cell>
          <cell r="B204">
            <v>46600</v>
          </cell>
          <cell r="C204">
            <v>0</v>
          </cell>
          <cell r="D204">
            <v>64685.392510256519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535235.35061527276</v>
          </cell>
        </row>
        <row r="205">
          <cell r="A205">
            <v>188</v>
          </cell>
          <cell r="B205">
            <v>46631</v>
          </cell>
          <cell r="C205">
            <v>0</v>
          </cell>
          <cell r="D205">
            <v>64685.392510256519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535235.35061527276</v>
          </cell>
        </row>
        <row r="206">
          <cell r="A206">
            <v>189</v>
          </cell>
          <cell r="B206">
            <v>46661</v>
          </cell>
          <cell r="C206">
            <v>0</v>
          </cell>
          <cell r="D206">
            <v>64685.392510256519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535235.35061527276</v>
          </cell>
        </row>
        <row r="207">
          <cell r="A207">
            <v>190</v>
          </cell>
          <cell r="B207">
            <v>46692</v>
          </cell>
          <cell r="C207">
            <v>0</v>
          </cell>
          <cell r="D207">
            <v>64685.392510256519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535235.35061527276</v>
          </cell>
        </row>
        <row r="208">
          <cell r="A208">
            <v>191</v>
          </cell>
          <cell r="B208">
            <v>46722</v>
          </cell>
          <cell r="C208">
            <v>0</v>
          </cell>
          <cell r="D208">
            <v>64685.392510256519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535235.35061527276</v>
          </cell>
        </row>
        <row r="209">
          <cell r="A209">
            <v>192</v>
          </cell>
          <cell r="B209">
            <v>46753</v>
          </cell>
          <cell r="C209">
            <v>0</v>
          </cell>
          <cell r="D209">
            <v>64685.392510256519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535235.35061527276</v>
          </cell>
        </row>
        <row r="210">
          <cell r="A210">
            <v>193</v>
          </cell>
          <cell r="B210">
            <v>46784</v>
          </cell>
          <cell r="C210">
            <v>0</v>
          </cell>
          <cell r="D210">
            <v>64685.392510256519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535235.35061527276</v>
          </cell>
        </row>
        <row r="211">
          <cell r="A211">
            <v>194</v>
          </cell>
          <cell r="B211">
            <v>46813</v>
          </cell>
          <cell r="C211">
            <v>0</v>
          </cell>
          <cell r="D211">
            <v>64685.392510256519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535235.35061527276</v>
          </cell>
        </row>
        <row r="212">
          <cell r="A212">
            <v>195</v>
          </cell>
          <cell r="B212">
            <v>46844</v>
          </cell>
          <cell r="C212">
            <v>0</v>
          </cell>
          <cell r="D212">
            <v>64685.392510256519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535235.35061527276</v>
          </cell>
        </row>
        <row r="213">
          <cell r="A213">
            <v>196</v>
          </cell>
          <cell r="B213">
            <v>46874</v>
          </cell>
          <cell r="C213">
            <v>0</v>
          </cell>
          <cell r="D213">
            <v>64685.392510256519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535235.35061527276</v>
          </cell>
        </row>
        <row r="214">
          <cell r="A214">
            <v>197</v>
          </cell>
          <cell r="B214">
            <v>46905</v>
          </cell>
          <cell r="C214">
            <v>0</v>
          </cell>
          <cell r="D214">
            <v>64685.392510256519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535235.35061527276</v>
          </cell>
        </row>
        <row r="215">
          <cell r="A215">
            <v>198</v>
          </cell>
          <cell r="B215">
            <v>46935</v>
          </cell>
          <cell r="C215">
            <v>0</v>
          </cell>
          <cell r="D215">
            <v>64685.392510256519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535235.35061527276</v>
          </cell>
        </row>
        <row r="216">
          <cell r="A216">
            <v>199</v>
          </cell>
          <cell r="B216">
            <v>46966</v>
          </cell>
          <cell r="C216">
            <v>0</v>
          </cell>
          <cell r="D216">
            <v>64685.392510256519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535235.35061527276</v>
          </cell>
        </row>
        <row r="217">
          <cell r="A217">
            <v>200</v>
          </cell>
          <cell r="B217">
            <v>46997</v>
          </cell>
          <cell r="C217">
            <v>0</v>
          </cell>
          <cell r="D217">
            <v>64685.392510256519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535235.35061527276</v>
          </cell>
        </row>
        <row r="218">
          <cell r="A218">
            <v>201</v>
          </cell>
          <cell r="B218">
            <v>47027</v>
          </cell>
          <cell r="C218">
            <v>0</v>
          </cell>
          <cell r="D218">
            <v>64685.392510256519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535235.35061527276</v>
          </cell>
        </row>
        <row r="219">
          <cell r="A219">
            <v>202</v>
          </cell>
          <cell r="B219">
            <v>47058</v>
          </cell>
          <cell r="C219">
            <v>0</v>
          </cell>
          <cell r="D219">
            <v>64685.392510256519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535235.35061527276</v>
          </cell>
        </row>
        <row r="220">
          <cell r="A220">
            <v>203</v>
          </cell>
          <cell r="B220">
            <v>47088</v>
          </cell>
          <cell r="C220">
            <v>0</v>
          </cell>
          <cell r="D220">
            <v>64685.392510256519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535235.35061527276</v>
          </cell>
        </row>
        <row r="221">
          <cell r="A221">
            <v>204</v>
          </cell>
          <cell r="B221">
            <v>47119</v>
          </cell>
          <cell r="C221">
            <v>0</v>
          </cell>
          <cell r="D221">
            <v>64685.392510256519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535235.35061527276</v>
          </cell>
        </row>
        <row r="222">
          <cell r="A222">
            <v>205</v>
          </cell>
          <cell r="B222">
            <v>47150</v>
          </cell>
          <cell r="C222">
            <v>0</v>
          </cell>
          <cell r="D222">
            <v>64685.392510256519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535235.35061527276</v>
          </cell>
        </row>
        <row r="223">
          <cell r="A223">
            <v>206</v>
          </cell>
          <cell r="B223">
            <v>47178</v>
          </cell>
          <cell r="C223">
            <v>0</v>
          </cell>
          <cell r="D223">
            <v>64685.392510256519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535235.35061527276</v>
          </cell>
        </row>
        <row r="224">
          <cell r="A224">
            <v>207</v>
          </cell>
          <cell r="B224">
            <v>47209</v>
          </cell>
          <cell r="C224">
            <v>0</v>
          </cell>
          <cell r="D224">
            <v>64685.392510256519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535235.35061527276</v>
          </cell>
        </row>
        <row r="225">
          <cell r="A225">
            <v>208</v>
          </cell>
          <cell r="B225">
            <v>47239</v>
          </cell>
          <cell r="C225">
            <v>0</v>
          </cell>
          <cell r="D225">
            <v>64685.392510256519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535235.35061527276</v>
          </cell>
        </row>
        <row r="226">
          <cell r="A226">
            <v>209</v>
          </cell>
          <cell r="B226">
            <v>47270</v>
          </cell>
          <cell r="C226">
            <v>0</v>
          </cell>
          <cell r="D226">
            <v>64685.392510256519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535235.35061527276</v>
          </cell>
        </row>
        <row r="227">
          <cell r="A227">
            <v>210</v>
          </cell>
          <cell r="B227">
            <v>47300</v>
          </cell>
          <cell r="C227">
            <v>0</v>
          </cell>
          <cell r="D227">
            <v>64685.392510256519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535235.35061527276</v>
          </cell>
        </row>
        <row r="228">
          <cell r="A228">
            <v>211</v>
          </cell>
          <cell r="B228">
            <v>47331</v>
          </cell>
          <cell r="C228">
            <v>0</v>
          </cell>
          <cell r="D228">
            <v>64685.392510256519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535235.35061527276</v>
          </cell>
        </row>
        <row r="229">
          <cell r="A229">
            <v>212</v>
          </cell>
          <cell r="B229">
            <v>47362</v>
          </cell>
          <cell r="C229">
            <v>0</v>
          </cell>
          <cell r="D229">
            <v>64685.392510256519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535235.35061527276</v>
          </cell>
        </row>
        <row r="230">
          <cell r="A230">
            <v>213</v>
          </cell>
          <cell r="B230">
            <v>47392</v>
          </cell>
          <cell r="C230">
            <v>0</v>
          </cell>
          <cell r="D230">
            <v>64685.392510256519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535235.35061527276</v>
          </cell>
        </row>
        <row r="231">
          <cell r="A231">
            <v>214</v>
          </cell>
          <cell r="B231">
            <v>47423</v>
          </cell>
          <cell r="C231">
            <v>0</v>
          </cell>
          <cell r="D231">
            <v>64685.392510256519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535235.35061527276</v>
          </cell>
        </row>
        <row r="232">
          <cell r="A232">
            <v>215</v>
          </cell>
          <cell r="B232">
            <v>47453</v>
          </cell>
          <cell r="C232">
            <v>0</v>
          </cell>
          <cell r="D232">
            <v>64685.392510256519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535235.35061527276</v>
          </cell>
        </row>
        <row r="233">
          <cell r="A233">
            <v>216</v>
          </cell>
          <cell r="B233">
            <v>47484</v>
          </cell>
          <cell r="C233">
            <v>0</v>
          </cell>
          <cell r="D233">
            <v>64685.392510256519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535235.35061527276</v>
          </cell>
        </row>
        <row r="234">
          <cell r="A234">
            <v>217</v>
          </cell>
          <cell r="B234">
            <v>47515</v>
          </cell>
          <cell r="C234">
            <v>0</v>
          </cell>
          <cell r="D234">
            <v>64685.392510256519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535235.35061527276</v>
          </cell>
        </row>
        <row r="235">
          <cell r="A235">
            <v>218</v>
          </cell>
          <cell r="B235">
            <v>47543</v>
          </cell>
          <cell r="C235">
            <v>0</v>
          </cell>
          <cell r="D235">
            <v>64685.392510256519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535235.35061527276</v>
          </cell>
        </row>
        <row r="236">
          <cell r="A236">
            <v>219</v>
          </cell>
          <cell r="B236">
            <v>47574</v>
          </cell>
          <cell r="C236">
            <v>0</v>
          </cell>
          <cell r="D236">
            <v>64685.392510256519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535235.35061527276</v>
          </cell>
        </row>
        <row r="237">
          <cell r="A237">
            <v>220</v>
          </cell>
          <cell r="B237">
            <v>47604</v>
          </cell>
          <cell r="C237">
            <v>0</v>
          </cell>
          <cell r="D237">
            <v>64685.392510256519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535235.35061527276</v>
          </cell>
        </row>
        <row r="238">
          <cell r="A238">
            <v>221</v>
          </cell>
          <cell r="B238">
            <v>47635</v>
          </cell>
          <cell r="C238">
            <v>0</v>
          </cell>
          <cell r="D238">
            <v>64685.392510256519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535235.35061527276</v>
          </cell>
        </row>
        <row r="239">
          <cell r="A239">
            <v>222</v>
          </cell>
          <cell r="B239">
            <v>47665</v>
          </cell>
          <cell r="C239">
            <v>0</v>
          </cell>
          <cell r="D239">
            <v>64685.392510256519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535235.35061527276</v>
          </cell>
        </row>
        <row r="240">
          <cell r="A240">
            <v>223</v>
          </cell>
          <cell r="B240">
            <v>47696</v>
          </cell>
          <cell r="C240">
            <v>0</v>
          </cell>
          <cell r="D240">
            <v>64685.392510256519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535235.35061527276</v>
          </cell>
        </row>
        <row r="241">
          <cell r="A241">
            <v>224</v>
          </cell>
          <cell r="B241">
            <v>47727</v>
          </cell>
          <cell r="C241">
            <v>0</v>
          </cell>
          <cell r="D241">
            <v>64685.392510256519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535235.35061527276</v>
          </cell>
        </row>
        <row r="242">
          <cell r="A242">
            <v>225</v>
          </cell>
          <cell r="B242">
            <v>47757</v>
          </cell>
          <cell r="C242">
            <v>0</v>
          </cell>
          <cell r="D242">
            <v>64685.392510256519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535235.35061527276</v>
          </cell>
        </row>
        <row r="243">
          <cell r="A243">
            <v>226</v>
          </cell>
          <cell r="B243">
            <v>47788</v>
          </cell>
          <cell r="C243">
            <v>0</v>
          </cell>
          <cell r="D243">
            <v>64685.392510256519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535235.35061527276</v>
          </cell>
        </row>
        <row r="244">
          <cell r="A244">
            <v>227</v>
          </cell>
          <cell r="B244">
            <v>47818</v>
          </cell>
          <cell r="C244">
            <v>0</v>
          </cell>
          <cell r="D244">
            <v>64685.392510256519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535235.35061527276</v>
          </cell>
        </row>
        <row r="245">
          <cell r="A245">
            <v>228</v>
          </cell>
          <cell r="B245">
            <v>47849</v>
          </cell>
          <cell r="C245">
            <v>0</v>
          </cell>
          <cell r="D245">
            <v>64685.392510256519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535235.35061527276</v>
          </cell>
        </row>
        <row r="246">
          <cell r="A246">
            <v>229</v>
          </cell>
          <cell r="B246">
            <v>47880</v>
          </cell>
          <cell r="C246">
            <v>0</v>
          </cell>
          <cell r="D246">
            <v>64685.392510256519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535235.35061527276</v>
          </cell>
        </row>
        <row r="247">
          <cell r="A247">
            <v>230</v>
          </cell>
          <cell r="B247">
            <v>47908</v>
          </cell>
          <cell r="C247">
            <v>0</v>
          </cell>
          <cell r="D247">
            <v>64685.392510256519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535235.35061527276</v>
          </cell>
        </row>
        <row r="248">
          <cell r="A248">
            <v>231</v>
          </cell>
          <cell r="B248">
            <v>47939</v>
          </cell>
          <cell r="C248">
            <v>0</v>
          </cell>
          <cell r="D248">
            <v>64685.392510256519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535235.35061527276</v>
          </cell>
        </row>
        <row r="249">
          <cell r="A249">
            <v>232</v>
          </cell>
          <cell r="B249">
            <v>47969</v>
          </cell>
          <cell r="C249">
            <v>0</v>
          </cell>
          <cell r="D249">
            <v>64685.392510256519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535235.35061527276</v>
          </cell>
        </row>
        <row r="250">
          <cell r="A250">
            <v>233</v>
          </cell>
          <cell r="B250">
            <v>48000</v>
          </cell>
          <cell r="C250">
            <v>0</v>
          </cell>
          <cell r="D250">
            <v>64685.392510256519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535235.35061527276</v>
          </cell>
        </row>
        <row r="251">
          <cell r="A251">
            <v>234</v>
          </cell>
          <cell r="B251">
            <v>48030</v>
          </cell>
          <cell r="C251">
            <v>0</v>
          </cell>
          <cell r="D251">
            <v>64685.392510256519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535235.35061527276</v>
          </cell>
        </row>
        <row r="252">
          <cell r="A252">
            <v>235</v>
          </cell>
          <cell r="B252">
            <v>48061</v>
          </cell>
          <cell r="C252">
            <v>0</v>
          </cell>
          <cell r="D252">
            <v>64685.392510256519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535235.35061527276</v>
          </cell>
        </row>
        <row r="253">
          <cell r="A253">
            <v>236</v>
          </cell>
          <cell r="B253">
            <v>48092</v>
          </cell>
          <cell r="C253">
            <v>0</v>
          </cell>
          <cell r="D253">
            <v>64685.392510256519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535235.35061527276</v>
          </cell>
        </row>
        <row r="254">
          <cell r="A254">
            <v>237</v>
          </cell>
          <cell r="B254">
            <v>48122</v>
          </cell>
          <cell r="C254">
            <v>0</v>
          </cell>
          <cell r="D254">
            <v>64685.392510256519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535235.35061527276</v>
          </cell>
        </row>
        <row r="255">
          <cell r="A255">
            <v>238</v>
          </cell>
          <cell r="B255">
            <v>48153</v>
          </cell>
          <cell r="C255">
            <v>0</v>
          </cell>
          <cell r="D255">
            <v>64685.392510256519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535235.35061527276</v>
          </cell>
        </row>
        <row r="256">
          <cell r="A256">
            <v>239</v>
          </cell>
          <cell r="B256">
            <v>48183</v>
          </cell>
          <cell r="C256">
            <v>0</v>
          </cell>
          <cell r="D256">
            <v>64685.392510256519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535235.35061527276</v>
          </cell>
        </row>
        <row r="257">
          <cell r="A257">
            <v>240</v>
          </cell>
          <cell r="B257">
            <v>48214</v>
          </cell>
          <cell r="C257">
            <v>0</v>
          </cell>
          <cell r="D257">
            <v>64685.392510256519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535235.35061527276</v>
          </cell>
        </row>
        <row r="258">
          <cell r="A258">
            <v>241</v>
          </cell>
          <cell r="B258">
            <v>48245</v>
          </cell>
          <cell r="C258">
            <v>0</v>
          </cell>
          <cell r="D258">
            <v>64685.392510256519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535235.35061527276</v>
          </cell>
        </row>
        <row r="259">
          <cell r="A259">
            <v>242</v>
          </cell>
          <cell r="B259">
            <v>48274</v>
          </cell>
          <cell r="C259">
            <v>0</v>
          </cell>
          <cell r="D259">
            <v>64685.392510256519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535235.35061527276</v>
          </cell>
        </row>
        <row r="260">
          <cell r="A260">
            <v>243</v>
          </cell>
          <cell r="B260">
            <v>48305</v>
          </cell>
          <cell r="C260">
            <v>0</v>
          </cell>
          <cell r="D260">
            <v>64685.392510256519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535235.35061527276</v>
          </cell>
        </row>
        <row r="261">
          <cell r="A261">
            <v>244</v>
          </cell>
          <cell r="B261">
            <v>48335</v>
          </cell>
          <cell r="C261">
            <v>0</v>
          </cell>
          <cell r="D261">
            <v>64685.392510256519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535235.35061527276</v>
          </cell>
        </row>
        <row r="262">
          <cell r="A262">
            <v>245</v>
          </cell>
          <cell r="B262">
            <v>48366</v>
          </cell>
          <cell r="C262">
            <v>0</v>
          </cell>
          <cell r="D262">
            <v>64685.392510256519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535235.35061527276</v>
          </cell>
        </row>
        <row r="263">
          <cell r="A263">
            <v>246</v>
          </cell>
          <cell r="B263">
            <v>48396</v>
          </cell>
          <cell r="C263">
            <v>0</v>
          </cell>
          <cell r="D263">
            <v>64685.392510256519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535235.35061527276</v>
          </cell>
        </row>
        <row r="264">
          <cell r="A264">
            <v>247</v>
          </cell>
          <cell r="B264">
            <v>48427</v>
          </cell>
          <cell r="C264">
            <v>0</v>
          </cell>
          <cell r="D264">
            <v>64685.392510256519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535235.35061527276</v>
          </cell>
        </row>
        <row r="265">
          <cell r="A265">
            <v>248</v>
          </cell>
          <cell r="B265">
            <v>48458</v>
          </cell>
          <cell r="C265">
            <v>0</v>
          </cell>
          <cell r="D265">
            <v>64685.392510256519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535235.35061527276</v>
          </cell>
        </row>
        <row r="266">
          <cell r="A266">
            <v>249</v>
          </cell>
          <cell r="B266">
            <v>48488</v>
          </cell>
          <cell r="C266">
            <v>0</v>
          </cell>
          <cell r="D266">
            <v>64685.392510256519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535235.35061527276</v>
          </cell>
        </row>
        <row r="267">
          <cell r="A267">
            <v>250</v>
          </cell>
          <cell r="B267">
            <v>48519</v>
          </cell>
          <cell r="C267">
            <v>0</v>
          </cell>
          <cell r="D267">
            <v>64685.392510256519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535235.35061527276</v>
          </cell>
        </row>
        <row r="268">
          <cell r="A268">
            <v>251</v>
          </cell>
          <cell r="B268">
            <v>48549</v>
          </cell>
          <cell r="C268">
            <v>0</v>
          </cell>
          <cell r="D268">
            <v>64685.392510256519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535235.35061527276</v>
          </cell>
        </row>
        <row r="269">
          <cell r="A269">
            <v>252</v>
          </cell>
          <cell r="B269">
            <v>48580</v>
          </cell>
          <cell r="C269">
            <v>0</v>
          </cell>
          <cell r="D269">
            <v>64685.392510256519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535235.35061527276</v>
          </cell>
        </row>
        <row r="270">
          <cell r="A270">
            <v>253</v>
          </cell>
          <cell r="B270">
            <v>48611</v>
          </cell>
          <cell r="C270">
            <v>0</v>
          </cell>
          <cell r="D270">
            <v>64685.392510256519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535235.35061527276</v>
          </cell>
        </row>
        <row r="271">
          <cell r="A271">
            <v>254</v>
          </cell>
          <cell r="B271">
            <v>48639</v>
          </cell>
          <cell r="C271">
            <v>0</v>
          </cell>
          <cell r="D271">
            <v>64685.392510256519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535235.35061527276</v>
          </cell>
        </row>
        <row r="272">
          <cell r="A272">
            <v>255</v>
          </cell>
          <cell r="B272">
            <v>48670</v>
          </cell>
          <cell r="C272">
            <v>0</v>
          </cell>
          <cell r="D272">
            <v>64685.392510256519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535235.35061527276</v>
          </cell>
        </row>
        <row r="273">
          <cell r="A273">
            <v>256</v>
          </cell>
          <cell r="B273">
            <v>48700</v>
          </cell>
          <cell r="C273">
            <v>0</v>
          </cell>
          <cell r="D273">
            <v>64685.392510256519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535235.35061527276</v>
          </cell>
        </row>
        <row r="274">
          <cell r="A274">
            <v>257</v>
          </cell>
          <cell r="B274">
            <v>48731</v>
          </cell>
          <cell r="C274">
            <v>0</v>
          </cell>
          <cell r="D274">
            <v>64685.392510256519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535235.35061527276</v>
          </cell>
        </row>
        <row r="275">
          <cell r="A275">
            <v>258</v>
          </cell>
          <cell r="B275">
            <v>48761</v>
          </cell>
          <cell r="C275">
            <v>0</v>
          </cell>
          <cell r="D275">
            <v>64685.392510256519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535235.35061527276</v>
          </cell>
        </row>
        <row r="276">
          <cell r="A276">
            <v>259</v>
          </cell>
          <cell r="B276">
            <v>48792</v>
          </cell>
          <cell r="C276">
            <v>0</v>
          </cell>
          <cell r="D276">
            <v>64685.392510256519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535235.35061527276</v>
          </cell>
        </row>
        <row r="277">
          <cell r="A277">
            <v>260</v>
          </cell>
          <cell r="B277">
            <v>48823</v>
          </cell>
          <cell r="C277">
            <v>0</v>
          </cell>
          <cell r="D277">
            <v>64685.392510256519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535235.35061527276</v>
          </cell>
        </row>
        <row r="278">
          <cell r="A278">
            <v>261</v>
          </cell>
          <cell r="B278">
            <v>48853</v>
          </cell>
          <cell r="C278">
            <v>0</v>
          </cell>
          <cell r="D278">
            <v>64685.392510256519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535235.35061527276</v>
          </cell>
        </row>
        <row r="279">
          <cell r="A279">
            <v>262</v>
          </cell>
          <cell r="B279">
            <v>48884</v>
          </cell>
          <cell r="C279">
            <v>0</v>
          </cell>
          <cell r="D279">
            <v>64685.392510256519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535235.35061527276</v>
          </cell>
        </row>
        <row r="280">
          <cell r="A280">
            <v>263</v>
          </cell>
          <cell r="B280">
            <v>48914</v>
          </cell>
          <cell r="C280">
            <v>0</v>
          </cell>
          <cell r="D280">
            <v>64685.392510256519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535235.35061527276</v>
          </cell>
        </row>
        <row r="281">
          <cell r="A281">
            <v>264</v>
          </cell>
          <cell r="B281">
            <v>48945</v>
          </cell>
          <cell r="C281">
            <v>0</v>
          </cell>
          <cell r="D281">
            <v>64685.392510256519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535235.35061527276</v>
          </cell>
        </row>
        <row r="282">
          <cell r="A282">
            <v>265</v>
          </cell>
          <cell r="B282">
            <v>48976</v>
          </cell>
          <cell r="C282">
            <v>0</v>
          </cell>
          <cell r="D282">
            <v>64685.392510256519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535235.35061527276</v>
          </cell>
        </row>
        <row r="283">
          <cell r="A283">
            <v>266</v>
          </cell>
          <cell r="B283">
            <v>49004</v>
          </cell>
          <cell r="C283">
            <v>0</v>
          </cell>
          <cell r="D283">
            <v>64685.392510256519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535235.35061527276</v>
          </cell>
        </row>
        <row r="284">
          <cell r="A284">
            <v>267</v>
          </cell>
          <cell r="B284">
            <v>49035</v>
          </cell>
          <cell r="C284">
            <v>0</v>
          </cell>
          <cell r="D284">
            <v>64685.392510256519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535235.35061527276</v>
          </cell>
        </row>
        <row r="285">
          <cell r="A285">
            <v>268</v>
          </cell>
          <cell r="B285">
            <v>49065</v>
          </cell>
          <cell r="C285">
            <v>0</v>
          </cell>
          <cell r="D285">
            <v>64685.392510256519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535235.35061527276</v>
          </cell>
        </row>
        <row r="286">
          <cell r="A286">
            <v>269</v>
          </cell>
          <cell r="B286">
            <v>49096</v>
          </cell>
          <cell r="C286">
            <v>0</v>
          </cell>
          <cell r="D286">
            <v>64685.392510256519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535235.35061527276</v>
          </cell>
        </row>
        <row r="287">
          <cell r="A287">
            <v>270</v>
          </cell>
          <cell r="B287">
            <v>49126</v>
          </cell>
          <cell r="C287">
            <v>0</v>
          </cell>
          <cell r="D287">
            <v>64685.392510256519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535235.35061527276</v>
          </cell>
        </row>
        <row r="288">
          <cell r="A288">
            <v>271</v>
          </cell>
          <cell r="B288">
            <v>49157</v>
          </cell>
          <cell r="C288">
            <v>0</v>
          </cell>
          <cell r="D288">
            <v>64685.392510256519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535235.35061527276</v>
          </cell>
        </row>
        <row r="289">
          <cell r="A289">
            <v>272</v>
          </cell>
          <cell r="B289">
            <v>49188</v>
          </cell>
          <cell r="C289">
            <v>0</v>
          </cell>
          <cell r="D289">
            <v>64685.392510256519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535235.35061527276</v>
          </cell>
        </row>
        <row r="290">
          <cell r="A290">
            <v>273</v>
          </cell>
          <cell r="B290">
            <v>49218</v>
          </cell>
          <cell r="C290">
            <v>0</v>
          </cell>
          <cell r="D290">
            <v>64685.392510256519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535235.35061527276</v>
          </cell>
        </row>
        <row r="291">
          <cell r="A291">
            <v>274</v>
          </cell>
          <cell r="B291">
            <v>49249</v>
          </cell>
          <cell r="C291">
            <v>0</v>
          </cell>
          <cell r="D291">
            <v>64685.392510256519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535235.35061527276</v>
          </cell>
        </row>
        <row r="292">
          <cell r="A292">
            <v>275</v>
          </cell>
          <cell r="B292">
            <v>49279</v>
          </cell>
          <cell r="C292">
            <v>0</v>
          </cell>
          <cell r="D292">
            <v>64685.392510256519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535235.35061527276</v>
          </cell>
        </row>
        <row r="293">
          <cell r="A293">
            <v>276</v>
          </cell>
          <cell r="B293">
            <v>49310</v>
          </cell>
          <cell r="C293">
            <v>0</v>
          </cell>
          <cell r="D293">
            <v>64685.392510256519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535235.35061527276</v>
          </cell>
        </row>
        <row r="294">
          <cell r="A294">
            <v>277</v>
          </cell>
          <cell r="B294">
            <v>49341</v>
          </cell>
          <cell r="C294">
            <v>0</v>
          </cell>
          <cell r="D294">
            <v>64685.392510256519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535235.35061527276</v>
          </cell>
        </row>
        <row r="295">
          <cell r="A295">
            <v>278</v>
          </cell>
          <cell r="B295">
            <v>49369</v>
          </cell>
          <cell r="C295">
            <v>0</v>
          </cell>
          <cell r="D295">
            <v>64685.392510256519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535235.35061527276</v>
          </cell>
        </row>
        <row r="296">
          <cell r="A296">
            <v>279</v>
          </cell>
          <cell r="B296">
            <v>49400</v>
          </cell>
          <cell r="C296">
            <v>0</v>
          </cell>
          <cell r="D296">
            <v>64685.392510256519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535235.35061527276</v>
          </cell>
        </row>
        <row r="297">
          <cell r="A297">
            <v>280</v>
          </cell>
          <cell r="B297">
            <v>49430</v>
          </cell>
          <cell r="C297">
            <v>0</v>
          </cell>
          <cell r="D297">
            <v>64685.392510256519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535235.35061527276</v>
          </cell>
        </row>
        <row r="298">
          <cell r="A298">
            <v>281</v>
          </cell>
          <cell r="B298">
            <v>49461</v>
          </cell>
          <cell r="C298">
            <v>0</v>
          </cell>
          <cell r="D298">
            <v>64685.392510256519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535235.35061527276</v>
          </cell>
        </row>
        <row r="299">
          <cell r="A299">
            <v>282</v>
          </cell>
          <cell r="B299">
            <v>49491</v>
          </cell>
          <cell r="C299">
            <v>0</v>
          </cell>
          <cell r="D299">
            <v>64685.392510256519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535235.35061527276</v>
          </cell>
        </row>
        <row r="300">
          <cell r="A300">
            <v>283</v>
          </cell>
          <cell r="B300">
            <v>49522</v>
          </cell>
          <cell r="C300">
            <v>0</v>
          </cell>
          <cell r="D300">
            <v>64685.392510256519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535235.35061527276</v>
          </cell>
        </row>
        <row r="301">
          <cell r="A301">
            <v>284</v>
          </cell>
          <cell r="B301">
            <v>49553</v>
          </cell>
          <cell r="C301">
            <v>0</v>
          </cell>
          <cell r="D301">
            <v>64685.392510256519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535235.35061527276</v>
          </cell>
        </row>
        <row r="302">
          <cell r="A302">
            <v>285</v>
          </cell>
          <cell r="B302">
            <v>49583</v>
          </cell>
          <cell r="C302">
            <v>0</v>
          </cell>
          <cell r="D302">
            <v>64685.392510256519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535235.35061527276</v>
          </cell>
        </row>
        <row r="303">
          <cell r="A303">
            <v>286</v>
          </cell>
          <cell r="B303">
            <v>49614</v>
          </cell>
          <cell r="C303">
            <v>0</v>
          </cell>
          <cell r="D303">
            <v>64685.392510256519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535235.35061527276</v>
          </cell>
        </row>
        <row r="304">
          <cell r="A304">
            <v>287</v>
          </cell>
          <cell r="B304">
            <v>49644</v>
          </cell>
          <cell r="C304">
            <v>0</v>
          </cell>
          <cell r="D304">
            <v>64685.392510256519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535235.35061527276</v>
          </cell>
        </row>
        <row r="305">
          <cell r="A305">
            <v>288</v>
          </cell>
          <cell r="B305">
            <v>49675</v>
          </cell>
          <cell r="C305">
            <v>0</v>
          </cell>
          <cell r="D305">
            <v>64685.392510256519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535235.35061527276</v>
          </cell>
        </row>
        <row r="306">
          <cell r="A306">
            <v>289</v>
          </cell>
          <cell r="B306">
            <v>49706</v>
          </cell>
          <cell r="C306">
            <v>0</v>
          </cell>
          <cell r="D306">
            <v>64685.392510256519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535235.35061527276</v>
          </cell>
        </row>
        <row r="307">
          <cell r="A307">
            <v>290</v>
          </cell>
          <cell r="B307">
            <v>49735</v>
          </cell>
          <cell r="C307">
            <v>0</v>
          </cell>
          <cell r="D307">
            <v>64685.392510256519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535235.35061527276</v>
          </cell>
        </row>
        <row r="308">
          <cell r="A308">
            <v>291</v>
          </cell>
          <cell r="B308">
            <v>49766</v>
          </cell>
          <cell r="C308">
            <v>0</v>
          </cell>
          <cell r="D308">
            <v>64685.392510256519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535235.35061527276</v>
          </cell>
        </row>
        <row r="309">
          <cell r="A309">
            <v>292</v>
          </cell>
          <cell r="B309">
            <v>49796</v>
          </cell>
          <cell r="C309">
            <v>0</v>
          </cell>
          <cell r="D309">
            <v>64685.392510256519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535235.35061527276</v>
          </cell>
        </row>
        <row r="310">
          <cell r="A310">
            <v>293</v>
          </cell>
          <cell r="B310">
            <v>49827</v>
          </cell>
          <cell r="C310">
            <v>0</v>
          </cell>
          <cell r="D310">
            <v>64685.392510256519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535235.35061527276</v>
          </cell>
        </row>
        <row r="311">
          <cell r="A311">
            <v>294</v>
          </cell>
          <cell r="B311">
            <v>49857</v>
          </cell>
          <cell r="C311">
            <v>0</v>
          </cell>
          <cell r="D311">
            <v>64685.392510256519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535235.35061527276</v>
          </cell>
        </row>
        <row r="312">
          <cell r="A312">
            <v>295</v>
          </cell>
          <cell r="B312">
            <v>49888</v>
          </cell>
          <cell r="C312">
            <v>0</v>
          </cell>
          <cell r="D312">
            <v>64685.392510256519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535235.35061527276</v>
          </cell>
        </row>
        <row r="313">
          <cell r="A313">
            <v>296</v>
          </cell>
          <cell r="B313">
            <v>49919</v>
          </cell>
          <cell r="C313">
            <v>0</v>
          </cell>
          <cell r="D313">
            <v>64685.392510256519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535235.35061527276</v>
          </cell>
        </row>
        <row r="314">
          <cell r="A314">
            <v>297</v>
          </cell>
          <cell r="B314">
            <v>49949</v>
          </cell>
          <cell r="C314">
            <v>0</v>
          </cell>
          <cell r="D314">
            <v>64685.392510256519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535235.35061527276</v>
          </cell>
        </row>
        <row r="315">
          <cell r="A315">
            <v>298</v>
          </cell>
          <cell r="B315">
            <v>49980</v>
          </cell>
          <cell r="C315">
            <v>0</v>
          </cell>
          <cell r="D315">
            <v>64685.392510256519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535235.35061527276</v>
          </cell>
        </row>
        <row r="316">
          <cell r="A316">
            <v>299</v>
          </cell>
          <cell r="B316">
            <v>50010</v>
          </cell>
          <cell r="C316">
            <v>0</v>
          </cell>
          <cell r="D316">
            <v>64685.392510256519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535235.35061527276</v>
          </cell>
        </row>
        <row r="317">
          <cell r="A317">
            <v>300</v>
          </cell>
          <cell r="B317">
            <v>50041</v>
          </cell>
          <cell r="C317">
            <v>0</v>
          </cell>
          <cell r="D317">
            <v>64685.392510256519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535235.35061527276</v>
          </cell>
        </row>
        <row r="318">
          <cell r="A318">
            <v>301</v>
          </cell>
          <cell r="B318">
            <v>50072</v>
          </cell>
          <cell r="C318">
            <v>0</v>
          </cell>
          <cell r="D318">
            <v>64685.392510256519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535235.35061527276</v>
          </cell>
        </row>
        <row r="319">
          <cell r="A319">
            <v>302</v>
          </cell>
          <cell r="B319">
            <v>50100</v>
          </cell>
          <cell r="C319">
            <v>0</v>
          </cell>
          <cell r="D319">
            <v>64685.392510256519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535235.35061527276</v>
          </cell>
        </row>
        <row r="320">
          <cell r="A320">
            <v>303</v>
          </cell>
          <cell r="B320">
            <v>50131</v>
          </cell>
          <cell r="C320">
            <v>0</v>
          </cell>
          <cell r="D320">
            <v>64685.392510256519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535235.35061527276</v>
          </cell>
        </row>
        <row r="321">
          <cell r="A321">
            <v>304</v>
          </cell>
          <cell r="B321">
            <v>50161</v>
          </cell>
          <cell r="C321">
            <v>0</v>
          </cell>
          <cell r="D321">
            <v>64685.392510256519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535235.35061527276</v>
          </cell>
        </row>
        <row r="322">
          <cell r="A322">
            <v>305</v>
          </cell>
          <cell r="B322">
            <v>50192</v>
          </cell>
          <cell r="C322">
            <v>0</v>
          </cell>
          <cell r="D322">
            <v>64685.392510256519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535235.35061527276</v>
          </cell>
        </row>
        <row r="323">
          <cell r="A323">
            <v>306</v>
          </cell>
          <cell r="B323">
            <v>50222</v>
          </cell>
          <cell r="C323">
            <v>0</v>
          </cell>
          <cell r="D323">
            <v>64685.392510256519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535235.35061527276</v>
          </cell>
        </row>
        <row r="324">
          <cell r="A324">
            <v>307</v>
          </cell>
          <cell r="B324">
            <v>50253</v>
          </cell>
          <cell r="C324">
            <v>0</v>
          </cell>
          <cell r="D324">
            <v>64685.392510256519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535235.35061527276</v>
          </cell>
        </row>
        <row r="325">
          <cell r="A325">
            <v>308</v>
          </cell>
          <cell r="B325">
            <v>50284</v>
          </cell>
          <cell r="C325">
            <v>0</v>
          </cell>
          <cell r="D325">
            <v>64685.392510256519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535235.35061527276</v>
          </cell>
        </row>
        <row r="326">
          <cell r="A326">
            <v>309</v>
          </cell>
          <cell r="B326">
            <v>50314</v>
          </cell>
          <cell r="C326">
            <v>0</v>
          </cell>
          <cell r="D326">
            <v>64685.392510256519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535235.35061527276</v>
          </cell>
        </row>
        <row r="327">
          <cell r="A327">
            <v>310</v>
          </cell>
          <cell r="B327">
            <v>50345</v>
          </cell>
          <cell r="C327">
            <v>0</v>
          </cell>
          <cell r="D327">
            <v>64685.392510256519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535235.35061527276</v>
          </cell>
        </row>
        <row r="328">
          <cell r="A328">
            <v>311</v>
          </cell>
          <cell r="B328">
            <v>50375</v>
          </cell>
          <cell r="C328">
            <v>0</v>
          </cell>
          <cell r="D328">
            <v>64685.392510256519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535235.35061527276</v>
          </cell>
        </row>
        <row r="329">
          <cell r="A329">
            <v>312</v>
          </cell>
          <cell r="B329">
            <v>50406</v>
          </cell>
          <cell r="C329">
            <v>0</v>
          </cell>
          <cell r="D329">
            <v>64685.392510256519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535235.35061527276</v>
          </cell>
        </row>
        <row r="330">
          <cell r="A330">
            <v>313</v>
          </cell>
          <cell r="B330">
            <v>50437</v>
          </cell>
          <cell r="C330">
            <v>0</v>
          </cell>
          <cell r="D330">
            <v>64685.392510256519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535235.35061527276</v>
          </cell>
        </row>
        <row r="331">
          <cell r="A331">
            <v>314</v>
          </cell>
          <cell r="B331">
            <v>50465</v>
          </cell>
          <cell r="C331">
            <v>0</v>
          </cell>
          <cell r="D331">
            <v>64685.392510256519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535235.35061527276</v>
          </cell>
        </row>
        <row r="332">
          <cell r="A332">
            <v>315</v>
          </cell>
          <cell r="B332">
            <v>50496</v>
          </cell>
          <cell r="C332">
            <v>0</v>
          </cell>
          <cell r="D332">
            <v>64685.392510256519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535235.35061527276</v>
          </cell>
        </row>
        <row r="333">
          <cell r="A333">
            <v>316</v>
          </cell>
          <cell r="B333">
            <v>50526</v>
          </cell>
          <cell r="C333">
            <v>0</v>
          </cell>
          <cell r="D333">
            <v>64685.392510256519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535235.35061527276</v>
          </cell>
        </row>
        <row r="334">
          <cell r="A334">
            <v>317</v>
          </cell>
          <cell r="B334">
            <v>50557</v>
          </cell>
          <cell r="C334">
            <v>0</v>
          </cell>
          <cell r="D334">
            <v>64685.392510256519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535235.35061527276</v>
          </cell>
        </row>
        <row r="335">
          <cell r="A335">
            <v>318</v>
          </cell>
          <cell r="B335">
            <v>50587</v>
          </cell>
          <cell r="C335">
            <v>0</v>
          </cell>
          <cell r="D335">
            <v>64685.392510256519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535235.35061527276</v>
          </cell>
        </row>
        <row r="336">
          <cell r="A336">
            <v>319</v>
          </cell>
          <cell r="B336">
            <v>50618</v>
          </cell>
          <cell r="C336">
            <v>0</v>
          </cell>
          <cell r="D336">
            <v>64685.392510256519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535235.35061527276</v>
          </cell>
        </row>
        <row r="337">
          <cell r="A337">
            <v>320</v>
          </cell>
          <cell r="B337">
            <v>50649</v>
          </cell>
          <cell r="C337">
            <v>0</v>
          </cell>
          <cell r="D337">
            <v>64685.392510256519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535235.35061527276</v>
          </cell>
        </row>
        <row r="338">
          <cell r="A338">
            <v>321</v>
          </cell>
          <cell r="B338">
            <v>50679</v>
          </cell>
          <cell r="C338">
            <v>0</v>
          </cell>
          <cell r="D338">
            <v>64685.392510256519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535235.35061527276</v>
          </cell>
        </row>
        <row r="339">
          <cell r="A339">
            <v>322</v>
          </cell>
          <cell r="B339">
            <v>50710</v>
          </cell>
          <cell r="C339">
            <v>0</v>
          </cell>
          <cell r="D339">
            <v>64685.392510256519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535235.35061527276</v>
          </cell>
        </row>
        <row r="340">
          <cell r="A340">
            <v>323</v>
          </cell>
          <cell r="B340">
            <v>50740</v>
          </cell>
          <cell r="C340">
            <v>0</v>
          </cell>
          <cell r="D340">
            <v>64685.392510256519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535235.35061527276</v>
          </cell>
        </row>
        <row r="341">
          <cell r="A341">
            <v>324</v>
          </cell>
          <cell r="B341">
            <v>50771</v>
          </cell>
          <cell r="C341">
            <v>0</v>
          </cell>
          <cell r="D341">
            <v>64685.392510256519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535235.35061527276</v>
          </cell>
        </row>
        <row r="342">
          <cell r="A342">
            <v>325</v>
          </cell>
          <cell r="B342">
            <v>50802</v>
          </cell>
          <cell r="C342">
            <v>0</v>
          </cell>
          <cell r="D342">
            <v>64685.392510256519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535235.35061527276</v>
          </cell>
        </row>
        <row r="343">
          <cell r="A343">
            <v>326</v>
          </cell>
          <cell r="B343">
            <v>50830</v>
          </cell>
          <cell r="C343">
            <v>0</v>
          </cell>
          <cell r="D343">
            <v>64685.392510256519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535235.35061527276</v>
          </cell>
        </row>
        <row r="344">
          <cell r="A344">
            <v>327</v>
          </cell>
          <cell r="B344">
            <v>50861</v>
          </cell>
          <cell r="C344">
            <v>0</v>
          </cell>
          <cell r="D344">
            <v>64685.392510256519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535235.35061527276</v>
          </cell>
        </row>
        <row r="345">
          <cell r="A345">
            <v>328</v>
          </cell>
          <cell r="B345">
            <v>50891</v>
          </cell>
          <cell r="C345">
            <v>0</v>
          </cell>
          <cell r="D345">
            <v>64685.392510256519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535235.35061527276</v>
          </cell>
        </row>
        <row r="346">
          <cell r="A346">
            <v>329</v>
          </cell>
          <cell r="B346">
            <v>50922</v>
          </cell>
          <cell r="C346">
            <v>0</v>
          </cell>
          <cell r="D346">
            <v>64685.392510256519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535235.35061527276</v>
          </cell>
        </row>
        <row r="347">
          <cell r="A347">
            <v>330</v>
          </cell>
          <cell r="B347">
            <v>50952</v>
          </cell>
          <cell r="C347">
            <v>0</v>
          </cell>
          <cell r="D347">
            <v>64685.392510256519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535235.35061527276</v>
          </cell>
        </row>
        <row r="348">
          <cell r="A348">
            <v>331</v>
          </cell>
          <cell r="B348">
            <v>50983</v>
          </cell>
          <cell r="C348">
            <v>0</v>
          </cell>
          <cell r="D348">
            <v>64685.392510256519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535235.35061527276</v>
          </cell>
        </row>
        <row r="349">
          <cell r="A349">
            <v>332</v>
          </cell>
          <cell r="B349">
            <v>51014</v>
          </cell>
          <cell r="C349">
            <v>0</v>
          </cell>
          <cell r="D349">
            <v>64685.392510256519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535235.35061527276</v>
          </cell>
        </row>
        <row r="350">
          <cell r="A350">
            <v>333</v>
          </cell>
          <cell r="B350">
            <v>51044</v>
          </cell>
          <cell r="C350">
            <v>0</v>
          </cell>
          <cell r="D350">
            <v>64685.392510256519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535235.35061527276</v>
          </cell>
        </row>
        <row r="351">
          <cell r="A351">
            <v>334</v>
          </cell>
          <cell r="B351">
            <v>51075</v>
          </cell>
          <cell r="C351">
            <v>0</v>
          </cell>
          <cell r="D351">
            <v>64685.392510256519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535235.35061527276</v>
          </cell>
        </row>
        <row r="352">
          <cell r="A352">
            <v>335</v>
          </cell>
          <cell r="B352">
            <v>51105</v>
          </cell>
          <cell r="C352">
            <v>0</v>
          </cell>
          <cell r="D352">
            <v>64685.392510256519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535235.35061527276</v>
          </cell>
        </row>
        <row r="353">
          <cell r="A353">
            <v>336</v>
          </cell>
          <cell r="B353">
            <v>51136</v>
          </cell>
          <cell r="C353">
            <v>0</v>
          </cell>
          <cell r="D353">
            <v>64685.392510256519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535235.35061527276</v>
          </cell>
        </row>
        <row r="354">
          <cell r="A354">
            <v>337</v>
          </cell>
          <cell r="B354">
            <v>51167</v>
          </cell>
          <cell r="C354">
            <v>0</v>
          </cell>
          <cell r="D354">
            <v>64685.392510256519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535235.35061527276</v>
          </cell>
        </row>
        <row r="355">
          <cell r="A355">
            <v>338</v>
          </cell>
          <cell r="B355">
            <v>51196</v>
          </cell>
          <cell r="C355">
            <v>0</v>
          </cell>
          <cell r="D355">
            <v>64685.392510256519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535235.35061527276</v>
          </cell>
        </row>
        <row r="356">
          <cell r="A356">
            <v>339</v>
          </cell>
          <cell r="B356">
            <v>51227</v>
          </cell>
          <cell r="C356">
            <v>0</v>
          </cell>
          <cell r="D356">
            <v>64685.392510256519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535235.35061527276</v>
          </cell>
        </row>
        <row r="357">
          <cell r="A357">
            <v>340</v>
          </cell>
          <cell r="B357">
            <v>51257</v>
          </cell>
          <cell r="C357">
            <v>0</v>
          </cell>
          <cell r="D357">
            <v>64685.392510256519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535235.35061527276</v>
          </cell>
        </row>
        <row r="358">
          <cell r="A358">
            <v>341</v>
          </cell>
          <cell r="B358">
            <v>51288</v>
          </cell>
          <cell r="C358">
            <v>0</v>
          </cell>
          <cell r="D358">
            <v>64685.392510256519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535235.35061527276</v>
          </cell>
        </row>
        <row r="359">
          <cell r="A359">
            <v>342</v>
          </cell>
          <cell r="B359">
            <v>51318</v>
          </cell>
          <cell r="C359">
            <v>0</v>
          </cell>
          <cell r="D359">
            <v>64685.392510256519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535235.35061527276</v>
          </cell>
        </row>
        <row r="360">
          <cell r="A360">
            <v>343</v>
          </cell>
          <cell r="B360">
            <v>51349</v>
          </cell>
          <cell r="C360">
            <v>0</v>
          </cell>
          <cell r="D360">
            <v>64685.392510256519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535235.35061527276</v>
          </cell>
        </row>
        <row r="361">
          <cell r="A361">
            <v>344</v>
          </cell>
          <cell r="B361">
            <v>51380</v>
          </cell>
          <cell r="C361">
            <v>0</v>
          </cell>
          <cell r="D361">
            <v>64685.392510256519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535235.35061527276</v>
          </cell>
        </row>
        <row r="362">
          <cell r="A362">
            <v>345</v>
          </cell>
          <cell r="B362">
            <v>51410</v>
          </cell>
          <cell r="C362">
            <v>0</v>
          </cell>
          <cell r="D362">
            <v>64685.392510256519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535235.35061527276</v>
          </cell>
        </row>
        <row r="363">
          <cell r="A363">
            <v>346</v>
          </cell>
          <cell r="B363">
            <v>51441</v>
          </cell>
          <cell r="C363">
            <v>0</v>
          </cell>
          <cell r="D363">
            <v>64685.392510256519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535235.35061527276</v>
          </cell>
        </row>
        <row r="364">
          <cell r="A364">
            <v>347</v>
          </cell>
          <cell r="B364">
            <v>51471</v>
          </cell>
          <cell r="C364">
            <v>0</v>
          </cell>
          <cell r="D364">
            <v>64685.392510256519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535235.35061527276</v>
          </cell>
        </row>
        <row r="365">
          <cell r="A365">
            <v>348</v>
          </cell>
          <cell r="B365">
            <v>51502</v>
          </cell>
          <cell r="C365">
            <v>0</v>
          </cell>
          <cell r="D365">
            <v>64685.392510256519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535235.35061527276</v>
          </cell>
        </row>
        <row r="366">
          <cell r="A366">
            <v>349</v>
          </cell>
          <cell r="B366">
            <v>51533</v>
          </cell>
          <cell r="C366">
            <v>0</v>
          </cell>
          <cell r="D366">
            <v>64685.392510256519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535235.35061527276</v>
          </cell>
        </row>
        <row r="367">
          <cell r="A367">
            <v>350</v>
          </cell>
          <cell r="B367">
            <v>51561</v>
          </cell>
          <cell r="C367">
            <v>0</v>
          </cell>
          <cell r="D367">
            <v>64685.392510256519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535235.35061527276</v>
          </cell>
        </row>
        <row r="368">
          <cell r="A368">
            <v>351</v>
          </cell>
          <cell r="B368">
            <v>51592</v>
          </cell>
          <cell r="C368">
            <v>0</v>
          </cell>
          <cell r="D368">
            <v>64685.392510256519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535235.35061527276</v>
          </cell>
        </row>
        <row r="369">
          <cell r="A369">
            <v>352</v>
          </cell>
          <cell r="B369">
            <v>51622</v>
          </cell>
          <cell r="C369">
            <v>0</v>
          </cell>
          <cell r="D369">
            <v>64685.392510256519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535235.35061527276</v>
          </cell>
        </row>
        <row r="370">
          <cell r="A370">
            <v>353</v>
          </cell>
          <cell r="B370">
            <v>51653</v>
          </cell>
          <cell r="C370">
            <v>0</v>
          </cell>
          <cell r="D370">
            <v>64685.392510256519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535235.35061527276</v>
          </cell>
        </row>
        <row r="371">
          <cell r="A371">
            <v>354</v>
          </cell>
          <cell r="B371">
            <v>51683</v>
          </cell>
          <cell r="C371">
            <v>0</v>
          </cell>
          <cell r="D371">
            <v>64685.392510256519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535235.35061527276</v>
          </cell>
        </row>
        <row r="372">
          <cell r="A372">
            <v>355</v>
          </cell>
          <cell r="B372">
            <v>51714</v>
          </cell>
          <cell r="C372">
            <v>0</v>
          </cell>
          <cell r="D372">
            <v>64685.392510256519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535235.35061527276</v>
          </cell>
        </row>
        <row r="373">
          <cell r="A373">
            <v>356</v>
          </cell>
          <cell r="B373">
            <v>51745</v>
          </cell>
          <cell r="C373">
            <v>0</v>
          </cell>
          <cell r="D373">
            <v>64685.392510256519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535235.35061527276</v>
          </cell>
        </row>
        <row r="374">
          <cell r="A374">
            <v>357</v>
          </cell>
          <cell r="B374">
            <v>51775</v>
          </cell>
          <cell r="C374">
            <v>0</v>
          </cell>
          <cell r="D374">
            <v>64685.392510256519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535235.35061527276</v>
          </cell>
        </row>
        <row r="375">
          <cell r="A375">
            <v>358</v>
          </cell>
          <cell r="B375">
            <v>51806</v>
          </cell>
          <cell r="C375">
            <v>0</v>
          </cell>
          <cell r="D375">
            <v>64685.392510256519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535235.35061527276</v>
          </cell>
        </row>
        <row r="376">
          <cell r="A376">
            <v>359</v>
          </cell>
          <cell r="B376">
            <v>51836</v>
          </cell>
          <cell r="C376">
            <v>0</v>
          </cell>
          <cell r="D376">
            <v>64685.392510256519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535235.35061527276</v>
          </cell>
        </row>
        <row r="377">
          <cell r="A377">
            <v>360</v>
          </cell>
          <cell r="B377">
            <v>51867</v>
          </cell>
          <cell r="C377">
            <v>0</v>
          </cell>
          <cell r="D377">
            <v>64685.392510256519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535235.35061527276</v>
          </cell>
        </row>
        <row r="378">
          <cell r="A378">
            <v>361</v>
          </cell>
          <cell r="B378">
            <v>51898</v>
          </cell>
          <cell r="C378">
            <v>0</v>
          </cell>
          <cell r="D378">
            <v>64685.392510256519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535235.35061527276</v>
          </cell>
        </row>
        <row r="379">
          <cell r="A379">
            <v>362</v>
          </cell>
          <cell r="B379">
            <v>51926</v>
          </cell>
          <cell r="C379">
            <v>0</v>
          </cell>
          <cell r="D379">
            <v>64685.392510256519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535235.35061527276</v>
          </cell>
        </row>
        <row r="380">
          <cell r="A380">
            <v>363</v>
          </cell>
          <cell r="B380">
            <v>51957</v>
          </cell>
          <cell r="C380">
            <v>0</v>
          </cell>
          <cell r="D380">
            <v>64685.392510256519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535235.35061527276</v>
          </cell>
        </row>
        <row r="381">
          <cell r="A381">
            <v>364</v>
          </cell>
          <cell r="B381">
            <v>51987</v>
          </cell>
          <cell r="C381">
            <v>0</v>
          </cell>
          <cell r="D381">
            <v>64685.392510256519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535235.35061527276</v>
          </cell>
        </row>
        <row r="382">
          <cell r="A382">
            <v>365</v>
          </cell>
          <cell r="B382">
            <v>52018</v>
          </cell>
          <cell r="C382">
            <v>0</v>
          </cell>
          <cell r="D382">
            <v>64685.392510256519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535235.35061527276</v>
          </cell>
        </row>
        <row r="383">
          <cell r="A383">
            <v>366</v>
          </cell>
          <cell r="B383">
            <v>52048</v>
          </cell>
          <cell r="C383">
            <v>0</v>
          </cell>
          <cell r="D383">
            <v>64685.392510256519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535235.35061527276</v>
          </cell>
        </row>
        <row r="384">
          <cell r="A384">
            <v>367</v>
          </cell>
          <cell r="B384">
            <v>52079</v>
          </cell>
          <cell r="C384">
            <v>0</v>
          </cell>
          <cell r="D384">
            <v>64685.392510256519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535235.35061527276</v>
          </cell>
        </row>
        <row r="385">
          <cell r="A385">
            <v>368</v>
          </cell>
          <cell r="B385">
            <v>52110</v>
          </cell>
          <cell r="C385">
            <v>0</v>
          </cell>
          <cell r="D385">
            <v>64685.392510256519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535235.35061527276</v>
          </cell>
        </row>
        <row r="386">
          <cell r="A386">
            <v>369</v>
          </cell>
          <cell r="B386">
            <v>52140</v>
          </cell>
          <cell r="C386">
            <v>0</v>
          </cell>
          <cell r="D386">
            <v>64685.392510256519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535235.35061527276</v>
          </cell>
        </row>
        <row r="387">
          <cell r="A387">
            <v>370</v>
          </cell>
          <cell r="B387">
            <v>52171</v>
          </cell>
          <cell r="C387">
            <v>0</v>
          </cell>
          <cell r="D387">
            <v>64685.392510256519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535235.35061527276</v>
          </cell>
        </row>
        <row r="388">
          <cell r="A388">
            <v>371</v>
          </cell>
          <cell r="B388">
            <v>52201</v>
          </cell>
          <cell r="C388">
            <v>0</v>
          </cell>
          <cell r="D388">
            <v>64685.392510256519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535235.35061527276</v>
          </cell>
        </row>
        <row r="389">
          <cell r="A389">
            <v>372</v>
          </cell>
          <cell r="B389">
            <v>52232</v>
          </cell>
          <cell r="C389">
            <v>0</v>
          </cell>
          <cell r="D389">
            <v>64685.392510256519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535235.35061527276</v>
          </cell>
        </row>
        <row r="390">
          <cell r="A390">
            <v>373</v>
          </cell>
          <cell r="B390">
            <v>52263</v>
          </cell>
          <cell r="C390">
            <v>0</v>
          </cell>
          <cell r="D390">
            <v>64685.392510256519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535235.35061527276</v>
          </cell>
        </row>
        <row r="391">
          <cell r="A391">
            <v>374</v>
          </cell>
          <cell r="B391">
            <v>52291</v>
          </cell>
          <cell r="C391">
            <v>0</v>
          </cell>
          <cell r="D391">
            <v>64685.392510256519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535235.35061527276</v>
          </cell>
        </row>
        <row r="392">
          <cell r="A392">
            <v>375</v>
          </cell>
          <cell r="B392">
            <v>52322</v>
          </cell>
          <cell r="C392">
            <v>0</v>
          </cell>
          <cell r="D392">
            <v>64685.392510256519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535235.35061527276</v>
          </cell>
        </row>
        <row r="393">
          <cell r="A393">
            <v>376</v>
          </cell>
          <cell r="B393">
            <v>52352</v>
          </cell>
          <cell r="C393">
            <v>0</v>
          </cell>
          <cell r="D393">
            <v>64685.392510256519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535235.35061527276</v>
          </cell>
        </row>
        <row r="394">
          <cell r="A394">
            <v>377</v>
          </cell>
          <cell r="B394">
            <v>52383</v>
          </cell>
          <cell r="C394">
            <v>0</v>
          </cell>
          <cell r="D394">
            <v>64685.392510256519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535235.35061527276</v>
          </cell>
        </row>
        <row r="395">
          <cell r="A395">
            <v>378</v>
          </cell>
          <cell r="B395">
            <v>52413</v>
          </cell>
          <cell r="C395">
            <v>0</v>
          </cell>
          <cell r="D395">
            <v>64685.392510256519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535235.35061527276</v>
          </cell>
        </row>
        <row r="396">
          <cell r="A396">
            <v>379</v>
          </cell>
          <cell r="B396">
            <v>52444</v>
          </cell>
          <cell r="C396">
            <v>0</v>
          </cell>
          <cell r="D396">
            <v>64685.392510256519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535235.35061527276</v>
          </cell>
        </row>
        <row r="397">
          <cell r="A397">
            <v>380</v>
          </cell>
          <cell r="B397">
            <v>52475</v>
          </cell>
          <cell r="C397">
            <v>0</v>
          </cell>
          <cell r="D397">
            <v>64685.392510256519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535235.35061527276</v>
          </cell>
        </row>
        <row r="398">
          <cell r="A398">
            <v>381</v>
          </cell>
          <cell r="B398">
            <v>52505</v>
          </cell>
          <cell r="C398">
            <v>0</v>
          </cell>
          <cell r="D398">
            <v>64685.392510256519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535235.35061527276</v>
          </cell>
        </row>
        <row r="399">
          <cell r="A399">
            <v>382</v>
          </cell>
          <cell r="B399">
            <v>52536</v>
          </cell>
          <cell r="C399">
            <v>0</v>
          </cell>
          <cell r="D399">
            <v>64685.392510256519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535235.35061527276</v>
          </cell>
        </row>
        <row r="400">
          <cell r="A400">
            <v>383</v>
          </cell>
          <cell r="B400">
            <v>52566</v>
          </cell>
          <cell r="C400">
            <v>0</v>
          </cell>
          <cell r="D400">
            <v>64685.392510256519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535235.35061527276</v>
          </cell>
        </row>
        <row r="401">
          <cell r="A401">
            <v>384</v>
          </cell>
          <cell r="B401">
            <v>52597</v>
          </cell>
          <cell r="C401">
            <v>0</v>
          </cell>
          <cell r="D401">
            <v>64685.392510256519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535235.35061527276</v>
          </cell>
        </row>
        <row r="402">
          <cell r="A402">
            <v>385</v>
          </cell>
          <cell r="B402">
            <v>52628</v>
          </cell>
          <cell r="C402">
            <v>0</v>
          </cell>
          <cell r="D402">
            <v>64685.392510256519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535235.35061527276</v>
          </cell>
        </row>
        <row r="403">
          <cell r="A403">
            <v>386</v>
          </cell>
          <cell r="B403">
            <v>52657</v>
          </cell>
          <cell r="C403">
            <v>0</v>
          </cell>
          <cell r="D403">
            <v>64685.392510256519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535235.35061527276</v>
          </cell>
        </row>
        <row r="404">
          <cell r="A404">
            <v>387</v>
          </cell>
          <cell r="B404">
            <v>52688</v>
          </cell>
          <cell r="C404">
            <v>0</v>
          </cell>
          <cell r="D404">
            <v>64685.392510256519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535235.35061527276</v>
          </cell>
        </row>
        <row r="405">
          <cell r="A405">
            <v>388</v>
          </cell>
          <cell r="B405">
            <v>52718</v>
          </cell>
          <cell r="C405">
            <v>0</v>
          </cell>
          <cell r="D405">
            <v>64685.392510256519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535235.35061527276</v>
          </cell>
        </row>
        <row r="406">
          <cell r="A406">
            <v>389</v>
          </cell>
          <cell r="B406">
            <v>52749</v>
          </cell>
          <cell r="C406">
            <v>0</v>
          </cell>
          <cell r="D406">
            <v>64685.392510256519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535235.35061527276</v>
          </cell>
        </row>
        <row r="407">
          <cell r="A407">
            <v>390</v>
          </cell>
          <cell r="B407">
            <v>52779</v>
          </cell>
          <cell r="C407">
            <v>0</v>
          </cell>
          <cell r="D407">
            <v>64685.392510256519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535235.35061527276</v>
          </cell>
        </row>
        <row r="408">
          <cell r="A408">
            <v>391</v>
          </cell>
          <cell r="B408">
            <v>52810</v>
          </cell>
          <cell r="C408">
            <v>0</v>
          </cell>
          <cell r="D408">
            <v>64685.392510256519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535235.35061527276</v>
          </cell>
        </row>
        <row r="409">
          <cell r="A409">
            <v>392</v>
          </cell>
          <cell r="B409">
            <v>52841</v>
          </cell>
          <cell r="C409">
            <v>0</v>
          </cell>
          <cell r="D409">
            <v>64685.392510256519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535235.35061527276</v>
          </cell>
        </row>
        <row r="410">
          <cell r="A410">
            <v>393</v>
          </cell>
          <cell r="B410">
            <v>52871</v>
          </cell>
          <cell r="C410">
            <v>0</v>
          </cell>
          <cell r="D410">
            <v>64685.392510256519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535235.35061527276</v>
          </cell>
        </row>
        <row r="411">
          <cell r="A411">
            <v>394</v>
          </cell>
          <cell r="B411">
            <v>52902</v>
          </cell>
          <cell r="C411">
            <v>0</v>
          </cell>
          <cell r="D411">
            <v>64685.392510256519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535235.35061527276</v>
          </cell>
        </row>
        <row r="412">
          <cell r="A412">
            <v>395</v>
          </cell>
          <cell r="B412">
            <v>52932</v>
          </cell>
          <cell r="C412">
            <v>0</v>
          </cell>
          <cell r="D412">
            <v>64685.392510256519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535235.35061527276</v>
          </cell>
        </row>
        <row r="413">
          <cell r="A413">
            <v>396</v>
          </cell>
          <cell r="B413">
            <v>52963</v>
          </cell>
          <cell r="C413">
            <v>0</v>
          </cell>
          <cell r="D413">
            <v>64685.392510256519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535235.35061527276</v>
          </cell>
        </row>
        <row r="414">
          <cell r="A414">
            <v>397</v>
          </cell>
          <cell r="B414">
            <v>52994</v>
          </cell>
          <cell r="C414">
            <v>0</v>
          </cell>
          <cell r="D414">
            <v>64685.392510256519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535235.35061527276</v>
          </cell>
        </row>
        <row r="415">
          <cell r="A415">
            <v>398</v>
          </cell>
          <cell r="B415">
            <v>53022</v>
          </cell>
          <cell r="C415">
            <v>0</v>
          </cell>
          <cell r="D415">
            <v>64685.392510256519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535235.35061527276</v>
          </cell>
        </row>
        <row r="416">
          <cell r="A416">
            <v>399</v>
          </cell>
          <cell r="B416">
            <v>53053</v>
          </cell>
          <cell r="C416">
            <v>0</v>
          </cell>
          <cell r="D416">
            <v>64685.392510256519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535235.35061527276</v>
          </cell>
        </row>
        <row r="417">
          <cell r="A417">
            <v>400</v>
          </cell>
          <cell r="B417">
            <v>53083</v>
          </cell>
          <cell r="C417">
            <v>0</v>
          </cell>
          <cell r="D417">
            <v>64685.392510256519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535235.35061527276</v>
          </cell>
        </row>
        <row r="418">
          <cell r="A418">
            <v>401</v>
          </cell>
          <cell r="B418">
            <v>53114</v>
          </cell>
          <cell r="C418">
            <v>0</v>
          </cell>
          <cell r="D418">
            <v>64685.392510256519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535235.35061527276</v>
          </cell>
        </row>
        <row r="419">
          <cell r="A419">
            <v>402</v>
          </cell>
          <cell r="B419">
            <v>53144</v>
          </cell>
          <cell r="C419">
            <v>0</v>
          </cell>
          <cell r="D419">
            <v>64685.392510256519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535235.35061527276</v>
          </cell>
        </row>
        <row r="420">
          <cell r="A420">
            <v>403</v>
          </cell>
          <cell r="B420">
            <v>53175</v>
          </cell>
          <cell r="C420">
            <v>0</v>
          </cell>
          <cell r="D420">
            <v>64685.392510256519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535235.35061527276</v>
          </cell>
        </row>
        <row r="421">
          <cell r="A421">
            <v>404</v>
          </cell>
          <cell r="B421">
            <v>53206</v>
          </cell>
          <cell r="C421">
            <v>0</v>
          </cell>
          <cell r="D421">
            <v>64685.392510256519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535235.35061527276</v>
          </cell>
        </row>
        <row r="422">
          <cell r="A422">
            <v>405</v>
          </cell>
          <cell r="B422">
            <v>53236</v>
          </cell>
          <cell r="C422">
            <v>0</v>
          </cell>
          <cell r="D422">
            <v>64685.392510256519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535235.35061527276</v>
          </cell>
        </row>
        <row r="423">
          <cell r="A423">
            <v>406</v>
          </cell>
          <cell r="B423">
            <v>53267</v>
          </cell>
          <cell r="C423">
            <v>0</v>
          </cell>
          <cell r="D423">
            <v>64685.392510256519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535235.35061527276</v>
          </cell>
        </row>
        <row r="424">
          <cell r="A424">
            <v>407</v>
          </cell>
          <cell r="B424">
            <v>53297</v>
          </cell>
          <cell r="C424">
            <v>0</v>
          </cell>
          <cell r="D424">
            <v>64685.392510256519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535235.35061527276</v>
          </cell>
        </row>
        <row r="425">
          <cell r="A425">
            <v>408</v>
          </cell>
          <cell r="B425">
            <v>53328</v>
          </cell>
          <cell r="C425">
            <v>0</v>
          </cell>
          <cell r="D425">
            <v>64685.392510256519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535235.35061527276</v>
          </cell>
        </row>
        <row r="426">
          <cell r="A426">
            <v>409</v>
          </cell>
          <cell r="B426">
            <v>53359</v>
          </cell>
          <cell r="C426">
            <v>0</v>
          </cell>
          <cell r="D426">
            <v>64685.392510256519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535235.35061527276</v>
          </cell>
        </row>
        <row r="427">
          <cell r="A427">
            <v>410</v>
          </cell>
          <cell r="B427">
            <v>53387</v>
          </cell>
          <cell r="C427">
            <v>0</v>
          </cell>
          <cell r="D427">
            <v>64685.392510256519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535235.35061527276</v>
          </cell>
        </row>
        <row r="428">
          <cell r="A428">
            <v>411</v>
          </cell>
          <cell r="B428">
            <v>53418</v>
          </cell>
          <cell r="C428">
            <v>0</v>
          </cell>
          <cell r="D428">
            <v>64685.392510256519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535235.35061527276</v>
          </cell>
        </row>
        <row r="429">
          <cell r="A429">
            <v>412</v>
          </cell>
          <cell r="B429">
            <v>53448</v>
          </cell>
          <cell r="C429">
            <v>0</v>
          </cell>
          <cell r="D429">
            <v>64685.392510256519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535235.35061527276</v>
          </cell>
        </row>
        <row r="430">
          <cell r="A430">
            <v>413</v>
          </cell>
          <cell r="B430">
            <v>53479</v>
          </cell>
          <cell r="C430">
            <v>0</v>
          </cell>
          <cell r="D430">
            <v>64685.392510256519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535235.35061527276</v>
          </cell>
        </row>
        <row r="431">
          <cell r="A431">
            <v>414</v>
          </cell>
          <cell r="B431">
            <v>53509</v>
          </cell>
          <cell r="C431">
            <v>0</v>
          </cell>
          <cell r="D431">
            <v>64685.392510256519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535235.35061527276</v>
          </cell>
        </row>
        <row r="432">
          <cell r="A432">
            <v>415</v>
          </cell>
          <cell r="B432">
            <v>53540</v>
          </cell>
          <cell r="C432">
            <v>0</v>
          </cell>
          <cell r="D432">
            <v>64685.392510256519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535235.35061527276</v>
          </cell>
        </row>
        <row r="433">
          <cell r="A433">
            <v>416</v>
          </cell>
          <cell r="B433">
            <v>53571</v>
          </cell>
          <cell r="C433">
            <v>0</v>
          </cell>
          <cell r="D433">
            <v>64685.392510256519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535235.35061527276</v>
          </cell>
        </row>
        <row r="434">
          <cell r="A434">
            <v>417</v>
          </cell>
          <cell r="B434">
            <v>53601</v>
          </cell>
          <cell r="C434">
            <v>0</v>
          </cell>
          <cell r="D434">
            <v>64685.392510256519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535235.35061527276</v>
          </cell>
        </row>
        <row r="435">
          <cell r="A435">
            <v>418</v>
          </cell>
          <cell r="B435">
            <v>53632</v>
          </cell>
          <cell r="C435">
            <v>0</v>
          </cell>
          <cell r="D435">
            <v>64685.392510256519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535235.35061527276</v>
          </cell>
        </row>
        <row r="436">
          <cell r="A436">
            <v>419</v>
          </cell>
          <cell r="B436">
            <v>53662</v>
          </cell>
          <cell r="C436">
            <v>0</v>
          </cell>
          <cell r="D436">
            <v>64685.392510256519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535235.35061527276</v>
          </cell>
        </row>
        <row r="437">
          <cell r="A437">
            <v>420</v>
          </cell>
          <cell r="B437">
            <v>53693</v>
          </cell>
          <cell r="C437">
            <v>0</v>
          </cell>
          <cell r="D437">
            <v>64685.392510256519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535235.35061527276</v>
          </cell>
        </row>
        <row r="438">
          <cell r="A438">
            <v>421</v>
          </cell>
          <cell r="B438">
            <v>53724</v>
          </cell>
          <cell r="C438">
            <v>0</v>
          </cell>
          <cell r="D438">
            <v>64685.392510256519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535235.35061527276</v>
          </cell>
        </row>
        <row r="439">
          <cell r="A439">
            <v>422</v>
          </cell>
          <cell r="B439">
            <v>53752</v>
          </cell>
          <cell r="C439">
            <v>0</v>
          </cell>
          <cell r="D439">
            <v>64685.392510256519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535235.35061527276</v>
          </cell>
        </row>
        <row r="440">
          <cell r="A440">
            <v>423</v>
          </cell>
          <cell r="B440">
            <v>53783</v>
          </cell>
          <cell r="C440">
            <v>0</v>
          </cell>
          <cell r="D440">
            <v>64685.392510256519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535235.35061527276</v>
          </cell>
        </row>
        <row r="441">
          <cell r="A441">
            <v>424</v>
          </cell>
          <cell r="B441">
            <v>53813</v>
          </cell>
          <cell r="C441">
            <v>0</v>
          </cell>
          <cell r="D441">
            <v>64685.392510256519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535235.35061527276</v>
          </cell>
        </row>
        <row r="442">
          <cell r="A442">
            <v>425</v>
          </cell>
          <cell r="B442">
            <v>53844</v>
          </cell>
          <cell r="C442">
            <v>0</v>
          </cell>
          <cell r="D442">
            <v>64685.392510256519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535235.35061527276</v>
          </cell>
        </row>
        <row r="443">
          <cell r="A443">
            <v>426</v>
          </cell>
          <cell r="B443">
            <v>53874</v>
          </cell>
          <cell r="C443">
            <v>0</v>
          </cell>
          <cell r="D443">
            <v>64685.392510256519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535235.35061527276</v>
          </cell>
        </row>
        <row r="444">
          <cell r="A444">
            <v>427</v>
          </cell>
          <cell r="B444">
            <v>53905</v>
          </cell>
          <cell r="C444">
            <v>0</v>
          </cell>
          <cell r="D444">
            <v>64685.392510256519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535235.35061527276</v>
          </cell>
        </row>
        <row r="445">
          <cell r="A445">
            <v>428</v>
          </cell>
          <cell r="B445">
            <v>53936</v>
          </cell>
          <cell r="C445">
            <v>0</v>
          </cell>
          <cell r="D445">
            <v>64685.392510256519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535235.35061527276</v>
          </cell>
        </row>
        <row r="446">
          <cell r="A446">
            <v>429</v>
          </cell>
          <cell r="B446">
            <v>53966</v>
          </cell>
          <cell r="C446">
            <v>0</v>
          </cell>
          <cell r="D446">
            <v>64685.392510256519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535235.35061527276</v>
          </cell>
        </row>
        <row r="447">
          <cell r="A447">
            <v>430</v>
          </cell>
          <cell r="B447">
            <v>53997</v>
          </cell>
          <cell r="C447">
            <v>0</v>
          </cell>
          <cell r="D447">
            <v>64685.392510256519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535235.35061527276</v>
          </cell>
        </row>
        <row r="448">
          <cell r="A448">
            <v>431</v>
          </cell>
          <cell r="B448">
            <v>54027</v>
          </cell>
          <cell r="C448">
            <v>0</v>
          </cell>
          <cell r="D448">
            <v>64685.392510256519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535235.35061527276</v>
          </cell>
        </row>
        <row r="449">
          <cell r="A449">
            <v>432</v>
          </cell>
          <cell r="B449">
            <v>54058</v>
          </cell>
          <cell r="C449">
            <v>0</v>
          </cell>
          <cell r="D449">
            <v>64685.392510256519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535235.35061527276</v>
          </cell>
        </row>
        <row r="450">
          <cell r="A450">
            <v>433</v>
          </cell>
          <cell r="B450">
            <v>54089</v>
          </cell>
          <cell r="C450">
            <v>0</v>
          </cell>
          <cell r="D450">
            <v>64685.392510256519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535235.35061527276</v>
          </cell>
        </row>
        <row r="451">
          <cell r="A451">
            <v>434</v>
          </cell>
          <cell r="B451">
            <v>54118</v>
          </cell>
          <cell r="C451">
            <v>0</v>
          </cell>
          <cell r="D451">
            <v>64685.392510256519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535235.35061527276</v>
          </cell>
        </row>
        <row r="452">
          <cell r="A452">
            <v>435</v>
          </cell>
          <cell r="B452">
            <v>54149</v>
          </cell>
          <cell r="C452">
            <v>0</v>
          </cell>
          <cell r="D452">
            <v>64685.392510256519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535235.35061527276</v>
          </cell>
        </row>
        <row r="453">
          <cell r="A453">
            <v>436</v>
          </cell>
          <cell r="B453">
            <v>54179</v>
          </cell>
          <cell r="C453">
            <v>0</v>
          </cell>
          <cell r="D453">
            <v>64685.392510256519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535235.35061527276</v>
          </cell>
        </row>
        <row r="454">
          <cell r="A454">
            <v>437</v>
          </cell>
          <cell r="B454">
            <v>54210</v>
          </cell>
          <cell r="C454">
            <v>0</v>
          </cell>
          <cell r="D454">
            <v>64685.392510256519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535235.35061527276</v>
          </cell>
        </row>
        <row r="455">
          <cell r="A455">
            <v>438</v>
          </cell>
          <cell r="B455">
            <v>54240</v>
          </cell>
          <cell r="C455">
            <v>0</v>
          </cell>
          <cell r="D455">
            <v>64685.392510256519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535235.35061527276</v>
          </cell>
        </row>
        <row r="456">
          <cell r="A456">
            <v>439</v>
          </cell>
          <cell r="B456">
            <v>54271</v>
          </cell>
          <cell r="C456">
            <v>0</v>
          </cell>
          <cell r="D456">
            <v>64685.392510256519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535235.35061527276</v>
          </cell>
        </row>
        <row r="457">
          <cell r="A457">
            <v>440</v>
          </cell>
          <cell r="B457">
            <v>54302</v>
          </cell>
          <cell r="C457">
            <v>0</v>
          </cell>
          <cell r="D457">
            <v>64685.392510256519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535235.35061527276</v>
          </cell>
        </row>
        <row r="458">
          <cell r="A458">
            <v>441</v>
          </cell>
          <cell r="B458">
            <v>54332</v>
          </cell>
          <cell r="C458">
            <v>0</v>
          </cell>
          <cell r="D458">
            <v>64685.392510256519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535235.35061527276</v>
          </cell>
        </row>
        <row r="459">
          <cell r="A459">
            <v>442</v>
          </cell>
          <cell r="B459">
            <v>54363</v>
          </cell>
          <cell r="C459">
            <v>0</v>
          </cell>
          <cell r="D459">
            <v>64685.392510256519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535235.35061527276</v>
          </cell>
        </row>
        <row r="460">
          <cell r="A460">
            <v>443</v>
          </cell>
          <cell r="B460">
            <v>54393</v>
          </cell>
          <cell r="C460">
            <v>0</v>
          </cell>
          <cell r="D460">
            <v>64685.392510256519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535235.35061527276</v>
          </cell>
        </row>
        <row r="461">
          <cell r="A461">
            <v>444</v>
          </cell>
          <cell r="B461">
            <v>54424</v>
          </cell>
          <cell r="C461">
            <v>0</v>
          </cell>
          <cell r="D461">
            <v>64685.392510256519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535235.35061527276</v>
          </cell>
        </row>
        <row r="462">
          <cell r="A462">
            <v>445</v>
          </cell>
          <cell r="B462">
            <v>54455</v>
          </cell>
          <cell r="C462">
            <v>0</v>
          </cell>
          <cell r="D462">
            <v>64685.392510256519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535235.35061527276</v>
          </cell>
        </row>
        <row r="463">
          <cell r="A463">
            <v>446</v>
          </cell>
          <cell r="B463">
            <v>54483</v>
          </cell>
          <cell r="C463">
            <v>0</v>
          </cell>
          <cell r="D463">
            <v>64685.392510256519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535235.35061527276</v>
          </cell>
        </row>
        <row r="464">
          <cell r="A464">
            <v>447</v>
          </cell>
          <cell r="B464">
            <v>54514</v>
          </cell>
          <cell r="C464">
            <v>0</v>
          </cell>
          <cell r="D464">
            <v>64685.392510256519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535235.35061527276</v>
          </cell>
        </row>
        <row r="465">
          <cell r="A465">
            <v>448</v>
          </cell>
          <cell r="B465">
            <v>54544</v>
          </cell>
          <cell r="C465">
            <v>0</v>
          </cell>
          <cell r="D465">
            <v>64685.392510256519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535235.35061527276</v>
          </cell>
        </row>
        <row r="466">
          <cell r="A466">
            <v>449</v>
          </cell>
          <cell r="B466">
            <v>54575</v>
          </cell>
          <cell r="C466">
            <v>0</v>
          </cell>
          <cell r="D466">
            <v>64685.392510256519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535235.35061527276</v>
          </cell>
        </row>
        <row r="467">
          <cell r="A467">
            <v>450</v>
          </cell>
          <cell r="B467">
            <v>54605</v>
          </cell>
          <cell r="C467">
            <v>0</v>
          </cell>
          <cell r="D467">
            <v>64685.392510256519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535235.35061527276</v>
          </cell>
        </row>
        <row r="468">
          <cell r="A468">
            <v>451</v>
          </cell>
          <cell r="B468">
            <v>54636</v>
          </cell>
          <cell r="C468">
            <v>0</v>
          </cell>
          <cell r="D468">
            <v>64685.392510256519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535235.35061527276</v>
          </cell>
        </row>
        <row r="469">
          <cell r="A469">
            <v>452</v>
          </cell>
          <cell r="B469">
            <v>54667</v>
          </cell>
          <cell r="C469">
            <v>0</v>
          </cell>
          <cell r="D469">
            <v>64685.392510256519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535235.35061527276</v>
          </cell>
        </row>
        <row r="470">
          <cell r="A470">
            <v>453</v>
          </cell>
          <cell r="B470">
            <v>54697</v>
          </cell>
          <cell r="C470">
            <v>0</v>
          </cell>
          <cell r="D470">
            <v>64685.392510256519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535235.35061527276</v>
          </cell>
        </row>
        <row r="471">
          <cell r="A471">
            <v>454</v>
          </cell>
          <cell r="B471">
            <v>54728</v>
          </cell>
          <cell r="C471">
            <v>0</v>
          </cell>
          <cell r="D471">
            <v>64685.392510256519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535235.35061527276</v>
          </cell>
        </row>
        <row r="472">
          <cell r="A472">
            <v>455</v>
          </cell>
          <cell r="B472">
            <v>54758</v>
          </cell>
          <cell r="C472">
            <v>0</v>
          </cell>
          <cell r="D472">
            <v>64685.392510256519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535235.35061527276</v>
          </cell>
        </row>
        <row r="473">
          <cell r="A473">
            <v>456</v>
          </cell>
          <cell r="B473">
            <v>54789</v>
          </cell>
          <cell r="C473">
            <v>0</v>
          </cell>
          <cell r="D473">
            <v>64685.392510256519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535235.35061527276</v>
          </cell>
        </row>
        <row r="474">
          <cell r="A474">
            <v>457</v>
          </cell>
          <cell r="B474">
            <v>54820</v>
          </cell>
          <cell r="C474">
            <v>0</v>
          </cell>
          <cell r="D474">
            <v>64685.392510256519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535235.35061527276</v>
          </cell>
        </row>
        <row r="475">
          <cell r="A475">
            <v>458</v>
          </cell>
          <cell r="B475">
            <v>54848</v>
          </cell>
          <cell r="C475">
            <v>0</v>
          </cell>
          <cell r="D475">
            <v>64685.392510256519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535235.35061527276</v>
          </cell>
        </row>
        <row r="476">
          <cell r="A476">
            <v>459</v>
          </cell>
          <cell r="B476">
            <v>54879</v>
          </cell>
          <cell r="C476">
            <v>0</v>
          </cell>
          <cell r="D476">
            <v>64685.392510256519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535235.35061527276</v>
          </cell>
        </row>
        <row r="477">
          <cell r="A477">
            <v>460</v>
          </cell>
          <cell r="B477">
            <v>54909</v>
          </cell>
          <cell r="C477">
            <v>0</v>
          </cell>
          <cell r="D477">
            <v>64685.392510256519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535235.35061527276</v>
          </cell>
        </row>
        <row r="478">
          <cell r="A478">
            <v>461</v>
          </cell>
          <cell r="B478">
            <v>54940</v>
          </cell>
          <cell r="C478">
            <v>0</v>
          </cell>
          <cell r="D478">
            <v>64685.392510256519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535235.35061527276</v>
          </cell>
        </row>
        <row r="479">
          <cell r="A479">
            <v>462</v>
          </cell>
          <cell r="B479">
            <v>54970</v>
          </cell>
          <cell r="C479">
            <v>0</v>
          </cell>
          <cell r="D479">
            <v>64685.392510256519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535235.35061527276</v>
          </cell>
        </row>
        <row r="480">
          <cell r="A480">
            <v>463</v>
          </cell>
          <cell r="B480">
            <v>55001</v>
          </cell>
          <cell r="C480">
            <v>0</v>
          </cell>
          <cell r="D480">
            <v>64685.392510256519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535235.35061527276</v>
          </cell>
        </row>
        <row r="481">
          <cell r="A481">
            <v>464</v>
          </cell>
          <cell r="B481">
            <v>55032</v>
          </cell>
          <cell r="C481">
            <v>0</v>
          </cell>
          <cell r="D481">
            <v>64685.392510256519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535235.35061527276</v>
          </cell>
        </row>
        <row r="482">
          <cell r="A482">
            <v>465</v>
          </cell>
          <cell r="B482">
            <v>55062</v>
          </cell>
          <cell r="C482">
            <v>0</v>
          </cell>
          <cell r="D482">
            <v>64685.392510256519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535235.35061527276</v>
          </cell>
        </row>
        <row r="483">
          <cell r="A483">
            <v>466</v>
          </cell>
          <cell r="B483">
            <v>55093</v>
          </cell>
          <cell r="C483">
            <v>0</v>
          </cell>
          <cell r="D483">
            <v>64685.392510256519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535235.35061527276</v>
          </cell>
        </row>
        <row r="484">
          <cell r="A484">
            <v>467</v>
          </cell>
          <cell r="B484">
            <v>55123</v>
          </cell>
          <cell r="C484">
            <v>0</v>
          </cell>
          <cell r="D484">
            <v>64685.392510256519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535235.35061527276</v>
          </cell>
        </row>
        <row r="485">
          <cell r="A485">
            <v>468</v>
          </cell>
          <cell r="B485">
            <v>55154</v>
          </cell>
          <cell r="C485">
            <v>0</v>
          </cell>
          <cell r="D485">
            <v>64685.392510256519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535235.35061527276</v>
          </cell>
        </row>
        <row r="486">
          <cell r="A486">
            <v>469</v>
          </cell>
          <cell r="B486">
            <v>55185</v>
          </cell>
          <cell r="C486">
            <v>0</v>
          </cell>
          <cell r="D486">
            <v>64685.392510256519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535235.35061527276</v>
          </cell>
        </row>
        <row r="487">
          <cell r="A487">
            <v>470</v>
          </cell>
          <cell r="B487">
            <v>55213</v>
          </cell>
          <cell r="C487">
            <v>0</v>
          </cell>
          <cell r="D487">
            <v>64685.392510256519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535235.35061527276</v>
          </cell>
        </row>
        <row r="488">
          <cell r="A488">
            <v>471</v>
          </cell>
          <cell r="B488">
            <v>55244</v>
          </cell>
          <cell r="C488">
            <v>0</v>
          </cell>
          <cell r="D488">
            <v>64685.392510256519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535235.35061527276</v>
          </cell>
        </row>
        <row r="489">
          <cell r="A489">
            <v>472</v>
          </cell>
          <cell r="B489">
            <v>55274</v>
          </cell>
          <cell r="C489">
            <v>0</v>
          </cell>
          <cell r="D489">
            <v>64685.392510256519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535235.35061527276</v>
          </cell>
        </row>
        <row r="490">
          <cell r="A490">
            <v>473</v>
          </cell>
          <cell r="B490">
            <v>55305</v>
          </cell>
          <cell r="C490">
            <v>0</v>
          </cell>
          <cell r="D490">
            <v>64685.392510256519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535235.35061527276</v>
          </cell>
        </row>
        <row r="491">
          <cell r="A491">
            <v>474</v>
          </cell>
          <cell r="B491">
            <v>55335</v>
          </cell>
          <cell r="C491">
            <v>0</v>
          </cell>
          <cell r="D491">
            <v>64685.392510256519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535235.35061527276</v>
          </cell>
        </row>
        <row r="492">
          <cell r="A492">
            <v>475</v>
          </cell>
          <cell r="B492">
            <v>55366</v>
          </cell>
          <cell r="C492">
            <v>0</v>
          </cell>
          <cell r="D492">
            <v>64685.392510256519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535235.35061527276</v>
          </cell>
        </row>
        <row r="493">
          <cell r="A493">
            <v>476</v>
          </cell>
          <cell r="B493">
            <v>55397</v>
          </cell>
          <cell r="C493">
            <v>0</v>
          </cell>
          <cell r="D493">
            <v>64685.392510256519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535235.35061527276</v>
          </cell>
        </row>
        <row r="494">
          <cell r="A494">
            <v>477</v>
          </cell>
          <cell r="B494">
            <v>55427</v>
          </cell>
          <cell r="C494">
            <v>0</v>
          </cell>
          <cell r="D494">
            <v>64685.392510256519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535235.35061527276</v>
          </cell>
        </row>
        <row r="495">
          <cell r="A495">
            <v>478</v>
          </cell>
          <cell r="B495">
            <v>55458</v>
          </cell>
          <cell r="C495">
            <v>0</v>
          </cell>
          <cell r="D495">
            <v>64685.392510256519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535235.35061527276</v>
          </cell>
        </row>
        <row r="496">
          <cell r="A496">
            <v>479</v>
          </cell>
          <cell r="B496">
            <v>55488</v>
          </cell>
          <cell r="C496">
            <v>0</v>
          </cell>
          <cell r="D496">
            <v>64685.392510256519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535235.35061527276</v>
          </cell>
        </row>
        <row r="497">
          <cell r="A497">
            <v>480</v>
          </cell>
          <cell r="B497">
            <v>55519</v>
          </cell>
          <cell r="C497">
            <v>0</v>
          </cell>
          <cell r="D497">
            <v>64685.392510256519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535235.35061527276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out"/>
      <sheetName val="Instructions"/>
      <sheetName val="Assumptions"/>
      <sheetName val="Forecast"/>
      <sheetName val="Actual"/>
      <sheetName val="BalanceSheets"/>
      <sheetName val="Loans"/>
      <sheetName val="Report"/>
      <sheetName val="Month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A3">
            <v>41364</v>
          </cell>
        </row>
        <row r="4">
          <cell r="A4">
            <v>41394</v>
          </cell>
        </row>
        <row r="5">
          <cell r="A5">
            <v>41425</v>
          </cell>
        </row>
        <row r="6">
          <cell r="A6">
            <v>41455</v>
          </cell>
        </row>
        <row r="7">
          <cell r="A7">
            <v>41486</v>
          </cell>
        </row>
        <row r="8">
          <cell r="A8">
            <v>41517</v>
          </cell>
        </row>
        <row r="9">
          <cell r="A9">
            <v>41547</v>
          </cell>
        </row>
        <row r="10">
          <cell r="A10">
            <v>41578</v>
          </cell>
        </row>
        <row r="11">
          <cell r="A11">
            <v>41608</v>
          </cell>
        </row>
        <row r="12">
          <cell r="A12">
            <v>41639</v>
          </cell>
        </row>
        <row r="13">
          <cell r="A13">
            <v>41670</v>
          </cell>
        </row>
        <row r="14">
          <cell r="A14">
            <v>41698</v>
          </cell>
        </row>
        <row r="15">
          <cell r="A15">
            <v>41729</v>
          </cell>
        </row>
        <row r="16">
          <cell r="A16">
            <v>41759</v>
          </cell>
        </row>
        <row r="17">
          <cell r="A17">
            <v>41790</v>
          </cell>
        </row>
        <row r="18">
          <cell r="A18">
            <v>41820</v>
          </cell>
        </row>
        <row r="19">
          <cell r="A19">
            <v>41851</v>
          </cell>
        </row>
        <row r="20">
          <cell r="A20">
            <v>41882</v>
          </cell>
        </row>
        <row r="21">
          <cell r="A21">
            <v>41912</v>
          </cell>
        </row>
        <row r="22">
          <cell r="A22">
            <v>41943</v>
          </cell>
        </row>
        <row r="23">
          <cell r="A23">
            <v>41973</v>
          </cell>
        </row>
        <row r="24">
          <cell r="A24">
            <v>42004</v>
          </cell>
        </row>
        <row r="25">
          <cell r="A25">
            <v>42035</v>
          </cell>
        </row>
        <row r="26">
          <cell r="A26">
            <v>42063</v>
          </cell>
        </row>
        <row r="27">
          <cell r="A27">
            <v>42094</v>
          </cell>
        </row>
        <row r="28">
          <cell r="A28">
            <v>42124</v>
          </cell>
        </row>
        <row r="29">
          <cell r="A29">
            <v>42155</v>
          </cell>
        </row>
        <row r="30">
          <cell r="A30">
            <v>42185</v>
          </cell>
        </row>
        <row r="31">
          <cell r="A31">
            <v>42216</v>
          </cell>
        </row>
        <row r="32">
          <cell r="A32">
            <v>42247</v>
          </cell>
        </row>
        <row r="33">
          <cell r="A33">
            <v>42277</v>
          </cell>
        </row>
        <row r="34">
          <cell r="A34">
            <v>42308</v>
          </cell>
        </row>
        <row r="35">
          <cell r="A35">
            <v>42338</v>
          </cell>
        </row>
        <row r="36">
          <cell r="A36">
            <v>42369</v>
          </cell>
        </row>
        <row r="37">
          <cell r="A37">
            <v>42400</v>
          </cell>
        </row>
        <row r="38">
          <cell r="A38">
            <v>42429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CA394"/>
  <sheetViews>
    <sheetView tabSelected="1" zoomScale="90" zoomScaleNormal="90"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N12" sqref="N12"/>
    </sheetView>
  </sheetViews>
  <sheetFormatPr defaultColWidth="9.109375" defaultRowHeight="14.4"/>
  <cols>
    <col min="1" max="1" width="7.77734375" style="25" customWidth="1"/>
    <col min="2" max="2" width="10.5546875" style="25" customWidth="1"/>
    <col min="3" max="3" width="9.33203125" style="25" customWidth="1"/>
    <col min="4" max="4" width="9.109375" style="25" customWidth="1"/>
    <col min="5" max="5" width="7.88671875" style="26" hidden="1" customWidth="1"/>
    <col min="6" max="6" width="7.5546875" style="26" customWidth="1"/>
    <col min="7" max="7" width="24.109375" style="27" customWidth="1"/>
    <col min="8" max="8" width="9.88671875" style="25" customWidth="1"/>
    <col min="9" max="9" width="10.44140625" style="26" customWidth="1"/>
    <col min="10" max="10" width="11.88671875" style="26" customWidth="1"/>
    <col min="11" max="11" width="8.21875" style="26" customWidth="1"/>
    <col min="12" max="12" width="15.77734375" style="26" customWidth="1"/>
    <col min="13" max="13" width="9.5546875" style="26" customWidth="1"/>
    <col min="14" max="14" width="10.44140625" style="26" customWidth="1"/>
    <col min="15" max="15" width="15" style="89" customWidth="1"/>
    <col min="16" max="16" width="13.88671875" style="68" customWidth="1"/>
    <col min="17" max="17" width="14.109375" style="68" customWidth="1"/>
    <col min="18" max="18" width="12.33203125" style="68" customWidth="1"/>
    <col min="19" max="19" width="15.88671875" style="68" customWidth="1"/>
    <col min="20" max="20" width="22.44140625" style="68" customWidth="1"/>
    <col min="21" max="21" width="15.33203125" style="68" customWidth="1"/>
    <col min="22" max="23" width="13.33203125" style="68" customWidth="1"/>
    <col min="24" max="24" width="13" style="68" customWidth="1"/>
    <col min="25" max="25" width="8.88671875" style="89" customWidth="1"/>
    <col min="26" max="26" width="13.88671875" style="68" customWidth="1"/>
    <col min="27" max="27" width="16.44140625" style="68" customWidth="1"/>
    <col min="28" max="28" width="16.77734375" style="68" customWidth="1"/>
    <col min="29" max="29" width="15" style="68" customWidth="1"/>
    <col min="30" max="30" width="14.109375" style="90" customWidth="1"/>
    <col min="31" max="31" width="16.5546875" style="68" customWidth="1"/>
    <col min="32" max="32" width="23.88671875" style="68" customWidth="1"/>
    <col min="33" max="33" width="22.6640625" style="25" customWidth="1"/>
    <col min="34" max="34" width="21.6640625" style="25" customWidth="1"/>
    <col min="35" max="36" width="10.44140625" style="25" customWidth="1"/>
    <col min="37" max="37" width="10.6640625" style="25" customWidth="1"/>
    <col min="38" max="38" width="11.6640625" style="25" customWidth="1"/>
    <col min="39" max="39" width="8.44140625" style="25" customWidth="1"/>
    <col min="40" max="40" width="7.33203125" style="25" customWidth="1"/>
    <col min="41" max="41" width="14" style="25" customWidth="1"/>
    <col min="42" max="42" width="11" style="25" customWidth="1"/>
    <col min="43" max="43" width="12.6640625" style="25" customWidth="1"/>
    <col min="44" max="44" width="7.6640625" style="25" customWidth="1"/>
    <col min="45" max="45" width="9.6640625" style="25" customWidth="1"/>
    <col min="46" max="46" width="15" style="68" customWidth="1"/>
    <col min="47" max="48" width="13.6640625" style="89" customWidth="1"/>
    <col min="49" max="49" width="12.33203125" style="89" customWidth="1"/>
    <col min="50" max="50" width="13.88671875" style="68" customWidth="1"/>
    <col min="51" max="51" width="17.44140625" style="89" customWidth="1"/>
    <col min="52" max="52" width="12.44140625" style="68" customWidth="1"/>
    <col min="53" max="53" width="14.6640625" style="89" customWidth="1"/>
    <col min="54" max="54" width="13.33203125" style="68" customWidth="1"/>
    <col min="55" max="55" width="13" style="68" customWidth="1"/>
    <col min="56" max="56" width="7.5546875" style="68" customWidth="1"/>
    <col min="57" max="57" width="13.88671875" style="68" customWidth="1"/>
    <col min="58" max="58" width="11.6640625" style="68" customWidth="1"/>
    <col min="59" max="59" width="17.88671875" style="68" customWidth="1"/>
    <col min="60" max="60" width="16.109375" style="68" customWidth="1"/>
    <col min="61" max="61" width="13.6640625" style="68" customWidth="1"/>
    <col min="62" max="62" width="13.88671875" style="68" customWidth="1"/>
    <col min="63" max="63" width="16.109375" style="68" customWidth="1"/>
    <col min="64" max="64" width="12.5546875" style="68" customWidth="1"/>
    <col min="65" max="65" width="13.88671875" style="68" customWidth="1"/>
    <col min="66" max="66" width="15.44140625" style="68" customWidth="1"/>
    <col min="67" max="68" width="12.5546875" style="25" hidden="1" customWidth="1"/>
    <col min="69" max="69" width="24.6640625" style="25" hidden="1" customWidth="1"/>
    <col min="70" max="70" width="11.5546875" style="25" hidden="1" customWidth="1"/>
    <col min="71" max="72" width="9.109375" style="25" hidden="1" customWidth="1"/>
    <col min="73" max="73" width="11.109375" style="25" bestFit="1" customWidth="1"/>
    <col min="74" max="74" width="13.5546875" style="25" bestFit="1" customWidth="1"/>
    <col min="75" max="75" width="18.5546875" style="25" bestFit="1" customWidth="1"/>
    <col min="76" max="76" width="33.44140625" style="25" bestFit="1" customWidth="1"/>
    <col min="77" max="77" width="13.44140625" style="25" bestFit="1" customWidth="1"/>
    <col min="78" max="78" width="15.21875" style="25" bestFit="1" customWidth="1"/>
    <col min="79" max="16384" width="9.109375" style="25"/>
  </cols>
  <sheetData>
    <row r="1" spans="1:79">
      <c r="J1" s="28"/>
      <c r="K1" s="28"/>
      <c r="L1" s="28"/>
      <c r="M1" s="28"/>
      <c r="N1" s="28"/>
      <c r="O1" s="66">
        <f>O2/80</f>
        <v>0</v>
      </c>
      <c r="P1" s="67"/>
      <c r="Q1" s="67"/>
      <c r="R1" s="67"/>
      <c r="S1" s="67"/>
      <c r="T1" s="67"/>
      <c r="U1" s="67"/>
      <c r="V1" s="67"/>
      <c r="W1" s="67"/>
      <c r="X1" s="67"/>
      <c r="Y1" s="66"/>
      <c r="AB1" s="69">
        <f>AB2-O2</f>
        <v>0</v>
      </c>
      <c r="AC1" s="66"/>
      <c r="AD1" s="70"/>
      <c r="AE1" s="71"/>
      <c r="AF1" s="71"/>
      <c r="AR1" s="29"/>
      <c r="AS1" s="29"/>
      <c r="AT1" s="73">
        <f>AT2-T2</f>
        <v>0</v>
      </c>
      <c r="AU1" s="72"/>
      <c r="AV1" s="72"/>
      <c r="AW1" s="72"/>
      <c r="AX1" s="73"/>
      <c r="AY1" s="72"/>
      <c r="AZ1" s="73"/>
      <c r="BA1" s="72"/>
      <c r="BB1" s="73"/>
      <c r="BC1" s="73"/>
      <c r="BF1" s="73"/>
      <c r="BG1" s="73" t="s">
        <v>14</v>
      </c>
      <c r="BH1" s="73" t="s">
        <v>15</v>
      </c>
      <c r="BI1" s="91" t="s">
        <v>16</v>
      </c>
    </row>
    <row r="2" spans="1:79">
      <c r="G2" s="30"/>
      <c r="J2" s="31"/>
      <c r="K2" s="31"/>
      <c r="L2" s="31"/>
      <c r="M2" s="31"/>
      <c r="N2" s="31" t="s">
        <v>17</v>
      </c>
      <c r="O2" s="72">
        <f t="shared" ref="O2:AB2" si="0">SUBTOTAL(9,O5:O393)</f>
        <v>0</v>
      </c>
      <c r="P2" s="72">
        <f t="shared" si="0"/>
        <v>0</v>
      </c>
      <c r="Q2" s="72">
        <f t="shared" si="0"/>
        <v>0</v>
      </c>
      <c r="R2" s="72">
        <f t="shared" si="0"/>
        <v>0</v>
      </c>
      <c r="S2" s="72">
        <f t="shared" si="0"/>
        <v>0</v>
      </c>
      <c r="T2" s="72">
        <f t="shared" si="0"/>
        <v>0</v>
      </c>
      <c r="U2" s="72">
        <f t="shared" si="0"/>
        <v>0</v>
      </c>
      <c r="V2" s="72">
        <f t="shared" si="0"/>
        <v>0</v>
      </c>
      <c r="W2" s="72">
        <f t="shared" si="0"/>
        <v>0</v>
      </c>
      <c r="X2" s="72">
        <f t="shared" si="0"/>
        <v>0</v>
      </c>
      <c r="Y2" s="72">
        <f t="shared" si="0"/>
        <v>0</v>
      </c>
      <c r="Z2" s="72">
        <f t="shared" si="0"/>
        <v>0</v>
      </c>
      <c r="AA2" s="72">
        <f t="shared" si="0"/>
        <v>0</v>
      </c>
      <c r="AB2" s="72">
        <f t="shared" si="0"/>
        <v>0</v>
      </c>
      <c r="AC2" s="73"/>
      <c r="AD2" s="72">
        <f>SUBTOTAL(9,AD5:AD393)</f>
        <v>0</v>
      </c>
      <c r="AE2" s="69"/>
      <c r="AR2" s="32"/>
      <c r="AS2" s="28"/>
      <c r="AT2" s="72">
        <f t="shared" ref="AT2:BB2" si="1">SUBTOTAL(9,AT5:AT393)</f>
        <v>0</v>
      </c>
      <c r="AU2" s="66">
        <f t="shared" si="1"/>
        <v>0</v>
      </c>
      <c r="AV2" s="66">
        <f t="shared" si="1"/>
        <v>0</v>
      </c>
      <c r="AW2" s="66">
        <f t="shared" si="1"/>
        <v>0</v>
      </c>
      <c r="AX2" s="66">
        <f t="shared" si="1"/>
        <v>0</v>
      </c>
      <c r="AY2" s="66">
        <f t="shared" si="1"/>
        <v>0</v>
      </c>
      <c r="AZ2" s="66">
        <f t="shared" si="1"/>
        <v>0</v>
      </c>
      <c r="BA2" s="66">
        <f t="shared" si="1"/>
        <v>0</v>
      </c>
      <c r="BB2" s="66">
        <f t="shared" si="1"/>
        <v>0</v>
      </c>
      <c r="BC2" s="67"/>
      <c r="BE2" s="92">
        <f>BG2-AT2</f>
        <v>0</v>
      </c>
      <c r="BF2" s="93"/>
      <c r="BG2" s="94">
        <f>SUBTOTAL(9,BG5:BG393)</f>
        <v>0</v>
      </c>
      <c r="BH2" s="94">
        <f>BG2-AB2</f>
        <v>0</v>
      </c>
      <c r="BI2" s="95" t="e">
        <f>(BG2/AB2)-1</f>
        <v>#DIV/0!</v>
      </c>
      <c r="BJ2" s="96">
        <f>BH2/12</f>
        <v>0</v>
      </c>
    </row>
    <row r="3" spans="1:79">
      <c r="J3" s="28"/>
      <c r="K3" s="28"/>
      <c r="L3" s="28"/>
      <c r="M3" s="28"/>
      <c r="N3" s="28"/>
      <c r="O3" s="66"/>
      <c r="P3" s="74">
        <v>0.5</v>
      </c>
      <c r="Q3" s="74">
        <v>0.25</v>
      </c>
      <c r="R3" s="74">
        <v>0.1</v>
      </c>
      <c r="S3" s="74">
        <v>0.2</v>
      </c>
      <c r="T3" s="67"/>
      <c r="U3" s="67"/>
      <c r="V3" s="67"/>
      <c r="W3" s="67"/>
      <c r="X3" s="67"/>
      <c r="Y3" s="66"/>
      <c r="AC3" s="75"/>
      <c r="AD3" s="76"/>
      <c r="AL3" s="33"/>
      <c r="AR3" s="32"/>
      <c r="AU3" s="97">
        <v>0.5</v>
      </c>
      <c r="AV3" s="97">
        <v>0.25</v>
      </c>
      <c r="AW3" s="97">
        <v>0.1</v>
      </c>
      <c r="AX3" s="98">
        <v>112589655139.9424</v>
      </c>
      <c r="BF3" s="68" t="s">
        <v>18</v>
      </c>
      <c r="BG3" s="96">
        <f>BG2/80</f>
        <v>0</v>
      </c>
      <c r="BH3" s="96">
        <f>BH2/80</f>
        <v>0</v>
      </c>
      <c r="BI3" s="96"/>
    </row>
    <row r="4" spans="1:79" s="40" customFormat="1" ht="55.2">
      <c r="A4" s="34" t="s">
        <v>19</v>
      </c>
      <c r="B4" s="34" t="s">
        <v>20</v>
      </c>
      <c r="C4" s="34" t="s">
        <v>21</v>
      </c>
      <c r="D4" s="34" t="s">
        <v>22</v>
      </c>
      <c r="E4" s="34" t="s">
        <v>23</v>
      </c>
      <c r="F4" s="34" t="s">
        <v>24</v>
      </c>
      <c r="G4" s="35" t="s">
        <v>25</v>
      </c>
      <c r="H4" s="34" t="s">
        <v>26</v>
      </c>
      <c r="I4" s="34" t="s">
        <v>27</v>
      </c>
      <c r="J4" s="34" t="s">
        <v>28</v>
      </c>
      <c r="K4" s="34" t="s">
        <v>29</v>
      </c>
      <c r="L4" s="34" t="s">
        <v>30</v>
      </c>
      <c r="M4" s="34" t="s">
        <v>31</v>
      </c>
      <c r="N4" s="34" t="s">
        <v>32</v>
      </c>
      <c r="O4" s="77" t="s">
        <v>33</v>
      </c>
      <c r="P4" s="78" t="s">
        <v>34</v>
      </c>
      <c r="Q4" s="78" t="s">
        <v>35</v>
      </c>
      <c r="R4" s="78" t="s">
        <v>36</v>
      </c>
      <c r="S4" s="78" t="s">
        <v>931</v>
      </c>
      <c r="T4" s="78" t="s">
        <v>38</v>
      </c>
      <c r="U4" s="78" t="s">
        <v>39</v>
      </c>
      <c r="V4" s="78" t="s">
        <v>40</v>
      </c>
      <c r="W4" s="78" t="s">
        <v>41</v>
      </c>
      <c r="X4" s="78" t="s">
        <v>42</v>
      </c>
      <c r="Y4" s="79" t="s">
        <v>43</v>
      </c>
      <c r="Z4" s="78" t="s">
        <v>44</v>
      </c>
      <c r="AA4" s="79" t="s">
        <v>45</v>
      </c>
      <c r="AB4" s="79" t="s">
        <v>46</v>
      </c>
      <c r="AC4" s="78" t="s">
        <v>47</v>
      </c>
      <c r="AD4" s="80" t="s">
        <v>48</v>
      </c>
      <c r="AE4" s="79" t="s">
        <v>49</v>
      </c>
      <c r="AF4" s="79" t="s">
        <v>50</v>
      </c>
      <c r="AG4" s="34" t="s">
        <v>51</v>
      </c>
      <c r="AH4" s="34" t="s">
        <v>52</v>
      </c>
      <c r="AI4" s="34" t="s">
        <v>53</v>
      </c>
      <c r="AJ4" s="34" t="s">
        <v>51</v>
      </c>
      <c r="AK4" s="34" t="s">
        <v>54</v>
      </c>
      <c r="AL4" s="34" t="s">
        <v>55</v>
      </c>
      <c r="AM4" s="36" t="s">
        <v>56</v>
      </c>
      <c r="AN4" s="36" t="s">
        <v>57</v>
      </c>
      <c r="AO4" s="36" t="s">
        <v>58</v>
      </c>
      <c r="AP4" s="36" t="s">
        <v>59</v>
      </c>
      <c r="AQ4" s="36" t="s">
        <v>60</v>
      </c>
      <c r="AR4" s="37" t="s">
        <v>61</v>
      </c>
      <c r="AS4" s="36" t="s">
        <v>62</v>
      </c>
      <c r="AT4" s="99" t="s">
        <v>63</v>
      </c>
      <c r="AU4" s="100" t="s">
        <v>34</v>
      </c>
      <c r="AV4" s="100" t="s">
        <v>35</v>
      </c>
      <c r="AW4" s="100" t="s">
        <v>36</v>
      </c>
      <c r="AX4" s="99" t="s">
        <v>37</v>
      </c>
      <c r="AY4" s="100" t="s">
        <v>64</v>
      </c>
      <c r="AZ4" s="101" t="s">
        <v>65</v>
      </c>
      <c r="BA4" s="100" t="s">
        <v>40</v>
      </c>
      <c r="BB4" s="101" t="s">
        <v>41</v>
      </c>
      <c r="BC4" s="101" t="s">
        <v>42</v>
      </c>
      <c r="BD4" s="101" t="s">
        <v>43</v>
      </c>
      <c r="BE4" s="101" t="s">
        <v>44</v>
      </c>
      <c r="BF4" s="101" t="s">
        <v>66</v>
      </c>
      <c r="BG4" s="101" t="s">
        <v>67</v>
      </c>
      <c r="BH4" s="100" t="s">
        <v>47</v>
      </c>
      <c r="BI4" s="99" t="s">
        <v>68</v>
      </c>
      <c r="BJ4" s="101" t="s">
        <v>69</v>
      </c>
      <c r="BK4" s="102" t="s">
        <v>70</v>
      </c>
      <c r="BL4" s="103" t="s">
        <v>71</v>
      </c>
      <c r="BM4" s="103" t="s">
        <v>72</v>
      </c>
      <c r="BN4" s="100" t="s">
        <v>73</v>
      </c>
      <c r="BO4" s="38" t="s">
        <v>74</v>
      </c>
      <c r="BP4" s="38" t="s">
        <v>75</v>
      </c>
      <c r="BQ4" s="38" t="s">
        <v>76</v>
      </c>
      <c r="BR4" s="39" t="s">
        <v>77</v>
      </c>
      <c r="BS4" s="35" t="s">
        <v>964</v>
      </c>
      <c r="BT4" s="35" t="s">
        <v>965</v>
      </c>
      <c r="BV4" s="41" t="s">
        <v>19</v>
      </c>
      <c r="BW4" s="41" t="s">
        <v>22</v>
      </c>
      <c r="BX4" s="41" t="s">
        <v>25</v>
      </c>
      <c r="BY4" s="41"/>
      <c r="BZ4" s="41"/>
    </row>
    <row r="5" spans="1:79">
      <c r="A5" s="42" t="s">
        <v>78</v>
      </c>
      <c r="B5" s="28" t="s">
        <v>79</v>
      </c>
      <c r="C5" s="28" t="s">
        <v>80</v>
      </c>
      <c r="D5" s="28" t="s">
        <v>932</v>
      </c>
      <c r="E5" s="43" t="s">
        <v>82</v>
      </c>
      <c r="F5" s="28" t="s">
        <v>901</v>
      </c>
      <c r="G5" s="44" t="s">
        <v>83</v>
      </c>
      <c r="H5" s="45">
        <v>39916</v>
      </c>
      <c r="I5" s="46" t="s">
        <v>1011</v>
      </c>
      <c r="J5" s="28">
        <v>3.4</v>
      </c>
      <c r="K5" s="28" t="s">
        <v>415</v>
      </c>
      <c r="L5" s="28" t="s">
        <v>864</v>
      </c>
      <c r="M5" s="28" t="s">
        <v>12</v>
      </c>
      <c r="N5" s="28" t="str">
        <f t="shared" ref="N5:N64" si="2">M5</f>
        <v>SE2</v>
      </c>
      <c r="O5" s="81"/>
      <c r="P5" s="81">
        <f t="shared" ref="P5:P64" si="3">CEILING(ROUND(($O5*50%),2),10)</f>
        <v>0</v>
      </c>
      <c r="Q5" s="81">
        <f t="shared" ref="Q5:Q64" si="4">ROUND((P5*25%),2)</f>
        <v>0</v>
      </c>
      <c r="R5" s="81">
        <f t="shared" ref="R5:R64" si="5">ROUND((P5*10%),2)</f>
        <v>0</v>
      </c>
      <c r="S5" s="81"/>
      <c r="T5" s="82">
        <f t="shared" ref="T5:T64" si="6">SUM(P5:S5)</f>
        <v>0</v>
      </c>
      <c r="U5" s="82">
        <f t="shared" ref="U5:U64" si="7">ROUND(IF(($T5-$Q5)&lt;=180000,($T5-$Q5)*12%,(180000*12%)),2)</f>
        <v>0</v>
      </c>
      <c r="V5" s="82">
        <f t="shared" ref="V5:V64" si="8">ROUND(IF(($T5&lt;=252000),($T5*3.25%),0),2)</f>
        <v>0</v>
      </c>
      <c r="W5" s="83">
        <v>0</v>
      </c>
      <c r="X5" s="83">
        <v>0</v>
      </c>
      <c r="Y5" s="83">
        <v>0</v>
      </c>
      <c r="Z5" s="84">
        <f>ROUND((IF(($O5&lt;=700000),0,IF(((VLOOKUP($M5,'Loyalty - Effec - 15July'!$B$5:$C$17,2,0)*$O5)&lt;=120000),(VLOOKUP($M5,'Loyalty - Effec - 15July'!$B$5:$C$17,2,0)*$O5),120000))),0)</f>
        <v>0</v>
      </c>
      <c r="AA5" s="84">
        <f>ROUND(VLOOKUP($M5,'Loyalty - Effec - 15July'!$B$5:$D$17,3,0)*$O5,0)</f>
        <v>0</v>
      </c>
      <c r="AB5" s="85">
        <f t="shared" ref="AB5:AB64" si="9">SUM(T5:AA5)</f>
        <v>0</v>
      </c>
      <c r="AC5" s="86">
        <f t="shared" ref="AC5:AC64" si="10">ROUND(IF(($T5&lt;=252000),($T5*0.75%),0),2)</f>
        <v>0</v>
      </c>
      <c r="AD5" s="87">
        <f t="shared" ref="AD5:AD64" si="11">O5-AB5</f>
        <v>0</v>
      </c>
      <c r="AE5" s="88">
        <f t="shared" ref="AE5:AE64" si="12">(T5+Z5)-(U5+AC5)</f>
        <v>0</v>
      </c>
      <c r="AF5" s="88">
        <f t="shared" ref="AF5:AF64" si="13">AE5/12</f>
        <v>0</v>
      </c>
      <c r="AG5" s="49" t="s">
        <v>904</v>
      </c>
      <c r="AH5" s="49" t="s">
        <v>904</v>
      </c>
      <c r="AI5" s="50"/>
      <c r="AJ5" s="46"/>
      <c r="AK5" s="46"/>
      <c r="AL5" s="46"/>
      <c r="AM5" s="51">
        <f>IF($AL5=4,VLOOKUP($AR5,'Loyalty Incentive v1'!$L$3:$Q$15,2,FALSE),
IF($AL5=3,VLOOKUP($AR5,'Loyalty Incentive v1'!$L$3:$Q$15,3,FALSE),
IF($AL5=2,VLOOKUP($AR5,'Loyalty Incentive v1'!$L$3:$Q$15,4,FALSE),
IF($AL5=1,VLOOKUP($AR5,'Loyalty Incentive v1'!$L$3:$Q$15,5,FALSE),
IF($AL5=0,VLOOKUP($AR5,'Loyalty Incentive v1'!$L$3:$Q$15,6,FALSE),0)))))</f>
        <v>0</v>
      </c>
      <c r="AN5" s="51">
        <f>IFERROR(IF(I5&gt;="1",AM5,VLOOKUP(VALUE(I5),'Loyalty - Effec - 15July'!$I$5:$J$16,2,0)*AM5),0)</f>
        <v>0</v>
      </c>
      <c r="AO5" s="51">
        <v>0</v>
      </c>
      <c r="AP5" s="51">
        <f t="shared" ref="AP5:AP64" si="14">AN5+AO5</f>
        <v>0</v>
      </c>
      <c r="AQ5" s="46" t="str">
        <f t="shared" ref="AQ5:AQ64" si="15">IF((N5=AR5),"No","Yes")</f>
        <v>No</v>
      </c>
      <c r="AR5" s="46" t="str">
        <f t="shared" ref="AR5:AR64" si="16">N5</f>
        <v>SE2</v>
      </c>
      <c r="AS5" s="46" t="b">
        <f t="shared" ref="AS5:AS64" si="17">AR5=M5</f>
        <v>1</v>
      </c>
      <c r="AT5" s="82">
        <f t="shared" ref="AT5:AT64" si="18">O5+(O5*AP5)</f>
        <v>0</v>
      </c>
      <c r="AU5" s="82">
        <f t="shared" ref="AU5:AU64" si="19">ROUND(AT5*$AU$3,0)</f>
        <v>0</v>
      </c>
      <c r="AV5" s="82">
        <f t="shared" ref="AV5:AV64" si="20">ROUND(AU5*$AV$3,0)</f>
        <v>0</v>
      </c>
      <c r="AW5" s="82">
        <f t="shared" ref="AW5:AW64" si="21">ROUND(AU5*$AW$3,0)</f>
        <v>0</v>
      </c>
      <c r="AX5" s="85"/>
      <c r="AY5" s="82">
        <f t="shared" ref="AY5:AY64" si="22">SUM(AU5:AX5)</f>
        <v>0</v>
      </c>
      <c r="AZ5" s="82">
        <f t="shared" ref="AZ5:AZ64" si="23">ROUND(IF((AY5-AV5)&gt;180000,21600,(AY5-AV5)*12%),0)</f>
        <v>0</v>
      </c>
      <c r="BA5" s="82">
        <f t="shared" ref="BA5:BA64" si="24">ROUND(IF(AY5&lt;252001,AY5*0.0325,0),0)</f>
        <v>0</v>
      </c>
      <c r="BB5" s="83">
        <v>0</v>
      </c>
      <c r="BC5" s="83">
        <v>0</v>
      </c>
      <c r="BD5" s="83">
        <v>0</v>
      </c>
      <c r="BE5" s="84">
        <f>ROUND((IF(($AT5&lt;=700000),0,IF(((VLOOKUP($AR5,'Loyalty - Effec - 15July'!$B$5:$C$17,2,0)*$AT5)&lt;=120000),(VLOOKUP($AR5,'Loyalty - Effec - 15July'!$B$5:$C$17,2,0)*$AT5),120000))),0)</f>
        <v>0</v>
      </c>
      <c r="BF5" s="84">
        <f>ROUND(VLOOKUP($AR5,'Loyalty - Effec - 15July'!$B$5:$D$17,3,0)*$AT5,0)</f>
        <v>0</v>
      </c>
      <c r="BG5" s="85">
        <f t="shared" ref="BG5:BG64" si="25">SUM(AY5:BF5)</f>
        <v>0</v>
      </c>
      <c r="BH5" s="81">
        <f t="shared" ref="BH5:BH64" si="26">ROUND(IF(AY5&lt;252001,AY5*0.0075,0),0)</f>
        <v>0</v>
      </c>
      <c r="BI5" s="85">
        <f t="shared" ref="BI5:BI64" si="27">AT5-BG5</f>
        <v>0</v>
      </c>
      <c r="BJ5" s="85">
        <f t="shared" ref="BJ5:BJ64" si="28">(AY5+BE5)-(AZ5+BH5)</f>
        <v>0</v>
      </c>
      <c r="BK5" s="85">
        <f t="shared" ref="BK5:BK64" si="29">BJ5/12</f>
        <v>0</v>
      </c>
      <c r="BL5" s="85">
        <f t="shared" ref="BL5:BL64" si="30">BG5-AB5</f>
        <v>0</v>
      </c>
      <c r="BM5" s="85">
        <f t="shared" ref="BM5:BM64" si="31">BK5-AF5</f>
        <v>0</v>
      </c>
      <c r="BN5" s="85">
        <f t="shared" ref="BN5:BN64" si="32">BK5-AF5</f>
        <v>0</v>
      </c>
      <c r="BO5" s="52" t="s">
        <v>85</v>
      </c>
      <c r="BP5" s="46">
        <v>3</v>
      </c>
      <c r="BQ5" s="46"/>
      <c r="BR5" s="47">
        <f>BG5-AT5</f>
        <v>0</v>
      </c>
      <c r="BS5" s="46"/>
      <c r="BT5" s="46"/>
      <c r="BU5" s="47">
        <f>AT5-BG5</f>
        <v>0</v>
      </c>
      <c r="BV5" s="53" t="s">
        <v>78</v>
      </c>
      <c r="BW5" s="53" t="s">
        <v>932</v>
      </c>
      <c r="BX5" s="53" t="s">
        <v>83</v>
      </c>
      <c r="BY5" s="53"/>
      <c r="BZ5" s="53"/>
    </row>
    <row r="6" spans="1:79">
      <c r="A6" s="42" t="s">
        <v>87</v>
      </c>
      <c r="B6" s="28" t="s">
        <v>79</v>
      </c>
      <c r="C6" s="28" t="s">
        <v>80</v>
      </c>
      <c r="D6" s="28" t="s">
        <v>932</v>
      </c>
      <c r="E6" s="43" t="s">
        <v>82</v>
      </c>
      <c r="F6" s="28" t="s">
        <v>902</v>
      </c>
      <c r="G6" s="44" t="s">
        <v>88</v>
      </c>
      <c r="H6" s="45">
        <v>39832</v>
      </c>
      <c r="I6" s="46" t="s">
        <v>1012</v>
      </c>
      <c r="J6" s="28">
        <v>2</v>
      </c>
      <c r="K6" s="28" t="s">
        <v>863</v>
      </c>
      <c r="L6" s="28" t="s">
        <v>865</v>
      </c>
      <c r="M6" s="28" t="s">
        <v>4</v>
      </c>
      <c r="N6" s="28" t="str">
        <f t="shared" si="2"/>
        <v>AE6</v>
      </c>
      <c r="O6" s="81"/>
      <c r="P6" s="81">
        <f t="shared" si="3"/>
        <v>0</v>
      </c>
      <c r="Q6" s="81">
        <f t="shared" si="4"/>
        <v>0</v>
      </c>
      <c r="R6" s="81">
        <f t="shared" si="5"/>
        <v>0</v>
      </c>
      <c r="S6" s="81"/>
      <c r="T6" s="82">
        <f t="shared" si="6"/>
        <v>0</v>
      </c>
      <c r="U6" s="82">
        <f t="shared" si="7"/>
        <v>0</v>
      </c>
      <c r="V6" s="82">
        <f t="shared" si="8"/>
        <v>0</v>
      </c>
      <c r="W6" s="83">
        <v>0</v>
      </c>
      <c r="X6" s="83">
        <v>0</v>
      </c>
      <c r="Y6" s="83">
        <v>0</v>
      </c>
      <c r="Z6" s="84">
        <f>ROUND((IF(($O6&lt;=700000),0,IF(((VLOOKUP($M6,'Loyalty - Effec - 15July'!$B$5:$C$17,2,0)*$O6)&lt;=120000),(VLOOKUP($M6,'Loyalty - Effec - 15July'!$B$5:$C$17,2,0)*$O6),120000))),0)</f>
        <v>0</v>
      </c>
      <c r="AA6" s="84">
        <f>ROUND(VLOOKUP($M6,'Loyalty - Effec - 15July'!$B$5:$D$17,3,0)*$O6,0)</f>
        <v>0</v>
      </c>
      <c r="AB6" s="85">
        <f t="shared" si="9"/>
        <v>0</v>
      </c>
      <c r="AC6" s="86">
        <f t="shared" si="10"/>
        <v>0</v>
      </c>
      <c r="AD6" s="87">
        <f t="shared" si="11"/>
        <v>0</v>
      </c>
      <c r="AE6" s="88">
        <f t="shared" si="12"/>
        <v>0</v>
      </c>
      <c r="AF6" s="88">
        <f t="shared" si="13"/>
        <v>0</v>
      </c>
      <c r="AG6" s="49" t="s">
        <v>200</v>
      </c>
      <c r="AH6" s="49" t="s">
        <v>83</v>
      </c>
      <c r="AI6" s="50"/>
      <c r="AJ6" s="46"/>
      <c r="AK6" s="46"/>
      <c r="AL6" s="46"/>
      <c r="AM6" s="51">
        <f>IF($AL6=4,VLOOKUP($AR6,'Loyalty Incentive v1'!$L$3:$Q$15,2,FALSE),
IF($AL6=3,VLOOKUP($AR6,'Loyalty Incentive v1'!$L$3:$Q$15,3,FALSE),
IF($AL6=2,VLOOKUP($AR6,'Loyalty Incentive v1'!$L$3:$Q$15,4,FALSE),
IF($AL6=1,VLOOKUP($AR6,'Loyalty Incentive v1'!$L$3:$Q$15,5,FALSE),
IF($AL6=0,VLOOKUP($AR6,'Loyalty Incentive v1'!$L$3:$Q$15,6,FALSE),0)))))</f>
        <v>0</v>
      </c>
      <c r="AN6" s="51">
        <f>IFERROR(IF(I6&gt;="1",AM6,VLOOKUP(VALUE(I6),'Loyalty - Effec - 15July'!$I$5:$J$16,2,0)*AM6),0)</f>
        <v>0</v>
      </c>
      <c r="AO6" s="51">
        <v>0</v>
      </c>
      <c r="AP6" s="51">
        <f t="shared" si="14"/>
        <v>0</v>
      </c>
      <c r="AQ6" s="46" t="str">
        <f t="shared" si="15"/>
        <v>No</v>
      </c>
      <c r="AR6" s="46" t="str">
        <f t="shared" si="16"/>
        <v>AE6</v>
      </c>
      <c r="AS6" s="46" t="b">
        <f t="shared" si="17"/>
        <v>1</v>
      </c>
      <c r="AT6" s="82">
        <f t="shared" si="18"/>
        <v>0</v>
      </c>
      <c r="AU6" s="82">
        <f t="shared" si="19"/>
        <v>0</v>
      </c>
      <c r="AV6" s="82">
        <f t="shared" si="20"/>
        <v>0</v>
      </c>
      <c r="AW6" s="82">
        <f t="shared" si="21"/>
        <v>0</v>
      </c>
      <c r="AX6" s="85"/>
      <c r="AY6" s="82">
        <f t="shared" si="22"/>
        <v>0</v>
      </c>
      <c r="AZ6" s="82">
        <f t="shared" si="23"/>
        <v>0</v>
      </c>
      <c r="BA6" s="82">
        <f t="shared" si="24"/>
        <v>0</v>
      </c>
      <c r="BB6" s="83">
        <v>0</v>
      </c>
      <c r="BC6" s="83">
        <v>0</v>
      </c>
      <c r="BD6" s="83">
        <v>0</v>
      </c>
      <c r="BE6" s="84">
        <f>ROUND((IF(($AT6&lt;=700000),0,IF(((VLOOKUP($AR6,'Loyalty - Effec - 15July'!$B$5:$C$17,2,0)*$AT6)&lt;=120000),(VLOOKUP($AR6,'Loyalty - Effec - 15July'!$B$5:$C$17,2,0)*$AT6),120000))),0)</f>
        <v>0</v>
      </c>
      <c r="BF6" s="84">
        <f>ROUND(VLOOKUP($AR6,'Loyalty - Effec - 15July'!$B$5:$D$17,3,0)*$AT6,0)</f>
        <v>0</v>
      </c>
      <c r="BG6" s="85">
        <f t="shared" si="25"/>
        <v>0</v>
      </c>
      <c r="BH6" s="81">
        <f t="shared" si="26"/>
        <v>0</v>
      </c>
      <c r="BI6" s="85">
        <f t="shared" si="27"/>
        <v>0</v>
      </c>
      <c r="BJ6" s="85">
        <f t="shared" si="28"/>
        <v>0</v>
      </c>
      <c r="BK6" s="85">
        <f t="shared" si="29"/>
        <v>0</v>
      </c>
      <c r="BL6" s="85">
        <f t="shared" si="30"/>
        <v>0</v>
      </c>
      <c r="BM6" s="85">
        <f t="shared" si="31"/>
        <v>0</v>
      </c>
      <c r="BN6" s="85">
        <f t="shared" si="32"/>
        <v>0</v>
      </c>
      <c r="BO6" s="52" t="s">
        <v>86</v>
      </c>
      <c r="BP6" s="46">
        <v>3</v>
      </c>
      <c r="BQ6" s="46"/>
      <c r="BR6" s="47">
        <f>BG6-AT6</f>
        <v>0</v>
      </c>
      <c r="BS6" s="46"/>
      <c r="BT6" s="46"/>
      <c r="BU6" s="47">
        <f t="shared" ref="BU6:BU66" si="33">AT6-BG6</f>
        <v>0</v>
      </c>
      <c r="BV6" s="53" t="s">
        <v>87</v>
      </c>
      <c r="BW6" s="53" t="s">
        <v>932</v>
      </c>
      <c r="BX6" s="53" t="s">
        <v>88</v>
      </c>
      <c r="BY6" s="53"/>
      <c r="BZ6" s="53"/>
    </row>
    <row r="7" spans="1:79">
      <c r="A7" s="42" t="s">
        <v>89</v>
      </c>
      <c r="B7" s="28" t="s">
        <v>79</v>
      </c>
      <c r="C7" s="28" t="s">
        <v>80</v>
      </c>
      <c r="D7" s="28" t="s">
        <v>932</v>
      </c>
      <c r="E7" s="43" t="s">
        <v>82</v>
      </c>
      <c r="F7" s="28" t="s">
        <v>902</v>
      </c>
      <c r="G7" s="44" t="s">
        <v>90</v>
      </c>
      <c r="H7" s="45">
        <v>39832</v>
      </c>
      <c r="I7" s="46" t="s">
        <v>1012</v>
      </c>
      <c r="J7" s="28">
        <v>2</v>
      </c>
      <c r="K7" s="28" t="s">
        <v>863</v>
      </c>
      <c r="L7" s="28" t="s">
        <v>865</v>
      </c>
      <c r="M7" s="28" t="s">
        <v>4</v>
      </c>
      <c r="N7" s="28" t="str">
        <f t="shared" si="2"/>
        <v>AE6</v>
      </c>
      <c r="O7" s="81"/>
      <c r="P7" s="81">
        <f t="shared" si="3"/>
        <v>0</v>
      </c>
      <c r="Q7" s="81">
        <f t="shared" si="4"/>
        <v>0</v>
      </c>
      <c r="R7" s="81">
        <f t="shared" si="5"/>
        <v>0</v>
      </c>
      <c r="S7" s="81"/>
      <c r="T7" s="82">
        <f t="shared" si="6"/>
        <v>0</v>
      </c>
      <c r="U7" s="82">
        <f t="shared" si="7"/>
        <v>0</v>
      </c>
      <c r="V7" s="82">
        <f t="shared" si="8"/>
        <v>0</v>
      </c>
      <c r="W7" s="83">
        <v>0</v>
      </c>
      <c r="X7" s="83">
        <v>0</v>
      </c>
      <c r="Y7" s="83">
        <v>0</v>
      </c>
      <c r="Z7" s="84">
        <f>ROUND((IF(($O7&lt;=700000),0,IF(((VLOOKUP($M7,'Loyalty - Effec - 15July'!$B$5:$C$17,2,0)*$O7)&lt;=120000),(VLOOKUP($M7,'Loyalty - Effec - 15July'!$B$5:$C$17,2,0)*$O7),120000))),0)</f>
        <v>0</v>
      </c>
      <c r="AA7" s="84">
        <f>ROUND(VLOOKUP($M7,'Loyalty - Effec - 15July'!$B$5:$D$17,3,0)*$O7,0)</f>
        <v>0</v>
      </c>
      <c r="AB7" s="85">
        <f t="shared" si="9"/>
        <v>0</v>
      </c>
      <c r="AC7" s="86">
        <f t="shared" si="10"/>
        <v>0</v>
      </c>
      <c r="AD7" s="87">
        <f t="shared" si="11"/>
        <v>0</v>
      </c>
      <c r="AE7" s="88">
        <f t="shared" si="12"/>
        <v>0</v>
      </c>
      <c r="AF7" s="88">
        <f t="shared" si="13"/>
        <v>0</v>
      </c>
      <c r="AG7" s="49" t="s">
        <v>200</v>
      </c>
      <c r="AH7" s="49" t="s">
        <v>83</v>
      </c>
      <c r="AI7" s="50"/>
      <c r="AJ7" s="46"/>
      <c r="AK7" s="46"/>
      <c r="AL7" s="46"/>
      <c r="AM7" s="51">
        <f>IF($AL7=4,VLOOKUP($AR7,'Loyalty Incentive v1'!$L$3:$Q$15,2,FALSE),
IF($AL7=3,VLOOKUP($AR7,'Loyalty Incentive v1'!$L$3:$Q$15,3,FALSE),
IF($AL7=2,VLOOKUP($AR7,'Loyalty Incentive v1'!$L$3:$Q$15,4,FALSE),
IF($AL7=1,VLOOKUP($AR7,'Loyalty Incentive v1'!$L$3:$Q$15,5,FALSE),
IF($AL7=0,VLOOKUP($AR7,'Loyalty Incentive v1'!$L$3:$Q$15,6,FALSE),0)))))</f>
        <v>0</v>
      </c>
      <c r="AN7" s="51">
        <f>IFERROR(IF(I7&gt;="1",AM7,VLOOKUP(VALUE(I7),'Loyalty - Effec - 15July'!$I$5:$J$16,2,0)*AM7),0)</f>
        <v>0</v>
      </c>
      <c r="AO7" s="51">
        <v>0</v>
      </c>
      <c r="AP7" s="51">
        <f t="shared" si="14"/>
        <v>0</v>
      </c>
      <c r="AQ7" s="46" t="str">
        <f t="shared" si="15"/>
        <v>No</v>
      </c>
      <c r="AR7" s="46" t="str">
        <f t="shared" si="16"/>
        <v>AE6</v>
      </c>
      <c r="AS7" s="46" t="b">
        <f t="shared" si="17"/>
        <v>1</v>
      </c>
      <c r="AT7" s="82">
        <f t="shared" si="18"/>
        <v>0</v>
      </c>
      <c r="AU7" s="82">
        <f t="shared" si="19"/>
        <v>0</v>
      </c>
      <c r="AV7" s="82">
        <f t="shared" si="20"/>
        <v>0</v>
      </c>
      <c r="AW7" s="82">
        <f t="shared" si="21"/>
        <v>0</v>
      </c>
      <c r="AX7" s="85"/>
      <c r="AY7" s="82">
        <f t="shared" si="22"/>
        <v>0</v>
      </c>
      <c r="AZ7" s="82">
        <f t="shared" si="23"/>
        <v>0</v>
      </c>
      <c r="BA7" s="82">
        <f t="shared" si="24"/>
        <v>0</v>
      </c>
      <c r="BB7" s="83">
        <v>0</v>
      </c>
      <c r="BC7" s="83">
        <v>0</v>
      </c>
      <c r="BD7" s="83">
        <v>0</v>
      </c>
      <c r="BE7" s="84">
        <f>ROUND((IF(($AT7&lt;=700000),0,IF(((VLOOKUP($AR7,'Loyalty - Effec - 15July'!$B$5:$C$17,2,0)*$AT7)&lt;=120000),(VLOOKUP($AR7,'Loyalty - Effec - 15July'!$B$5:$C$17,2,0)*$AT7),120000))),0)</f>
        <v>0</v>
      </c>
      <c r="BF7" s="84">
        <f>ROUND(VLOOKUP($AR7,'Loyalty - Effec - 15July'!$B$5:$D$17,3,0)*$AT7,0)</f>
        <v>0</v>
      </c>
      <c r="BG7" s="85">
        <f t="shared" si="25"/>
        <v>0</v>
      </c>
      <c r="BH7" s="81">
        <f t="shared" si="26"/>
        <v>0</v>
      </c>
      <c r="BI7" s="85">
        <f t="shared" si="27"/>
        <v>0</v>
      </c>
      <c r="BJ7" s="85">
        <f t="shared" si="28"/>
        <v>0</v>
      </c>
      <c r="BK7" s="85">
        <f t="shared" si="29"/>
        <v>0</v>
      </c>
      <c r="BL7" s="85">
        <f t="shared" si="30"/>
        <v>0</v>
      </c>
      <c r="BM7" s="85">
        <f t="shared" si="31"/>
        <v>0</v>
      </c>
      <c r="BN7" s="85">
        <f t="shared" si="32"/>
        <v>0</v>
      </c>
      <c r="BO7" s="52" t="s">
        <v>86</v>
      </c>
      <c r="BP7" s="46">
        <v>4</v>
      </c>
      <c r="BQ7" s="46"/>
      <c r="BR7" s="47">
        <f>BG7-AT7</f>
        <v>0</v>
      </c>
      <c r="BS7" s="46"/>
      <c r="BT7" s="46"/>
      <c r="BU7" s="47">
        <f t="shared" si="33"/>
        <v>0</v>
      </c>
      <c r="BV7" s="53" t="s">
        <v>89</v>
      </c>
      <c r="BW7" s="53" t="s">
        <v>932</v>
      </c>
      <c r="BX7" s="53" t="s">
        <v>90</v>
      </c>
      <c r="BY7" s="53"/>
      <c r="BZ7" s="53"/>
    </row>
    <row r="8" spans="1:79">
      <c r="A8" s="42" t="s">
        <v>209</v>
      </c>
      <c r="B8" s="28" t="s">
        <v>79</v>
      </c>
      <c r="C8" s="28" t="s">
        <v>80</v>
      </c>
      <c r="D8" s="28" t="s">
        <v>932</v>
      </c>
      <c r="E8" s="43" t="s">
        <v>82</v>
      </c>
      <c r="F8" s="28" t="s">
        <v>902</v>
      </c>
      <c r="G8" s="44" t="s">
        <v>210</v>
      </c>
      <c r="H8" s="45">
        <v>40954</v>
      </c>
      <c r="I8" s="46" t="s">
        <v>1013</v>
      </c>
      <c r="J8" s="28">
        <v>2</v>
      </c>
      <c r="K8" s="28" t="s">
        <v>863</v>
      </c>
      <c r="L8" s="28" t="s">
        <v>865</v>
      </c>
      <c r="M8" s="28" t="s">
        <v>4</v>
      </c>
      <c r="N8" s="28" t="str">
        <f t="shared" si="2"/>
        <v>AE6</v>
      </c>
      <c r="O8" s="81"/>
      <c r="P8" s="81">
        <f>CEILING(ROUND(($O8*50%),2),10)</f>
        <v>0</v>
      </c>
      <c r="Q8" s="81">
        <f t="shared" si="4"/>
        <v>0</v>
      </c>
      <c r="R8" s="81">
        <f t="shared" si="5"/>
        <v>0</v>
      </c>
      <c r="S8" s="81"/>
      <c r="T8" s="82">
        <f t="shared" si="6"/>
        <v>0</v>
      </c>
      <c r="U8" s="82">
        <f t="shared" si="7"/>
        <v>0</v>
      </c>
      <c r="V8" s="82">
        <f t="shared" si="8"/>
        <v>0</v>
      </c>
      <c r="W8" s="83">
        <v>0</v>
      </c>
      <c r="X8" s="83">
        <v>0</v>
      </c>
      <c r="Y8" s="83">
        <v>0</v>
      </c>
      <c r="Z8" s="84">
        <f>ROUND((IF(($O8&lt;=700000),0,IF(((VLOOKUP($M8,'Loyalty - Effec - 15July'!$B$5:$C$17,2,0)*$O8)&lt;=120000),(VLOOKUP($M8,'Loyalty - Effec - 15July'!$B$5:$C$17,2,0)*$O8),120000))),0)</f>
        <v>0</v>
      </c>
      <c r="AA8" s="84">
        <f>ROUND(VLOOKUP($M8,'Loyalty - Effec - 15July'!$B$5:$D$17,3,0)*$O8,0)</f>
        <v>0</v>
      </c>
      <c r="AB8" s="85">
        <f>SUM(T8:AA8)</f>
        <v>0</v>
      </c>
      <c r="AC8" s="86">
        <f t="shared" si="10"/>
        <v>0</v>
      </c>
      <c r="AD8" s="87">
        <f t="shared" si="11"/>
        <v>0</v>
      </c>
      <c r="AE8" s="88">
        <f t="shared" si="12"/>
        <v>0</v>
      </c>
      <c r="AF8" s="88">
        <f t="shared" si="13"/>
        <v>0</v>
      </c>
      <c r="AG8" s="49" t="s">
        <v>126</v>
      </c>
      <c r="AH8" s="49" t="s">
        <v>809</v>
      </c>
      <c r="AI8" s="50"/>
      <c r="AJ8" s="46"/>
      <c r="AK8" s="46"/>
      <c r="AL8" s="46"/>
      <c r="AM8" s="51">
        <f>IF($AL8=4,VLOOKUP($AR8,'Loyalty Incentive v1'!$L$3:$Q$15,2,FALSE),
IF($AL8=3,VLOOKUP($AR8,'Loyalty Incentive v1'!$L$3:$Q$15,3,FALSE),
IF($AL8=2,VLOOKUP($AR8,'Loyalty Incentive v1'!$L$3:$Q$15,4,FALSE),
IF($AL8=1,VLOOKUP($AR8,'Loyalty Incentive v1'!$L$3:$Q$15,5,FALSE),
IF($AL8=0,VLOOKUP($AR8,'Loyalty Incentive v1'!$L$3:$Q$15,6,FALSE),0)))))</f>
        <v>0</v>
      </c>
      <c r="AN8" s="51">
        <f>IFERROR(IF(I8&gt;="1",AM8,VLOOKUP(VALUE(I8),'Loyalty - Effec - 15July'!$I$5:$J$16,2,0)*AM8),0)</f>
        <v>0</v>
      </c>
      <c r="AO8" s="51">
        <v>0</v>
      </c>
      <c r="AP8" s="51">
        <f t="shared" si="14"/>
        <v>0</v>
      </c>
      <c r="AQ8" s="46" t="str">
        <f t="shared" si="15"/>
        <v>No</v>
      </c>
      <c r="AR8" s="46" t="str">
        <f t="shared" si="16"/>
        <v>AE6</v>
      </c>
      <c r="AS8" s="46" t="b">
        <f t="shared" si="17"/>
        <v>1</v>
      </c>
      <c r="AT8" s="82">
        <f t="shared" si="18"/>
        <v>0</v>
      </c>
      <c r="AU8" s="82">
        <f t="shared" si="19"/>
        <v>0</v>
      </c>
      <c r="AV8" s="82">
        <f t="shared" si="20"/>
        <v>0</v>
      </c>
      <c r="AW8" s="82">
        <f t="shared" si="21"/>
        <v>0</v>
      </c>
      <c r="AX8" s="85"/>
      <c r="AY8" s="82">
        <f t="shared" si="22"/>
        <v>0</v>
      </c>
      <c r="AZ8" s="82">
        <f t="shared" si="23"/>
        <v>0</v>
      </c>
      <c r="BA8" s="82">
        <f t="shared" si="24"/>
        <v>0</v>
      </c>
      <c r="BB8" s="83">
        <v>0</v>
      </c>
      <c r="BC8" s="83">
        <v>0</v>
      </c>
      <c r="BD8" s="83">
        <v>0</v>
      </c>
      <c r="BE8" s="84">
        <f>ROUND((IF(($AT8&lt;=700000),0,IF(((VLOOKUP($AR8,'Loyalty - Effec - 15July'!$B$5:$C$17,2,0)*$AT8)&lt;=120000),(VLOOKUP($AR8,'Loyalty - Effec - 15July'!$B$5:$C$17,2,0)*$AT8),120000))),0)</f>
        <v>0</v>
      </c>
      <c r="BF8" s="84">
        <f>ROUND(VLOOKUP($AR8,'Loyalty - Effec - 15July'!$B$5:$D$17,3,0)*$AT8,0)</f>
        <v>0</v>
      </c>
      <c r="BG8" s="85">
        <f t="shared" si="25"/>
        <v>0</v>
      </c>
      <c r="BH8" s="81">
        <f t="shared" si="26"/>
        <v>0</v>
      </c>
      <c r="BI8" s="85">
        <f t="shared" si="27"/>
        <v>0</v>
      </c>
      <c r="BJ8" s="85">
        <f t="shared" si="28"/>
        <v>0</v>
      </c>
      <c r="BK8" s="85">
        <f t="shared" si="29"/>
        <v>0</v>
      </c>
      <c r="BL8" s="85">
        <f t="shared" si="30"/>
        <v>0</v>
      </c>
      <c r="BM8" s="85">
        <f t="shared" si="31"/>
        <v>0</v>
      </c>
      <c r="BN8" s="85">
        <f t="shared" si="32"/>
        <v>0</v>
      </c>
      <c r="BO8" s="52" t="s">
        <v>86</v>
      </c>
      <c r="BP8" s="46">
        <v>3</v>
      </c>
      <c r="BQ8" s="46"/>
      <c r="BR8" s="47">
        <f>BG8-AT8</f>
        <v>0</v>
      </c>
      <c r="BS8" s="46"/>
      <c r="BT8" s="46"/>
      <c r="BU8" s="47">
        <f t="shared" si="33"/>
        <v>0</v>
      </c>
      <c r="BV8" s="53" t="s">
        <v>209</v>
      </c>
      <c r="BW8" s="53" t="s">
        <v>932</v>
      </c>
      <c r="BX8" s="53" t="s">
        <v>210</v>
      </c>
      <c r="BY8" s="53"/>
      <c r="BZ8" s="53"/>
    </row>
    <row r="9" spans="1:79">
      <c r="A9" s="42" t="s">
        <v>97</v>
      </c>
      <c r="B9" s="28" t="s">
        <v>79</v>
      </c>
      <c r="C9" s="28" t="s">
        <v>80</v>
      </c>
      <c r="D9" s="28" t="s">
        <v>932</v>
      </c>
      <c r="E9" s="43" t="s">
        <v>82</v>
      </c>
      <c r="F9" s="28" t="s">
        <v>902</v>
      </c>
      <c r="G9" s="44" t="s">
        <v>98</v>
      </c>
      <c r="H9" s="45">
        <v>41508</v>
      </c>
      <c r="I9" s="46" t="s">
        <v>1014</v>
      </c>
      <c r="J9" s="28">
        <v>1</v>
      </c>
      <c r="K9" s="28" t="s">
        <v>420</v>
      </c>
      <c r="L9" s="28" t="s">
        <v>866</v>
      </c>
      <c r="M9" s="28" t="s">
        <v>4</v>
      </c>
      <c r="N9" s="28" t="str">
        <f t="shared" si="2"/>
        <v>AE6</v>
      </c>
      <c r="O9" s="81"/>
      <c r="P9" s="81">
        <f t="shared" si="3"/>
        <v>0</v>
      </c>
      <c r="Q9" s="81">
        <f t="shared" si="4"/>
        <v>0</v>
      </c>
      <c r="R9" s="81">
        <f t="shared" si="5"/>
        <v>0</v>
      </c>
      <c r="S9" s="81"/>
      <c r="T9" s="82">
        <f t="shared" si="6"/>
        <v>0</v>
      </c>
      <c r="U9" s="82">
        <f t="shared" si="7"/>
        <v>0</v>
      </c>
      <c r="V9" s="82">
        <f t="shared" si="8"/>
        <v>0</v>
      </c>
      <c r="W9" s="83">
        <v>0</v>
      </c>
      <c r="X9" s="83">
        <v>0</v>
      </c>
      <c r="Y9" s="83">
        <v>0</v>
      </c>
      <c r="Z9" s="84">
        <f>ROUND((IF(($O9&lt;=700000),0,IF(((VLOOKUP($M9,'Loyalty - Effec - 15July'!$B$5:$C$17,2,0)*$O9)&lt;=120000),(VLOOKUP($M9,'Loyalty - Effec - 15July'!$B$5:$C$17,2,0)*$O9),120000))),0)</f>
        <v>0</v>
      </c>
      <c r="AA9" s="84">
        <f>ROUND(VLOOKUP($M9,'Loyalty - Effec - 15July'!$B$5:$D$17,3,0)*$O9,0)</f>
        <v>0</v>
      </c>
      <c r="AB9" s="85">
        <f t="shared" si="9"/>
        <v>0</v>
      </c>
      <c r="AC9" s="86">
        <f t="shared" si="10"/>
        <v>0</v>
      </c>
      <c r="AD9" s="87">
        <f t="shared" si="11"/>
        <v>0</v>
      </c>
      <c r="AE9" s="88">
        <f t="shared" si="12"/>
        <v>0</v>
      </c>
      <c r="AF9" s="88">
        <f t="shared" si="13"/>
        <v>0</v>
      </c>
      <c r="AG9" s="49" t="s">
        <v>687</v>
      </c>
      <c r="AH9" s="49" t="s">
        <v>129</v>
      </c>
      <c r="AI9" s="50"/>
      <c r="AJ9" s="46"/>
      <c r="AK9" s="46"/>
      <c r="AL9" s="46"/>
      <c r="AM9" s="51">
        <f>IF($AL9=4,VLOOKUP($AR9,'Loyalty Incentive v1'!$L$3:$Q$15,2,FALSE),
IF($AL9=3,VLOOKUP($AR9,'Loyalty Incentive v1'!$L$3:$Q$15,3,FALSE),
IF($AL9=2,VLOOKUP($AR9,'Loyalty Incentive v1'!$L$3:$Q$15,4,FALSE),
IF($AL9=1,VLOOKUP($AR9,'Loyalty Incentive v1'!$L$3:$Q$15,5,FALSE),
IF($AL9=0,VLOOKUP($AR9,'Loyalty Incentive v1'!$L$3:$Q$15,6,FALSE),0)))))</f>
        <v>0</v>
      </c>
      <c r="AN9" s="51">
        <f>IFERROR(IF(I9&gt;="1",AM9,VLOOKUP(VALUE(I9),'Loyalty - Effec - 15July'!$I$5:$J$16,2,0)*AM9),0)</f>
        <v>0</v>
      </c>
      <c r="AO9" s="51">
        <v>0</v>
      </c>
      <c r="AP9" s="51">
        <f t="shared" si="14"/>
        <v>0</v>
      </c>
      <c r="AQ9" s="46" t="str">
        <f t="shared" si="15"/>
        <v>No</v>
      </c>
      <c r="AR9" s="46" t="str">
        <f t="shared" si="16"/>
        <v>AE6</v>
      </c>
      <c r="AS9" s="46" t="b">
        <f t="shared" si="17"/>
        <v>1</v>
      </c>
      <c r="AT9" s="82">
        <f t="shared" si="18"/>
        <v>0</v>
      </c>
      <c r="AU9" s="82">
        <f t="shared" si="19"/>
        <v>0</v>
      </c>
      <c r="AV9" s="82">
        <f t="shared" si="20"/>
        <v>0</v>
      </c>
      <c r="AW9" s="82">
        <f t="shared" si="21"/>
        <v>0</v>
      </c>
      <c r="AX9" s="85"/>
      <c r="AY9" s="82">
        <f t="shared" si="22"/>
        <v>0</v>
      </c>
      <c r="AZ9" s="82">
        <f t="shared" si="23"/>
        <v>0</v>
      </c>
      <c r="BA9" s="82">
        <f t="shared" si="24"/>
        <v>0</v>
      </c>
      <c r="BB9" s="83">
        <v>0</v>
      </c>
      <c r="BC9" s="83">
        <v>0</v>
      </c>
      <c r="BD9" s="83">
        <v>0</v>
      </c>
      <c r="BE9" s="84">
        <f>ROUND((IF(($AT9&lt;=700000),0,IF(((VLOOKUP($AR9,'Loyalty - Effec - 15July'!$B$5:$C$17,2,0)*$AT9)&lt;=120000),(VLOOKUP($AR9,'Loyalty - Effec - 15July'!$B$5:$C$17,2,0)*$AT9),120000))),0)</f>
        <v>0</v>
      </c>
      <c r="BF9" s="84">
        <f>ROUND(VLOOKUP($AR9,'Loyalty - Effec - 15July'!$B$5:$D$17,3,0)*$AT9,0)</f>
        <v>0</v>
      </c>
      <c r="BG9" s="85">
        <f t="shared" si="25"/>
        <v>0</v>
      </c>
      <c r="BH9" s="81">
        <f t="shared" si="26"/>
        <v>0</v>
      </c>
      <c r="BI9" s="85">
        <f t="shared" si="27"/>
        <v>0</v>
      </c>
      <c r="BJ9" s="85">
        <f t="shared" si="28"/>
        <v>0</v>
      </c>
      <c r="BK9" s="85">
        <f t="shared" si="29"/>
        <v>0</v>
      </c>
      <c r="BL9" s="85">
        <f t="shared" si="30"/>
        <v>0</v>
      </c>
      <c r="BM9" s="85">
        <f t="shared" si="31"/>
        <v>0</v>
      </c>
      <c r="BN9" s="85">
        <f t="shared" si="32"/>
        <v>0</v>
      </c>
      <c r="BO9" s="52" t="s">
        <v>85</v>
      </c>
      <c r="BP9" s="46">
        <v>3</v>
      </c>
      <c r="BQ9" s="46"/>
      <c r="BR9" s="47">
        <f>BG9-AT9</f>
        <v>0</v>
      </c>
      <c r="BS9" s="46"/>
      <c r="BT9" s="46"/>
      <c r="BU9" s="47">
        <f t="shared" si="33"/>
        <v>0</v>
      </c>
      <c r="BV9" s="53" t="s">
        <v>97</v>
      </c>
      <c r="BW9" s="53" t="s">
        <v>932</v>
      </c>
      <c r="BX9" s="53" t="s">
        <v>98</v>
      </c>
      <c r="BY9" s="53"/>
      <c r="BZ9" s="53"/>
    </row>
    <row r="10" spans="1:79">
      <c r="A10" s="42" t="s">
        <v>99</v>
      </c>
      <c r="B10" s="28" t="s">
        <v>79</v>
      </c>
      <c r="C10" s="28" t="s">
        <v>80</v>
      </c>
      <c r="D10" s="28" t="s">
        <v>81</v>
      </c>
      <c r="E10" s="43" t="s">
        <v>82</v>
      </c>
      <c r="F10" s="28" t="s">
        <v>901</v>
      </c>
      <c r="G10" s="44" t="s">
        <v>100</v>
      </c>
      <c r="H10" s="45">
        <v>41585</v>
      </c>
      <c r="I10" s="28" t="s">
        <v>1015</v>
      </c>
      <c r="J10" s="28">
        <v>5</v>
      </c>
      <c r="K10" s="28" t="s">
        <v>863</v>
      </c>
      <c r="L10" s="28" t="s">
        <v>867</v>
      </c>
      <c r="M10" s="28" t="s">
        <v>3</v>
      </c>
      <c r="N10" s="28" t="str">
        <f t="shared" si="2"/>
        <v>AE5</v>
      </c>
      <c r="O10" s="81"/>
      <c r="P10" s="81">
        <f t="shared" si="3"/>
        <v>0</v>
      </c>
      <c r="Q10" s="81">
        <f t="shared" si="4"/>
        <v>0</v>
      </c>
      <c r="R10" s="81">
        <f t="shared" si="5"/>
        <v>0</v>
      </c>
      <c r="S10" s="81"/>
      <c r="T10" s="82">
        <f t="shared" si="6"/>
        <v>0</v>
      </c>
      <c r="U10" s="82">
        <f t="shared" si="7"/>
        <v>0</v>
      </c>
      <c r="V10" s="82">
        <f t="shared" si="8"/>
        <v>0</v>
      </c>
      <c r="W10" s="83">
        <v>0</v>
      </c>
      <c r="X10" s="83">
        <v>0</v>
      </c>
      <c r="Y10" s="83">
        <v>0</v>
      </c>
      <c r="Z10" s="84">
        <f>ROUND((IF(($O10&lt;=700000),0,IF(((VLOOKUP($M10,'Loyalty - Effec - 15July'!$B$5:$C$17,2,0)*$O10)&lt;=120000),(VLOOKUP($M10,'Loyalty - Effec - 15July'!$B$5:$C$17,2,0)*$O10),120000))),0)</f>
        <v>0</v>
      </c>
      <c r="AA10" s="84">
        <f>ROUND(VLOOKUP($M10,'Loyalty - Effec - 15July'!$B$5:$D$17,3,0)*$O10,0)</f>
        <v>0</v>
      </c>
      <c r="AB10" s="85">
        <f t="shared" si="9"/>
        <v>0</v>
      </c>
      <c r="AC10" s="86">
        <f t="shared" si="10"/>
        <v>0</v>
      </c>
      <c r="AD10" s="87">
        <f t="shared" si="11"/>
        <v>0</v>
      </c>
      <c r="AE10" s="88">
        <f t="shared" si="12"/>
        <v>0</v>
      </c>
      <c r="AF10" s="88">
        <f t="shared" si="13"/>
        <v>0</v>
      </c>
      <c r="AG10" s="49" t="s">
        <v>126</v>
      </c>
      <c r="AH10" s="49" t="s">
        <v>809</v>
      </c>
      <c r="AI10" s="50"/>
      <c r="AJ10" s="50"/>
      <c r="AK10" s="50"/>
      <c r="AL10" s="46"/>
      <c r="AM10" s="51">
        <f>IF($AL10=4,VLOOKUP($AR10,'Loyalty Incentive v1'!$L$3:$Q$15,2,FALSE),
IF($AL10=3,VLOOKUP($AR10,'Loyalty Incentive v1'!$L$3:$Q$15,3,FALSE),
IF($AL10=2,VLOOKUP($AR10,'Loyalty Incentive v1'!$L$3:$Q$15,4,FALSE),
IF($AL10=1,VLOOKUP($AR10,'Loyalty Incentive v1'!$L$3:$Q$15,5,FALSE),
IF($AL10=0,VLOOKUP($AR10,'Loyalty Incentive v1'!$L$3:$Q$15,6,FALSE),0)))))</f>
        <v>0</v>
      </c>
      <c r="AN10" s="51">
        <f>IFERROR(IF(I10&gt;="1",AM10,VLOOKUP(VALUE(I10),'Loyalty - Effec - 15July'!$I$5:$J$16,2,0)*AM10),0)</f>
        <v>0</v>
      </c>
      <c r="AO10" s="51">
        <v>-0.14099999999999999</v>
      </c>
      <c r="AP10" s="51">
        <f t="shared" si="14"/>
        <v>-0.14099999999999999</v>
      </c>
      <c r="AQ10" s="46" t="str">
        <f t="shared" si="15"/>
        <v>No</v>
      </c>
      <c r="AR10" s="46" t="str">
        <f t="shared" si="16"/>
        <v>AE5</v>
      </c>
      <c r="AS10" s="46" t="b">
        <f t="shared" si="17"/>
        <v>1</v>
      </c>
      <c r="AT10" s="82">
        <f t="shared" si="18"/>
        <v>0</v>
      </c>
      <c r="AU10" s="82">
        <f t="shared" si="19"/>
        <v>0</v>
      </c>
      <c r="AV10" s="82">
        <f t="shared" si="20"/>
        <v>0</v>
      </c>
      <c r="AW10" s="82">
        <f t="shared" si="21"/>
        <v>0</v>
      </c>
      <c r="AX10" s="85"/>
      <c r="AY10" s="82">
        <f t="shared" si="22"/>
        <v>0</v>
      </c>
      <c r="AZ10" s="82">
        <f t="shared" si="23"/>
        <v>0</v>
      </c>
      <c r="BA10" s="82">
        <f t="shared" si="24"/>
        <v>0</v>
      </c>
      <c r="BB10" s="83">
        <v>0</v>
      </c>
      <c r="BC10" s="83">
        <v>0</v>
      </c>
      <c r="BD10" s="83">
        <v>0</v>
      </c>
      <c r="BE10" s="84">
        <f>ROUND((IF(($AT10&lt;=700000),0,IF(((VLOOKUP($AR10,'Loyalty - Effec - 15July'!$B$5:$C$17,2,0)*$AT10)&lt;=120000),(VLOOKUP($AR10,'Loyalty - Effec - 15July'!$B$5:$C$17,2,0)*$AT10),120000))),0)</f>
        <v>0</v>
      </c>
      <c r="BF10" s="84">
        <f>ROUND(VLOOKUP($AR10,'Loyalty - Effec - 15July'!$B$5:$D$17,3,0)*$AT10,0)</f>
        <v>0</v>
      </c>
      <c r="BG10" s="85">
        <f t="shared" si="25"/>
        <v>0</v>
      </c>
      <c r="BH10" s="81">
        <f t="shared" si="26"/>
        <v>0</v>
      </c>
      <c r="BI10" s="85">
        <f t="shared" si="27"/>
        <v>0</v>
      </c>
      <c r="BJ10" s="85">
        <f t="shared" si="28"/>
        <v>0</v>
      </c>
      <c r="BK10" s="85">
        <f t="shared" si="29"/>
        <v>0</v>
      </c>
      <c r="BL10" s="85">
        <f t="shared" si="30"/>
        <v>0</v>
      </c>
      <c r="BM10" s="85">
        <f t="shared" si="31"/>
        <v>0</v>
      </c>
      <c r="BN10" s="85">
        <f t="shared" si="32"/>
        <v>0</v>
      </c>
      <c r="BO10" s="52" t="s">
        <v>86</v>
      </c>
      <c r="BP10" s="46">
        <v>2</v>
      </c>
      <c r="BQ10" s="46"/>
      <c r="BR10" s="47">
        <f>BG10-AB10</f>
        <v>0</v>
      </c>
      <c r="BS10" s="46">
        <v>2</v>
      </c>
      <c r="BT10" s="54">
        <v>9.0999999999999998E-2</v>
      </c>
      <c r="BU10" s="47">
        <f t="shared" si="33"/>
        <v>0</v>
      </c>
      <c r="BV10" s="53" t="s">
        <v>99</v>
      </c>
      <c r="BW10" s="53" t="s">
        <v>81</v>
      </c>
      <c r="BX10" s="53" t="s">
        <v>100</v>
      </c>
      <c r="BY10" s="53"/>
      <c r="BZ10" s="53"/>
      <c r="CA10" s="55"/>
    </row>
    <row r="11" spans="1:79">
      <c r="A11" s="42" t="s">
        <v>186</v>
      </c>
      <c r="B11" s="28" t="s">
        <v>79</v>
      </c>
      <c r="C11" s="28" t="s">
        <v>80</v>
      </c>
      <c r="D11" s="28" t="s">
        <v>932</v>
      </c>
      <c r="E11" s="43" t="s">
        <v>82</v>
      </c>
      <c r="F11" s="28" t="s">
        <v>901</v>
      </c>
      <c r="G11" s="44" t="s">
        <v>187</v>
      </c>
      <c r="H11" s="45">
        <v>41687</v>
      </c>
      <c r="I11" s="46" t="s">
        <v>1016</v>
      </c>
      <c r="J11" s="28">
        <v>2</v>
      </c>
      <c r="K11" s="28" t="s">
        <v>407</v>
      </c>
      <c r="L11" s="28" t="s">
        <v>868</v>
      </c>
      <c r="M11" s="28" t="s">
        <v>3</v>
      </c>
      <c r="N11" s="28" t="str">
        <f t="shared" si="2"/>
        <v>AE5</v>
      </c>
      <c r="O11" s="81"/>
      <c r="P11" s="81">
        <f t="shared" si="3"/>
        <v>0</v>
      </c>
      <c r="Q11" s="81">
        <f t="shared" si="4"/>
        <v>0</v>
      </c>
      <c r="R11" s="81">
        <f t="shared" si="5"/>
        <v>0</v>
      </c>
      <c r="S11" s="81"/>
      <c r="T11" s="82">
        <f t="shared" si="6"/>
        <v>0</v>
      </c>
      <c r="U11" s="82">
        <f t="shared" si="7"/>
        <v>0</v>
      </c>
      <c r="V11" s="82">
        <f t="shared" si="8"/>
        <v>0</v>
      </c>
      <c r="W11" s="83">
        <v>0</v>
      </c>
      <c r="X11" s="83">
        <v>0</v>
      </c>
      <c r="Y11" s="83">
        <v>0</v>
      </c>
      <c r="Z11" s="84">
        <f>ROUND((IF(($O11&lt;=700000),0,IF(((VLOOKUP($M11,'Loyalty - Effec - 15July'!$B$5:$C$17,2,0)*$O11)&lt;=120000),(VLOOKUP($M11,'Loyalty - Effec - 15July'!$B$5:$C$17,2,0)*$O11),120000))),0)</f>
        <v>0</v>
      </c>
      <c r="AA11" s="84">
        <f>ROUND(VLOOKUP($M11,'Loyalty - Effec - 15July'!$B$5:$D$17,3,0)*$O11,0)</f>
        <v>0</v>
      </c>
      <c r="AB11" s="85">
        <f t="shared" si="9"/>
        <v>0</v>
      </c>
      <c r="AC11" s="86">
        <f t="shared" si="10"/>
        <v>0</v>
      </c>
      <c r="AD11" s="87">
        <f t="shared" si="11"/>
        <v>0</v>
      </c>
      <c r="AE11" s="88">
        <f t="shared" si="12"/>
        <v>0</v>
      </c>
      <c r="AF11" s="88">
        <f t="shared" si="13"/>
        <v>0</v>
      </c>
      <c r="AG11" s="49" t="s">
        <v>103</v>
      </c>
      <c r="AH11" s="49" t="s">
        <v>349</v>
      </c>
      <c r="AI11" s="50"/>
      <c r="AJ11" s="46"/>
      <c r="AK11" s="46"/>
      <c r="AL11" s="46"/>
      <c r="AM11" s="51">
        <f>IF($AL11=4,VLOOKUP($AR11,'Loyalty Incentive v1'!$L$3:$Q$15,2,FALSE),
IF($AL11=3,VLOOKUP($AR11,'Loyalty Incentive v1'!$L$3:$Q$15,3,FALSE),
IF($AL11=2,VLOOKUP($AR11,'Loyalty Incentive v1'!$L$3:$Q$15,4,FALSE),
IF($AL11=1,VLOOKUP($AR11,'Loyalty Incentive v1'!$L$3:$Q$15,5,FALSE),
IF($AL11=0,VLOOKUP($AR11,'Loyalty Incentive v1'!$L$3:$Q$15,6,FALSE),0)))))</f>
        <v>0</v>
      </c>
      <c r="AN11" s="51">
        <f>IFERROR(IF(I11&gt;="1",AM11,VLOOKUP(VALUE(I11),'Loyalty - Effec - 15July'!$I$5:$J$16,2,0)*AM11),0)</f>
        <v>0</v>
      </c>
      <c r="AO11" s="51">
        <v>0</v>
      </c>
      <c r="AP11" s="51">
        <f t="shared" si="14"/>
        <v>0</v>
      </c>
      <c r="AQ11" s="46" t="str">
        <f t="shared" si="15"/>
        <v>No</v>
      </c>
      <c r="AR11" s="46" t="str">
        <f t="shared" si="16"/>
        <v>AE5</v>
      </c>
      <c r="AS11" s="46" t="b">
        <f t="shared" si="17"/>
        <v>1</v>
      </c>
      <c r="AT11" s="82">
        <f t="shared" si="18"/>
        <v>0</v>
      </c>
      <c r="AU11" s="82">
        <f t="shared" si="19"/>
        <v>0</v>
      </c>
      <c r="AV11" s="82">
        <f t="shared" si="20"/>
        <v>0</v>
      </c>
      <c r="AW11" s="82">
        <f t="shared" si="21"/>
        <v>0</v>
      </c>
      <c r="AX11" s="85"/>
      <c r="AY11" s="82">
        <f t="shared" si="22"/>
        <v>0</v>
      </c>
      <c r="AZ11" s="82">
        <f t="shared" si="23"/>
        <v>0</v>
      </c>
      <c r="BA11" s="82">
        <f t="shared" si="24"/>
        <v>0</v>
      </c>
      <c r="BB11" s="83">
        <v>0</v>
      </c>
      <c r="BC11" s="83">
        <v>0</v>
      </c>
      <c r="BD11" s="83">
        <v>0</v>
      </c>
      <c r="BE11" s="84">
        <f>ROUND((IF(($AT11&lt;=700000),0,IF(((VLOOKUP($AR11,'Loyalty - Effec - 15July'!$B$5:$C$17,2,0)*$AT11)&lt;=120000),(VLOOKUP($AR11,'Loyalty - Effec - 15July'!$B$5:$C$17,2,0)*$AT11),120000))),0)</f>
        <v>0</v>
      </c>
      <c r="BF11" s="84">
        <f>ROUND(VLOOKUP($AR11,'Loyalty - Effec - 15July'!$B$5:$D$17,3,0)*$AT11,0)</f>
        <v>0</v>
      </c>
      <c r="BG11" s="85">
        <f t="shared" si="25"/>
        <v>0</v>
      </c>
      <c r="BH11" s="81">
        <f t="shared" si="26"/>
        <v>0</v>
      </c>
      <c r="BI11" s="85">
        <f t="shared" si="27"/>
        <v>0</v>
      </c>
      <c r="BJ11" s="85">
        <f t="shared" si="28"/>
        <v>0</v>
      </c>
      <c r="BK11" s="85">
        <f t="shared" si="29"/>
        <v>0</v>
      </c>
      <c r="BL11" s="85">
        <f t="shared" si="30"/>
        <v>0</v>
      </c>
      <c r="BM11" s="85">
        <f t="shared" si="31"/>
        <v>0</v>
      </c>
      <c r="BN11" s="85">
        <f t="shared" si="32"/>
        <v>0</v>
      </c>
      <c r="BO11" s="52" t="s">
        <v>85</v>
      </c>
      <c r="BP11" s="46">
        <v>2</v>
      </c>
      <c r="BQ11" s="46"/>
      <c r="BR11" s="47">
        <f>BG11-AT11</f>
        <v>0</v>
      </c>
      <c r="BS11" s="46"/>
      <c r="BT11" s="46"/>
      <c r="BU11" s="47">
        <f t="shared" si="33"/>
        <v>0</v>
      </c>
      <c r="BV11" s="53" t="s">
        <v>186</v>
      </c>
      <c r="BW11" s="53" t="s">
        <v>932</v>
      </c>
      <c r="BX11" s="53" t="s">
        <v>187</v>
      </c>
      <c r="BY11" s="53"/>
      <c r="BZ11" s="53"/>
    </row>
    <row r="12" spans="1:79">
      <c r="A12" s="42" t="s">
        <v>104</v>
      </c>
      <c r="B12" s="28" t="s">
        <v>79</v>
      </c>
      <c r="C12" s="28" t="s">
        <v>80</v>
      </c>
      <c r="D12" s="28" t="s">
        <v>932</v>
      </c>
      <c r="E12" s="43" t="s">
        <v>82</v>
      </c>
      <c r="F12" s="28" t="s">
        <v>902</v>
      </c>
      <c r="G12" s="44" t="s">
        <v>105</v>
      </c>
      <c r="H12" s="45">
        <v>41709</v>
      </c>
      <c r="I12" s="46" t="s">
        <v>1017</v>
      </c>
      <c r="J12" s="28">
        <v>3</v>
      </c>
      <c r="K12" s="28" t="s">
        <v>418</v>
      </c>
      <c r="L12" s="28" t="s">
        <v>416</v>
      </c>
      <c r="M12" s="28" t="s">
        <v>5</v>
      </c>
      <c r="N12" s="28" t="str">
        <f t="shared" si="2"/>
        <v>E1</v>
      </c>
      <c r="O12" s="81"/>
      <c r="P12" s="81">
        <f t="shared" si="3"/>
        <v>0</v>
      </c>
      <c r="Q12" s="81">
        <f t="shared" si="4"/>
        <v>0</v>
      </c>
      <c r="R12" s="81">
        <f t="shared" si="5"/>
        <v>0</v>
      </c>
      <c r="S12" s="81"/>
      <c r="T12" s="82">
        <f t="shared" si="6"/>
        <v>0</v>
      </c>
      <c r="U12" s="82">
        <f t="shared" si="7"/>
        <v>0</v>
      </c>
      <c r="V12" s="82">
        <f t="shared" si="8"/>
        <v>0</v>
      </c>
      <c r="W12" s="83">
        <v>0</v>
      </c>
      <c r="X12" s="83">
        <v>0</v>
      </c>
      <c r="Y12" s="83">
        <v>0</v>
      </c>
      <c r="Z12" s="84">
        <f>ROUND((IF(($O12&lt;=700000),0,IF(((VLOOKUP($M12,'Loyalty - Effec - 15July'!$B$5:$C$17,2,0)*$O12)&lt;=120000),(VLOOKUP($M12,'Loyalty - Effec - 15July'!$B$5:$C$17,2,0)*$O12),120000))),0)</f>
        <v>0</v>
      </c>
      <c r="AA12" s="84">
        <f>ROUND(VLOOKUP($M12,'Loyalty - Effec - 15July'!$B$5:$D$17,3,0)*$O12,0)</f>
        <v>0</v>
      </c>
      <c r="AB12" s="85">
        <f t="shared" si="9"/>
        <v>0</v>
      </c>
      <c r="AC12" s="86">
        <f t="shared" si="10"/>
        <v>0</v>
      </c>
      <c r="AD12" s="87">
        <f t="shared" si="11"/>
        <v>0</v>
      </c>
      <c r="AE12" s="88">
        <f t="shared" si="12"/>
        <v>0</v>
      </c>
      <c r="AF12" s="88">
        <f t="shared" si="13"/>
        <v>0</v>
      </c>
      <c r="AG12" s="49" t="s">
        <v>809</v>
      </c>
      <c r="AH12" s="49" t="s">
        <v>904</v>
      </c>
      <c r="AI12" s="50"/>
      <c r="AJ12" s="46"/>
      <c r="AK12" s="46"/>
      <c r="AL12" s="46"/>
      <c r="AM12" s="51">
        <f>IF($AL12=4,VLOOKUP($AR12,'Loyalty Incentive v1'!$L$3:$Q$15,2,FALSE),
IF($AL12=3,VLOOKUP($AR12,'Loyalty Incentive v1'!$L$3:$Q$15,3,FALSE),
IF($AL12=2,VLOOKUP($AR12,'Loyalty Incentive v1'!$L$3:$Q$15,4,FALSE),
IF($AL12=1,VLOOKUP($AR12,'Loyalty Incentive v1'!$L$3:$Q$15,5,FALSE),
IF($AL12=0,VLOOKUP($AR12,'Loyalty Incentive v1'!$L$3:$Q$15,6,FALSE),0)))))</f>
        <v>0</v>
      </c>
      <c r="AN12" s="51">
        <f>IFERROR(IF(I12&gt;="1",AM12,VLOOKUP(VALUE(I12),'Loyalty - Effec - 15July'!$I$5:$J$16,2,0)*AM12),0)</f>
        <v>0</v>
      </c>
      <c r="AO12" s="51">
        <v>0</v>
      </c>
      <c r="AP12" s="51">
        <f t="shared" si="14"/>
        <v>0</v>
      </c>
      <c r="AQ12" s="46" t="str">
        <f t="shared" si="15"/>
        <v>No</v>
      </c>
      <c r="AR12" s="46" t="str">
        <f t="shared" si="16"/>
        <v>E1</v>
      </c>
      <c r="AS12" s="46" t="b">
        <f t="shared" si="17"/>
        <v>1</v>
      </c>
      <c r="AT12" s="82">
        <f t="shared" si="18"/>
        <v>0</v>
      </c>
      <c r="AU12" s="82">
        <f t="shared" si="19"/>
        <v>0</v>
      </c>
      <c r="AV12" s="82">
        <f t="shared" si="20"/>
        <v>0</v>
      </c>
      <c r="AW12" s="82">
        <f t="shared" si="21"/>
        <v>0</v>
      </c>
      <c r="AX12" s="85"/>
      <c r="AY12" s="82">
        <f t="shared" si="22"/>
        <v>0</v>
      </c>
      <c r="AZ12" s="82">
        <f t="shared" si="23"/>
        <v>0</v>
      </c>
      <c r="BA12" s="82">
        <f t="shared" si="24"/>
        <v>0</v>
      </c>
      <c r="BB12" s="83">
        <v>0</v>
      </c>
      <c r="BC12" s="83">
        <v>0</v>
      </c>
      <c r="BD12" s="83">
        <v>0</v>
      </c>
      <c r="BE12" s="84">
        <f>ROUND((IF(($AT12&lt;=700000),0,IF(((VLOOKUP($AR12,'Loyalty - Effec - 15July'!$B$5:$C$17,2,0)*$AT12)&lt;=120000),(VLOOKUP($AR12,'Loyalty - Effec - 15July'!$B$5:$C$17,2,0)*$AT12),120000))),0)</f>
        <v>0</v>
      </c>
      <c r="BF12" s="84">
        <f>ROUND(VLOOKUP($AR12,'Loyalty - Effec - 15July'!$B$5:$D$17,3,0)*$AT12,0)</f>
        <v>0</v>
      </c>
      <c r="BG12" s="85">
        <f t="shared" si="25"/>
        <v>0</v>
      </c>
      <c r="BH12" s="81">
        <f t="shared" si="26"/>
        <v>0</v>
      </c>
      <c r="BI12" s="85">
        <f t="shared" si="27"/>
        <v>0</v>
      </c>
      <c r="BJ12" s="85">
        <f t="shared" si="28"/>
        <v>0</v>
      </c>
      <c r="BK12" s="85">
        <f t="shared" si="29"/>
        <v>0</v>
      </c>
      <c r="BL12" s="85">
        <f t="shared" si="30"/>
        <v>0</v>
      </c>
      <c r="BM12" s="85">
        <f t="shared" si="31"/>
        <v>0</v>
      </c>
      <c r="BN12" s="85">
        <f t="shared" si="32"/>
        <v>0</v>
      </c>
      <c r="BO12" s="52" t="s">
        <v>85</v>
      </c>
      <c r="BP12" s="46">
        <v>3</v>
      </c>
      <c r="BQ12" s="46"/>
      <c r="BR12" s="47">
        <f>BG12-AT12</f>
        <v>0</v>
      </c>
      <c r="BU12" s="47">
        <f t="shared" si="33"/>
        <v>0</v>
      </c>
      <c r="BV12" s="53" t="s">
        <v>104</v>
      </c>
      <c r="BW12" s="53" t="s">
        <v>932</v>
      </c>
      <c r="BX12" s="53" t="s">
        <v>105</v>
      </c>
      <c r="BY12" s="53"/>
      <c r="BZ12" s="53"/>
    </row>
    <row r="13" spans="1:79">
      <c r="A13" s="42" t="s">
        <v>106</v>
      </c>
      <c r="B13" s="28" t="s">
        <v>79</v>
      </c>
      <c r="C13" s="28" t="s">
        <v>80</v>
      </c>
      <c r="D13" s="28" t="s">
        <v>932</v>
      </c>
      <c r="E13" s="43" t="s">
        <v>82</v>
      </c>
      <c r="F13" s="28" t="s">
        <v>901</v>
      </c>
      <c r="G13" s="44" t="s">
        <v>107</v>
      </c>
      <c r="H13" s="45">
        <v>41722</v>
      </c>
      <c r="I13" s="46" t="s">
        <v>1017</v>
      </c>
      <c r="J13" s="28">
        <v>3</v>
      </c>
      <c r="K13" s="28" t="s">
        <v>863</v>
      </c>
      <c r="L13" s="28" t="s">
        <v>869</v>
      </c>
      <c r="M13" s="28" t="s">
        <v>3</v>
      </c>
      <c r="N13" s="28" t="str">
        <f t="shared" si="2"/>
        <v>AE5</v>
      </c>
      <c r="O13" s="81"/>
      <c r="P13" s="81">
        <f t="shared" si="3"/>
        <v>0</v>
      </c>
      <c r="Q13" s="81">
        <f t="shared" si="4"/>
        <v>0</v>
      </c>
      <c r="R13" s="81">
        <f t="shared" si="5"/>
        <v>0</v>
      </c>
      <c r="S13" s="81"/>
      <c r="T13" s="82">
        <f t="shared" si="6"/>
        <v>0</v>
      </c>
      <c r="U13" s="82">
        <f t="shared" si="7"/>
        <v>0</v>
      </c>
      <c r="V13" s="82">
        <f t="shared" si="8"/>
        <v>0</v>
      </c>
      <c r="W13" s="83">
        <v>0</v>
      </c>
      <c r="X13" s="83">
        <v>0</v>
      </c>
      <c r="Y13" s="83">
        <v>0</v>
      </c>
      <c r="Z13" s="84">
        <f>ROUND((IF(($O13&lt;=700000),0,IF(((VLOOKUP($M13,'Loyalty - Effec - 15July'!$B$5:$C$17,2,0)*$O13)&lt;=120000),(VLOOKUP($M13,'Loyalty - Effec - 15July'!$B$5:$C$17,2,0)*$O13),120000))),0)</f>
        <v>0</v>
      </c>
      <c r="AA13" s="84">
        <f>ROUND(VLOOKUP($M13,'Loyalty - Effec - 15July'!$B$5:$D$17,3,0)*$O13,0)</f>
        <v>0</v>
      </c>
      <c r="AB13" s="85">
        <f t="shared" si="9"/>
        <v>0</v>
      </c>
      <c r="AC13" s="86">
        <f t="shared" si="10"/>
        <v>0</v>
      </c>
      <c r="AD13" s="87">
        <f t="shared" si="11"/>
        <v>0</v>
      </c>
      <c r="AE13" s="88">
        <f t="shared" si="12"/>
        <v>0</v>
      </c>
      <c r="AF13" s="88">
        <f t="shared" si="13"/>
        <v>0</v>
      </c>
      <c r="AG13" s="49" t="s">
        <v>200</v>
      </c>
      <c r="AH13" s="49" t="s">
        <v>83</v>
      </c>
      <c r="AI13" s="50"/>
      <c r="AJ13" s="46"/>
      <c r="AK13" s="46"/>
      <c r="AL13" s="46"/>
      <c r="AM13" s="51">
        <f>IF($AL13=4,VLOOKUP($AR13,'Loyalty Incentive v1'!$L$3:$Q$15,2,FALSE),
IF($AL13=3,VLOOKUP($AR13,'Loyalty Incentive v1'!$L$3:$Q$15,3,FALSE),
IF($AL13=2,VLOOKUP($AR13,'Loyalty Incentive v1'!$L$3:$Q$15,4,FALSE),
IF($AL13=1,VLOOKUP($AR13,'Loyalty Incentive v1'!$L$3:$Q$15,5,FALSE),
IF($AL13=0,VLOOKUP($AR13,'Loyalty Incentive v1'!$L$3:$Q$15,6,FALSE),0)))))</f>
        <v>0</v>
      </c>
      <c r="AN13" s="51">
        <f>IFERROR(IF(I13&gt;="1",AM13,VLOOKUP(VALUE(I13),'Loyalty - Effec - 15July'!$I$5:$J$16,2,0)*AM13),0)</f>
        <v>0</v>
      </c>
      <c r="AO13" s="51">
        <v>0</v>
      </c>
      <c r="AP13" s="51">
        <f t="shared" si="14"/>
        <v>0</v>
      </c>
      <c r="AQ13" s="46" t="str">
        <f t="shared" si="15"/>
        <v>No</v>
      </c>
      <c r="AR13" s="46" t="str">
        <f t="shared" si="16"/>
        <v>AE5</v>
      </c>
      <c r="AS13" s="46" t="b">
        <f t="shared" si="17"/>
        <v>1</v>
      </c>
      <c r="AT13" s="82">
        <f t="shared" si="18"/>
        <v>0</v>
      </c>
      <c r="AU13" s="82">
        <f t="shared" si="19"/>
        <v>0</v>
      </c>
      <c r="AV13" s="82">
        <f t="shared" si="20"/>
        <v>0</v>
      </c>
      <c r="AW13" s="82">
        <f t="shared" si="21"/>
        <v>0</v>
      </c>
      <c r="AX13" s="85"/>
      <c r="AY13" s="82">
        <f t="shared" si="22"/>
        <v>0</v>
      </c>
      <c r="AZ13" s="82">
        <f t="shared" si="23"/>
        <v>0</v>
      </c>
      <c r="BA13" s="82">
        <f t="shared" si="24"/>
        <v>0</v>
      </c>
      <c r="BB13" s="83">
        <v>0</v>
      </c>
      <c r="BC13" s="83">
        <v>0</v>
      </c>
      <c r="BD13" s="83">
        <v>0</v>
      </c>
      <c r="BE13" s="84">
        <f>ROUND((IF(($AT13&lt;=700000),0,IF(((VLOOKUP($AR13,'Loyalty - Effec - 15July'!$B$5:$C$17,2,0)*$AT13)&lt;=120000),(VLOOKUP($AR13,'Loyalty - Effec - 15July'!$B$5:$C$17,2,0)*$AT13),120000))),0)</f>
        <v>0</v>
      </c>
      <c r="BF13" s="84">
        <f>ROUND(VLOOKUP($AR13,'Loyalty - Effec - 15July'!$B$5:$D$17,3,0)*$AT13,0)</f>
        <v>0</v>
      </c>
      <c r="BG13" s="85">
        <f t="shared" si="25"/>
        <v>0</v>
      </c>
      <c r="BH13" s="81">
        <f t="shared" si="26"/>
        <v>0</v>
      </c>
      <c r="BI13" s="85">
        <f t="shared" si="27"/>
        <v>0</v>
      </c>
      <c r="BJ13" s="85">
        <f t="shared" si="28"/>
        <v>0</v>
      </c>
      <c r="BK13" s="85">
        <f t="shared" si="29"/>
        <v>0</v>
      </c>
      <c r="BL13" s="85">
        <f t="shared" si="30"/>
        <v>0</v>
      </c>
      <c r="BM13" s="85">
        <f t="shared" si="31"/>
        <v>0</v>
      </c>
      <c r="BN13" s="85">
        <f t="shared" si="32"/>
        <v>0</v>
      </c>
      <c r="BO13" s="52" t="s">
        <v>85</v>
      </c>
      <c r="BP13" s="46">
        <v>2</v>
      </c>
      <c r="BQ13" s="46"/>
      <c r="BR13" s="47">
        <f>BG13-AT13</f>
        <v>0</v>
      </c>
      <c r="BU13" s="47">
        <f t="shared" si="33"/>
        <v>0</v>
      </c>
      <c r="BV13" s="53" t="s">
        <v>106</v>
      </c>
      <c r="BW13" s="53" t="s">
        <v>932</v>
      </c>
      <c r="BX13" s="53" t="s">
        <v>107</v>
      </c>
      <c r="BY13" s="53"/>
      <c r="BZ13" s="53"/>
    </row>
    <row r="14" spans="1:79">
      <c r="A14" s="42" t="s">
        <v>108</v>
      </c>
      <c r="B14" s="28" t="s">
        <v>79</v>
      </c>
      <c r="C14" s="28" t="s">
        <v>80</v>
      </c>
      <c r="D14" s="28" t="s">
        <v>932</v>
      </c>
      <c r="E14" s="43" t="s">
        <v>82</v>
      </c>
      <c r="F14" s="28" t="s">
        <v>901</v>
      </c>
      <c r="G14" s="44" t="s">
        <v>109</v>
      </c>
      <c r="H14" s="45">
        <v>41731</v>
      </c>
      <c r="I14" s="46" t="s">
        <v>1018</v>
      </c>
      <c r="J14" s="28">
        <v>4</v>
      </c>
      <c r="K14" s="28" t="s">
        <v>285</v>
      </c>
      <c r="L14" s="28" t="s">
        <v>870</v>
      </c>
      <c r="M14" s="28" t="s">
        <v>3</v>
      </c>
      <c r="N14" s="28" t="str">
        <f t="shared" si="2"/>
        <v>AE5</v>
      </c>
      <c r="O14" s="81"/>
      <c r="P14" s="81">
        <f t="shared" si="3"/>
        <v>0</v>
      </c>
      <c r="Q14" s="81">
        <f t="shared" si="4"/>
        <v>0</v>
      </c>
      <c r="R14" s="81">
        <f t="shared" si="5"/>
        <v>0</v>
      </c>
      <c r="S14" s="81"/>
      <c r="T14" s="82">
        <f t="shared" si="6"/>
        <v>0</v>
      </c>
      <c r="U14" s="82">
        <f t="shared" si="7"/>
        <v>0</v>
      </c>
      <c r="V14" s="82">
        <f t="shared" si="8"/>
        <v>0</v>
      </c>
      <c r="W14" s="83">
        <v>0</v>
      </c>
      <c r="X14" s="83">
        <v>0</v>
      </c>
      <c r="Y14" s="83">
        <v>0</v>
      </c>
      <c r="Z14" s="84">
        <f>ROUND((IF(($O14&lt;=700000),0,IF(((VLOOKUP($M14,'Loyalty - Effec - 15July'!$B$5:$C$17,2,0)*$O14)&lt;=120000),(VLOOKUP($M14,'Loyalty - Effec - 15July'!$B$5:$C$17,2,0)*$O14),120000))),0)</f>
        <v>0</v>
      </c>
      <c r="AA14" s="84">
        <f>ROUND(VLOOKUP($M14,'Loyalty - Effec - 15July'!$B$5:$D$17,3,0)*$O14,0)</f>
        <v>0</v>
      </c>
      <c r="AB14" s="85">
        <f t="shared" si="9"/>
        <v>0</v>
      </c>
      <c r="AC14" s="86">
        <f t="shared" si="10"/>
        <v>0</v>
      </c>
      <c r="AD14" s="87">
        <f t="shared" si="11"/>
        <v>0</v>
      </c>
      <c r="AE14" s="88">
        <f t="shared" si="12"/>
        <v>0</v>
      </c>
      <c r="AF14" s="88">
        <f t="shared" si="13"/>
        <v>0</v>
      </c>
      <c r="AG14" s="49" t="s">
        <v>905</v>
      </c>
      <c r="AH14" s="49" t="s">
        <v>918</v>
      </c>
      <c r="AI14" s="50"/>
      <c r="AJ14" s="46"/>
      <c r="AK14" s="46"/>
      <c r="AL14" s="46"/>
      <c r="AM14" s="51">
        <f>IF($AL14=4,VLOOKUP($AR14,'Loyalty Incentive v1'!$L$3:$Q$15,2,FALSE),
IF($AL14=3,VLOOKUP($AR14,'Loyalty Incentive v1'!$L$3:$Q$15,3,FALSE),
IF($AL14=2,VLOOKUP($AR14,'Loyalty Incentive v1'!$L$3:$Q$15,4,FALSE),
IF($AL14=1,VLOOKUP($AR14,'Loyalty Incentive v1'!$L$3:$Q$15,5,FALSE),
IF($AL14=0,VLOOKUP($AR14,'Loyalty Incentive v1'!$L$3:$Q$15,6,FALSE),0)))))</f>
        <v>0</v>
      </c>
      <c r="AN14" s="51">
        <f>IFERROR(IF(I14&gt;="1",AM14,VLOOKUP(VALUE(I14),'Loyalty - Effec - 15July'!$I$5:$J$16,2,0)*AM14),0)</f>
        <v>0</v>
      </c>
      <c r="AO14" s="51">
        <v>0</v>
      </c>
      <c r="AP14" s="51">
        <f t="shared" si="14"/>
        <v>0</v>
      </c>
      <c r="AQ14" s="46" t="str">
        <f t="shared" si="15"/>
        <v>No</v>
      </c>
      <c r="AR14" s="46" t="str">
        <f t="shared" si="16"/>
        <v>AE5</v>
      </c>
      <c r="AS14" s="46" t="b">
        <f t="shared" si="17"/>
        <v>1</v>
      </c>
      <c r="AT14" s="82">
        <f t="shared" si="18"/>
        <v>0</v>
      </c>
      <c r="AU14" s="82">
        <f t="shared" si="19"/>
        <v>0</v>
      </c>
      <c r="AV14" s="82">
        <f t="shared" si="20"/>
        <v>0</v>
      </c>
      <c r="AW14" s="82">
        <f t="shared" si="21"/>
        <v>0</v>
      </c>
      <c r="AX14" s="85"/>
      <c r="AY14" s="82">
        <f t="shared" si="22"/>
        <v>0</v>
      </c>
      <c r="AZ14" s="82">
        <f t="shared" si="23"/>
        <v>0</v>
      </c>
      <c r="BA14" s="82">
        <f t="shared" si="24"/>
        <v>0</v>
      </c>
      <c r="BB14" s="83">
        <v>0</v>
      </c>
      <c r="BC14" s="83">
        <v>0</v>
      </c>
      <c r="BD14" s="83">
        <v>0</v>
      </c>
      <c r="BE14" s="84">
        <f>ROUND((IF(($AT14&lt;=700000),0,IF(((VLOOKUP($AR14,'Loyalty - Effec - 15July'!$B$5:$C$17,2,0)*$AT14)&lt;=120000),(VLOOKUP($AR14,'Loyalty - Effec - 15July'!$B$5:$C$17,2,0)*$AT14),120000))),0)</f>
        <v>0</v>
      </c>
      <c r="BF14" s="84">
        <f>ROUND(VLOOKUP($AR14,'Loyalty - Effec - 15July'!$B$5:$D$17,3,0)*$AT14,0)</f>
        <v>0</v>
      </c>
      <c r="BG14" s="85">
        <f t="shared" si="25"/>
        <v>0</v>
      </c>
      <c r="BH14" s="81">
        <f t="shared" si="26"/>
        <v>0</v>
      </c>
      <c r="BI14" s="85">
        <f t="shared" si="27"/>
        <v>0</v>
      </c>
      <c r="BJ14" s="85">
        <f t="shared" si="28"/>
        <v>0</v>
      </c>
      <c r="BK14" s="85">
        <f t="shared" si="29"/>
        <v>0</v>
      </c>
      <c r="BL14" s="85">
        <f t="shared" si="30"/>
        <v>0</v>
      </c>
      <c r="BM14" s="85">
        <f t="shared" si="31"/>
        <v>0</v>
      </c>
      <c r="BN14" s="85">
        <f t="shared" si="32"/>
        <v>0</v>
      </c>
      <c r="BO14" s="52" t="s">
        <v>86</v>
      </c>
      <c r="BP14" s="46">
        <v>3</v>
      </c>
      <c r="BQ14" s="46"/>
      <c r="BR14" s="47">
        <f>BG14-AB14</f>
        <v>0</v>
      </c>
      <c r="BU14" s="47">
        <f t="shared" si="33"/>
        <v>0</v>
      </c>
      <c r="BV14" s="53" t="s">
        <v>108</v>
      </c>
      <c r="BW14" s="53" t="s">
        <v>932</v>
      </c>
      <c r="BX14" s="53" t="s">
        <v>109</v>
      </c>
      <c r="BY14" s="53"/>
      <c r="BZ14" s="53"/>
    </row>
    <row r="15" spans="1:79">
      <c r="A15" s="42" t="s">
        <v>112</v>
      </c>
      <c r="B15" s="28" t="s">
        <v>79</v>
      </c>
      <c r="C15" s="28" t="s">
        <v>80</v>
      </c>
      <c r="D15" s="28" t="s">
        <v>932</v>
      </c>
      <c r="E15" s="43" t="s">
        <v>82</v>
      </c>
      <c r="F15" s="28" t="s">
        <v>901</v>
      </c>
      <c r="G15" s="44" t="s">
        <v>113</v>
      </c>
      <c r="H15" s="45">
        <v>41766</v>
      </c>
      <c r="I15" s="46" t="s">
        <v>967</v>
      </c>
      <c r="J15" s="28">
        <v>2</v>
      </c>
      <c r="K15" s="28" t="s">
        <v>420</v>
      </c>
      <c r="L15" s="28" t="s">
        <v>871</v>
      </c>
      <c r="M15" s="28" t="s">
        <v>5</v>
      </c>
      <c r="N15" s="28" t="str">
        <f t="shared" si="2"/>
        <v>E1</v>
      </c>
      <c r="O15" s="81"/>
      <c r="P15" s="81">
        <f t="shared" si="3"/>
        <v>0</v>
      </c>
      <c r="Q15" s="81">
        <f t="shared" si="4"/>
        <v>0</v>
      </c>
      <c r="R15" s="81">
        <f t="shared" si="5"/>
        <v>0</v>
      </c>
      <c r="S15" s="81"/>
      <c r="T15" s="82">
        <f t="shared" si="6"/>
        <v>0</v>
      </c>
      <c r="U15" s="82">
        <f t="shared" si="7"/>
        <v>0</v>
      </c>
      <c r="V15" s="82">
        <f t="shared" si="8"/>
        <v>0</v>
      </c>
      <c r="W15" s="83">
        <v>0</v>
      </c>
      <c r="X15" s="83">
        <v>0</v>
      </c>
      <c r="Y15" s="83">
        <v>0</v>
      </c>
      <c r="Z15" s="84">
        <f>ROUND((IF(($O15&lt;=700000),0,IF(((VLOOKUP($M15,'Loyalty - Effec - 15July'!$B$5:$C$17,2,0)*$O15)&lt;=120000),(VLOOKUP($M15,'Loyalty - Effec - 15July'!$B$5:$C$17,2,0)*$O15),120000))),0)</f>
        <v>0</v>
      </c>
      <c r="AA15" s="84">
        <f>ROUND(VLOOKUP($M15,'Loyalty - Effec - 15July'!$B$5:$D$17,3,0)*$O15,0)</f>
        <v>0</v>
      </c>
      <c r="AB15" s="85">
        <f t="shared" si="9"/>
        <v>0</v>
      </c>
      <c r="AC15" s="86">
        <f t="shared" si="10"/>
        <v>0</v>
      </c>
      <c r="AD15" s="87">
        <f t="shared" si="11"/>
        <v>0</v>
      </c>
      <c r="AE15" s="88">
        <f t="shared" si="12"/>
        <v>0</v>
      </c>
      <c r="AF15" s="88">
        <f t="shared" si="13"/>
        <v>0</v>
      </c>
      <c r="AG15" s="49" t="s">
        <v>906</v>
      </c>
      <c r="AH15" s="49" t="s">
        <v>83</v>
      </c>
      <c r="AI15" s="50"/>
      <c r="AJ15" s="46"/>
      <c r="AK15" s="46"/>
      <c r="AL15" s="46"/>
      <c r="AM15" s="51">
        <f>IF($AL15=4,VLOOKUP($AR15,'Loyalty Incentive v1'!$L$3:$Q$15,2,FALSE),
IF($AL15=3,VLOOKUP($AR15,'Loyalty Incentive v1'!$L$3:$Q$15,3,FALSE),
IF($AL15=2,VLOOKUP($AR15,'Loyalty Incentive v1'!$L$3:$Q$15,4,FALSE),
IF($AL15=1,VLOOKUP($AR15,'Loyalty Incentive v1'!$L$3:$Q$15,5,FALSE),
IF($AL15=0,VLOOKUP($AR15,'Loyalty Incentive v1'!$L$3:$Q$15,6,FALSE),0)))))</f>
        <v>0</v>
      </c>
      <c r="AN15" s="51">
        <f>IFERROR(IF(I15&gt;="1",AM15,VLOOKUP(VALUE(I15),'Loyalty - Effec - 15July'!$I$5:$J$16,2,0)*AM15),0)</f>
        <v>0</v>
      </c>
      <c r="AO15" s="51">
        <v>0</v>
      </c>
      <c r="AP15" s="51">
        <f t="shared" si="14"/>
        <v>0</v>
      </c>
      <c r="AQ15" s="46" t="str">
        <f t="shared" si="15"/>
        <v>No</v>
      </c>
      <c r="AR15" s="46" t="str">
        <f t="shared" si="16"/>
        <v>E1</v>
      </c>
      <c r="AS15" s="46" t="b">
        <f t="shared" si="17"/>
        <v>1</v>
      </c>
      <c r="AT15" s="82">
        <f t="shared" si="18"/>
        <v>0</v>
      </c>
      <c r="AU15" s="82">
        <f t="shared" si="19"/>
        <v>0</v>
      </c>
      <c r="AV15" s="82">
        <f t="shared" si="20"/>
        <v>0</v>
      </c>
      <c r="AW15" s="82">
        <f t="shared" si="21"/>
        <v>0</v>
      </c>
      <c r="AX15" s="85"/>
      <c r="AY15" s="82">
        <f t="shared" si="22"/>
        <v>0</v>
      </c>
      <c r="AZ15" s="82">
        <f t="shared" si="23"/>
        <v>0</v>
      </c>
      <c r="BA15" s="82">
        <f t="shared" si="24"/>
        <v>0</v>
      </c>
      <c r="BB15" s="83">
        <v>0</v>
      </c>
      <c r="BC15" s="83">
        <v>0</v>
      </c>
      <c r="BD15" s="83">
        <v>0</v>
      </c>
      <c r="BE15" s="84">
        <f>ROUND((IF(($AT15&lt;=700000),0,IF(((VLOOKUP($AR15,'Loyalty - Effec - 15July'!$B$5:$C$17,2,0)*$AT15)&lt;=120000),(VLOOKUP($AR15,'Loyalty - Effec - 15July'!$B$5:$C$17,2,0)*$AT15),120000))),0)</f>
        <v>0</v>
      </c>
      <c r="BF15" s="84">
        <f>ROUND(VLOOKUP($AR15,'Loyalty - Effec - 15July'!$B$5:$D$17,3,0)*$AT15,0)</f>
        <v>0</v>
      </c>
      <c r="BG15" s="85">
        <f t="shared" si="25"/>
        <v>0</v>
      </c>
      <c r="BH15" s="81">
        <f t="shared" si="26"/>
        <v>0</v>
      </c>
      <c r="BI15" s="85">
        <f t="shared" si="27"/>
        <v>0</v>
      </c>
      <c r="BJ15" s="85">
        <f t="shared" si="28"/>
        <v>0</v>
      </c>
      <c r="BK15" s="85">
        <f t="shared" si="29"/>
        <v>0</v>
      </c>
      <c r="BL15" s="85">
        <f t="shared" si="30"/>
        <v>0</v>
      </c>
      <c r="BM15" s="85">
        <f t="shared" si="31"/>
        <v>0</v>
      </c>
      <c r="BN15" s="85">
        <f t="shared" si="32"/>
        <v>0</v>
      </c>
      <c r="BO15" s="52" t="s">
        <v>86</v>
      </c>
      <c r="BP15" s="46">
        <v>3</v>
      </c>
      <c r="BQ15" s="46"/>
      <c r="BR15" s="47">
        <f t="shared" ref="BR15:BR42" si="34">BG15-AT15</f>
        <v>0</v>
      </c>
      <c r="BU15" s="47">
        <f t="shared" si="33"/>
        <v>0</v>
      </c>
      <c r="BV15" s="53" t="s">
        <v>112</v>
      </c>
      <c r="BW15" s="53" t="s">
        <v>932</v>
      </c>
      <c r="BX15" s="53" t="s">
        <v>113</v>
      </c>
      <c r="BY15" s="53"/>
      <c r="BZ15" s="53"/>
    </row>
    <row r="16" spans="1:79">
      <c r="A16" s="42" t="s">
        <v>114</v>
      </c>
      <c r="B16" s="28" t="s">
        <v>903</v>
      </c>
      <c r="C16" s="28" t="s">
        <v>80</v>
      </c>
      <c r="D16" s="28" t="s">
        <v>932</v>
      </c>
      <c r="E16" s="43" t="s">
        <v>82</v>
      </c>
      <c r="F16" s="28" t="s">
        <v>901</v>
      </c>
      <c r="G16" s="44" t="s">
        <v>115</v>
      </c>
      <c r="H16" s="45">
        <v>41969</v>
      </c>
      <c r="I16" s="46" t="s">
        <v>968</v>
      </c>
      <c r="J16" s="28">
        <v>2</v>
      </c>
      <c r="K16" s="28" t="s">
        <v>415</v>
      </c>
      <c r="L16" s="28" t="s">
        <v>116</v>
      </c>
      <c r="M16" s="28" t="s">
        <v>4</v>
      </c>
      <c r="N16" s="28" t="str">
        <f t="shared" si="2"/>
        <v>AE6</v>
      </c>
      <c r="O16" s="81"/>
      <c r="P16" s="81">
        <f t="shared" si="3"/>
        <v>0</v>
      </c>
      <c r="Q16" s="81">
        <f t="shared" si="4"/>
        <v>0</v>
      </c>
      <c r="R16" s="81">
        <f t="shared" si="5"/>
        <v>0</v>
      </c>
      <c r="S16" s="81"/>
      <c r="T16" s="82">
        <f t="shared" si="6"/>
        <v>0</v>
      </c>
      <c r="U16" s="82">
        <f t="shared" si="7"/>
        <v>0</v>
      </c>
      <c r="V16" s="82">
        <f t="shared" si="8"/>
        <v>0</v>
      </c>
      <c r="W16" s="83">
        <v>0</v>
      </c>
      <c r="X16" s="83">
        <v>0</v>
      </c>
      <c r="Y16" s="83">
        <v>0</v>
      </c>
      <c r="Z16" s="84">
        <f>ROUND((IF(($O16&lt;=700000),0,IF(((VLOOKUP($M16,'Loyalty - Effec - 15July'!$B$5:$C$17,2,0)*$O16)&lt;=120000),(VLOOKUP($M16,'Loyalty - Effec - 15July'!$B$5:$C$17,2,0)*$O16),120000))),0)</f>
        <v>0</v>
      </c>
      <c r="AA16" s="84">
        <f>ROUND(VLOOKUP($M16,'Loyalty - Effec - 15July'!$B$5:$D$17,3,0)*$O16,0)</f>
        <v>0</v>
      </c>
      <c r="AB16" s="85">
        <f t="shared" si="9"/>
        <v>0</v>
      </c>
      <c r="AC16" s="86">
        <f t="shared" si="10"/>
        <v>0</v>
      </c>
      <c r="AD16" s="87">
        <f t="shared" si="11"/>
        <v>0</v>
      </c>
      <c r="AE16" s="88">
        <f t="shared" si="12"/>
        <v>0</v>
      </c>
      <c r="AF16" s="88">
        <f t="shared" si="13"/>
        <v>0</v>
      </c>
      <c r="AG16" s="49" t="s">
        <v>907</v>
      </c>
      <c r="AH16" s="49" t="s">
        <v>927</v>
      </c>
      <c r="AI16" s="50"/>
      <c r="AJ16" s="46"/>
      <c r="AK16" s="46"/>
      <c r="AL16" s="46"/>
      <c r="AM16" s="51">
        <f>IF($AL16=4,VLOOKUP($AR16,'Loyalty Incentive v1'!$L$3:$Q$15,2,FALSE),
IF($AL16=3,VLOOKUP($AR16,'Loyalty Incentive v1'!$L$3:$Q$15,3,FALSE),
IF($AL16=2,VLOOKUP($AR16,'Loyalty Incentive v1'!$L$3:$Q$15,4,FALSE),
IF($AL16=1,VLOOKUP($AR16,'Loyalty Incentive v1'!$L$3:$Q$15,5,FALSE),
IF($AL16=0,VLOOKUP($AR16,'Loyalty Incentive v1'!$L$3:$Q$15,6,FALSE),0)))))</f>
        <v>0</v>
      </c>
      <c r="AN16" s="51">
        <f>IFERROR(IF(I16&gt;="1",AM16,VLOOKUP(VALUE(I16),'Loyalty - Effec - 15July'!$I$5:$J$16,2,0)*AM16),0)</f>
        <v>0</v>
      </c>
      <c r="AO16" s="51">
        <v>0</v>
      </c>
      <c r="AP16" s="51">
        <f t="shared" si="14"/>
        <v>0</v>
      </c>
      <c r="AQ16" s="46" t="str">
        <f t="shared" si="15"/>
        <v>No</v>
      </c>
      <c r="AR16" s="46" t="str">
        <f t="shared" si="16"/>
        <v>AE6</v>
      </c>
      <c r="AS16" s="46" t="b">
        <f t="shared" si="17"/>
        <v>1</v>
      </c>
      <c r="AT16" s="82">
        <f t="shared" si="18"/>
        <v>0</v>
      </c>
      <c r="AU16" s="82">
        <f t="shared" si="19"/>
        <v>0</v>
      </c>
      <c r="AV16" s="82">
        <f t="shared" si="20"/>
        <v>0</v>
      </c>
      <c r="AW16" s="82">
        <f t="shared" si="21"/>
        <v>0</v>
      </c>
      <c r="AX16" s="85"/>
      <c r="AY16" s="82">
        <f t="shared" si="22"/>
        <v>0</v>
      </c>
      <c r="AZ16" s="82">
        <f t="shared" si="23"/>
        <v>0</v>
      </c>
      <c r="BA16" s="82">
        <f t="shared" si="24"/>
        <v>0</v>
      </c>
      <c r="BB16" s="83">
        <v>0</v>
      </c>
      <c r="BC16" s="83">
        <v>0</v>
      </c>
      <c r="BD16" s="83">
        <v>0</v>
      </c>
      <c r="BE16" s="84">
        <f>ROUND((IF(($AT16&lt;=700000),0,IF(((VLOOKUP($AR16,'Loyalty - Effec - 15July'!$B$5:$C$17,2,0)*$AT16)&lt;=120000),(VLOOKUP($AR16,'Loyalty - Effec - 15July'!$B$5:$C$17,2,0)*$AT16),120000))),0)</f>
        <v>0</v>
      </c>
      <c r="BF16" s="84">
        <f>ROUND(VLOOKUP($AR16,'Loyalty - Effec - 15July'!$B$5:$D$17,3,0)*$AT16,0)</f>
        <v>0</v>
      </c>
      <c r="BG16" s="85">
        <f t="shared" si="25"/>
        <v>0</v>
      </c>
      <c r="BH16" s="81">
        <f t="shared" si="26"/>
        <v>0</v>
      </c>
      <c r="BI16" s="85">
        <f t="shared" si="27"/>
        <v>0</v>
      </c>
      <c r="BJ16" s="85">
        <f t="shared" si="28"/>
        <v>0</v>
      </c>
      <c r="BK16" s="85">
        <f t="shared" si="29"/>
        <v>0</v>
      </c>
      <c r="BL16" s="85">
        <f t="shared" si="30"/>
        <v>0</v>
      </c>
      <c r="BM16" s="85">
        <f t="shared" si="31"/>
        <v>0</v>
      </c>
      <c r="BN16" s="85">
        <f t="shared" si="32"/>
        <v>0</v>
      </c>
      <c r="BO16" s="52" t="s">
        <v>86</v>
      </c>
      <c r="BP16" s="46">
        <v>4</v>
      </c>
      <c r="BQ16" s="46"/>
      <c r="BR16" s="47">
        <f t="shared" si="34"/>
        <v>0</v>
      </c>
      <c r="BU16" s="47">
        <f t="shared" si="33"/>
        <v>0</v>
      </c>
      <c r="BV16" s="53" t="s">
        <v>114</v>
      </c>
      <c r="BW16" s="53" t="s">
        <v>932</v>
      </c>
      <c r="BX16" s="53" t="s">
        <v>115</v>
      </c>
      <c r="BY16" s="53"/>
      <c r="BZ16" s="53"/>
    </row>
    <row r="17" spans="1:79">
      <c r="A17" s="42" t="s">
        <v>244</v>
      </c>
      <c r="B17" s="28" t="s">
        <v>79</v>
      </c>
      <c r="C17" s="28" t="s">
        <v>80</v>
      </c>
      <c r="D17" s="28" t="s">
        <v>932</v>
      </c>
      <c r="E17" s="43" t="s">
        <v>82</v>
      </c>
      <c r="F17" s="28" t="s">
        <v>902</v>
      </c>
      <c r="G17" s="44" t="s">
        <v>245</v>
      </c>
      <c r="H17" s="45">
        <v>42051</v>
      </c>
      <c r="I17" s="46" t="s">
        <v>1019</v>
      </c>
      <c r="J17" s="28">
        <v>5</v>
      </c>
      <c r="K17" s="28" t="s">
        <v>417</v>
      </c>
      <c r="L17" s="28" t="s">
        <v>872</v>
      </c>
      <c r="M17" s="28" t="s">
        <v>2</v>
      </c>
      <c r="N17" s="28" t="str">
        <f t="shared" si="2"/>
        <v>AE4</v>
      </c>
      <c r="O17" s="81"/>
      <c r="P17" s="81">
        <f t="shared" si="3"/>
        <v>0</v>
      </c>
      <c r="Q17" s="81">
        <f t="shared" si="4"/>
        <v>0</v>
      </c>
      <c r="R17" s="81">
        <f t="shared" si="5"/>
        <v>0</v>
      </c>
      <c r="S17" s="81"/>
      <c r="T17" s="82">
        <f t="shared" si="6"/>
        <v>0</v>
      </c>
      <c r="U17" s="82">
        <f t="shared" si="7"/>
        <v>0</v>
      </c>
      <c r="V17" s="82">
        <f t="shared" si="8"/>
        <v>0</v>
      </c>
      <c r="W17" s="83">
        <v>0</v>
      </c>
      <c r="X17" s="83">
        <v>0</v>
      </c>
      <c r="Y17" s="83">
        <v>0</v>
      </c>
      <c r="Z17" s="84">
        <f>ROUND((IF(($O17&lt;=700000),0,IF(((VLOOKUP($M17,'Loyalty - Effec - 15July'!$B$5:$C$17,2,0)*$O17)&lt;=120000),(VLOOKUP($M17,'Loyalty - Effec - 15July'!$B$5:$C$17,2,0)*$O17),120000))),0)</f>
        <v>0</v>
      </c>
      <c r="AA17" s="84">
        <f>ROUND(VLOOKUP($M17,'Loyalty - Effec - 15July'!$B$5:$D$17,3,0)*$O17,0)</f>
        <v>0</v>
      </c>
      <c r="AB17" s="85">
        <f t="shared" si="9"/>
        <v>0</v>
      </c>
      <c r="AC17" s="86">
        <f t="shared" si="10"/>
        <v>0</v>
      </c>
      <c r="AD17" s="87">
        <f t="shared" si="11"/>
        <v>0</v>
      </c>
      <c r="AE17" s="88">
        <f t="shared" si="12"/>
        <v>0</v>
      </c>
      <c r="AF17" s="88">
        <f t="shared" si="13"/>
        <v>0</v>
      </c>
      <c r="AG17" s="49" t="s">
        <v>165</v>
      </c>
      <c r="AH17" s="49" t="s">
        <v>120</v>
      </c>
      <c r="AI17" s="50"/>
      <c r="AJ17" s="46"/>
      <c r="AK17" s="46"/>
      <c r="AL17" s="46"/>
      <c r="AM17" s="51">
        <f>IF($AL17=4,VLOOKUP($AR17,'Loyalty Incentive v1'!$L$3:$Q$15,2,FALSE),
IF($AL17=3,VLOOKUP($AR17,'Loyalty Incentive v1'!$L$3:$Q$15,3,FALSE),
IF($AL17=2,VLOOKUP($AR17,'Loyalty Incentive v1'!$L$3:$Q$15,4,FALSE),
IF($AL17=1,VLOOKUP($AR17,'Loyalty Incentive v1'!$L$3:$Q$15,5,FALSE),
IF($AL17=0,VLOOKUP($AR17,'Loyalty Incentive v1'!$L$3:$Q$15,6,FALSE),0)))))</f>
        <v>0</v>
      </c>
      <c r="AN17" s="51">
        <f>IFERROR(IF(I17&gt;="1",AM17,VLOOKUP(VALUE(I17),'Loyalty - Effec - 15July'!$I$5:$J$16,2,0)*AM17),0)</f>
        <v>0</v>
      </c>
      <c r="AO17" s="51">
        <v>0</v>
      </c>
      <c r="AP17" s="51">
        <f t="shared" si="14"/>
        <v>0</v>
      </c>
      <c r="AQ17" s="46" t="str">
        <f t="shared" si="15"/>
        <v>No</v>
      </c>
      <c r="AR17" s="46" t="str">
        <f t="shared" si="16"/>
        <v>AE4</v>
      </c>
      <c r="AS17" s="46" t="b">
        <f t="shared" si="17"/>
        <v>1</v>
      </c>
      <c r="AT17" s="82">
        <f t="shared" si="18"/>
        <v>0</v>
      </c>
      <c r="AU17" s="82">
        <f t="shared" si="19"/>
        <v>0</v>
      </c>
      <c r="AV17" s="82">
        <f t="shared" si="20"/>
        <v>0</v>
      </c>
      <c r="AW17" s="82">
        <f t="shared" si="21"/>
        <v>0</v>
      </c>
      <c r="AX17" s="85"/>
      <c r="AY17" s="82">
        <f t="shared" si="22"/>
        <v>0</v>
      </c>
      <c r="AZ17" s="82">
        <f t="shared" si="23"/>
        <v>0</v>
      </c>
      <c r="BA17" s="82">
        <f t="shared" si="24"/>
        <v>0</v>
      </c>
      <c r="BB17" s="83">
        <v>0</v>
      </c>
      <c r="BC17" s="83">
        <v>0</v>
      </c>
      <c r="BD17" s="83">
        <v>0</v>
      </c>
      <c r="BE17" s="84">
        <f>ROUND((IF(($AT17&lt;=700000),0,IF(((VLOOKUP($AR17,'Loyalty - Effec - 15July'!$B$5:$C$17,2,0)*$AT17)&lt;=120000),(VLOOKUP($AR17,'Loyalty - Effec - 15July'!$B$5:$C$17,2,0)*$AT17),120000))),0)</f>
        <v>0</v>
      </c>
      <c r="BF17" s="84">
        <f>ROUND(VLOOKUP($AR17,'Loyalty - Effec - 15July'!$B$5:$D$17,3,0)*$AT17,0)</f>
        <v>0</v>
      </c>
      <c r="BG17" s="85">
        <f t="shared" si="25"/>
        <v>0</v>
      </c>
      <c r="BH17" s="81">
        <f t="shared" si="26"/>
        <v>0</v>
      </c>
      <c r="BI17" s="85">
        <f t="shared" si="27"/>
        <v>0</v>
      </c>
      <c r="BJ17" s="85">
        <f t="shared" si="28"/>
        <v>0</v>
      </c>
      <c r="BK17" s="85">
        <f t="shared" si="29"/>
        <v>0</v>
      </c>
      <c r="BL17" s="85">
        <f t="shared" si="30"/>
        <v>0</v>
      </c>
      <c r="BM17" s="85">
        <f t="shared" si="31"/>
        <v>0</v>
      </c>
      <c r="BN17" s="85">
        <f t="shared" si="32"/>
        <v>0</v>
      </c>
      <c r="BO17" s="52" t="s">
        <v>85</v>
      </c>
      <c r="BP17" s="46">
        <v>2</v>
      </c>
      <c r="BQ17" s="46"/>
      <c r="BR17" s="47">
        <f t="shared" si="34"/>
        <v>0</v>
      </c>
      <c r="BU17" s="47">
        <f t="shared" si="33"/>
        <v>0</v>
      </c>
      <c r="BV17" s="53" t="s">
        <v>244</v>
      </c>
      <c r="BW17" s="53" t="s">
        <v>932</v>
      </c>
      <c r="BX17" s="53" t="s">
        <v>245</v>
      </c>
      <c r="BY17" s="53"/>
      <c r="BZ17" s="53"/>
    </row>
    <row r="18" spans="1:79">
      <c r="A18" s="42" t="s">
        <v>119</v>
      </c>
      <c r="B18" s="28" t="s">
        <v>79</v>
      </c>
      <c r="C18" s="28" t="s">
        <v>80</v>
      </c>
      <c r="D18" s="28" t="s">
        <v>81</v>
      </c>
      <c r="E18" s="43" t="s">
        <v>82</v>
      </c>
      <c r="F18" s="28" t="s">
        <v>901</v>
      </c>
      <c r="G18" s="44" t="s">
        <v>120</v>
      </c>
      <c r="H18" s="45">
        <v>42170</v>
      </c>
      <c r="I18" s="28" t="s">
        <v>1020</v>
      </c>
      <c r="J18" s="28">
        <v>1</v>
      </c>
      <c r="K18" s="28" t="s">
        <v>418</v>
      </c>
      <c r="L18" s="28" t="s">
        <v>416</v>
      </c>
      <c r="M18" s="28" t="s">
        <v>6</v>
      </c>
      <c r="N18" s="28" t="str">
        <f t="shared" si="2"/>
        <v>E2</v>
      </c>
      <c r="O18" s="81"/>
      <c r="P18" s="81">
        <f t="shared" si="3"/>
        <v>0</v>
      </c>
      <c r="Q18" s="81">
        <f t="shared" si="4"/>
        <v>0</v>
      </c>
      <c r="R18" s="81">
        <f t="shared" si="5"/>
        <v>0</v>
      </c>
      <c r="S18" s="81"/>
      <c r="T18" s="82">
        <f t="shared" si="6"/>
        <v>0</v>
      </c>
      <c r="U18" s="82">
        <f t="shared" si="7"/>
        <v>0</v>
      </c>
      <c r="V18" s="82">
        <f t="shared" si="8"/>
        <v>0</v>
      </c>
      <c r="W18" s="83">
        <v>0</v>
      </c>
      <c r="X18" s="83">
        <v>0</v>
      </c>
      <c r="Y18" s="83">
        <v>0</v>
      </c>
      <c r="Z18" s="84">
        <f>ROUND((IF(($O18&lt;=700000),0,IF(((VLOOKUP($M18,'Loyalty - Effec - 15July'!$B$5:$C$17,2,0)*$O18)&lt;=120000),(VLOOKUP($M18,'Loyalty - Effec - 15July'!$B$5:$C$17,2,0)*$O18),120000))),0)</f>
        <v>0</v>
      </c>
      <c r="AA18" s="84">
        <f>ROUND(VLOOKUP($M18,'Loyalty - Effec - 15July'!$B$5:$D$17,3,0)*$O18,0)</f>
        <v>0</v>
      </c>
      <c r="AB18" s="85">
        <f t="shared" si="9"/>
        <v>0</v>
      </c>
      <c r="AC18" s="86">
        <f t="shared" si="10"/>
        <v>0</v>
      </c>
      <c r="AD18" s="87">
        <f t="shared" si="11"/>
        <v>0</v>
      </c>
      <c r="AE18" s="88">
        <f t="shared" si="12"/>
        <v>0</v>
      </c>
      <c r="AF18" s="88">
        <f t="shared" si="13"/>
        <v>0</v>
      </c>
      <c r="AG18" s="49" t="s">
        <v>774</v>
      </c>
      <c r="AH18" s="49" t="s">
        <v>83</v>
      </c>
      <c r="AI18" s="50"/>
      <c r="AJ18" s="50"/>
      <c r="AK18" s="50"/>
      <c r="AL18" s="46"/>
      <c r="AM18" s="51">
        <f>IF($AL18=4,VLOOKUP($AR18,'Loyalty Incentive v1'!$L$3:$Q$15,2,FALSE),
IF($AL18=3,VLOOKUP($AR18,'Loyalty Incentive v1'!$L$3:$Q$15,3,FALSE),
IF($AL18=2,VLOOKUP($AR18,'Loyalty Incentive v1'!$L$3:$Q$15,4,FALSE),
IF($AL18=1,VLOOKUP($AR18,'Loyalty Incentive v1'!$L$3:$Q$15,5,FALSE),
IF($AL18=0,VLOOKUP($AR18,'Loyalty Incentive v1'!$L$3:$Q$15,6,FALSE),0)))))</f>
        <v>0</v>
      </c>
      <c r="AN18" s="51">
        <f>IFERROR(IF(I18&gt;="1",AM18,VLOOKUP(VALUE(I18),'Loyalty - Effec - 15July'!$I$5:$J$16,2,0)*AM18),0)</f>
        <v>0</v>
      </c>
      <c r="AO18" s="56">
        <v>-7.0999999999999994E-2</v>
      </c>
      <c r="AP18" s="51">
        <f t="shared" si="14"/>
        <v>-7.0999999999999994E-2</v>
      </c>
      <c r="AQ18" s="46" t="str">
        <f t="shared" si="15"/>
        <v>No</v>
      </c>
      <c r="AR18" s="46" t="str">
        <f t="shared" si="16"/>
        <v>E2</v>
      </c>
      <c r="AS18" s="46" t="b">
        <f t="shared" si="17"/>
        <v>1</v>
      </c>
      <c r="AT18" s="82">
        <f t="shared" si="18"/>
        <v>0</v>
      </c>
      <c r="AU18" s="82">
        <f t="shared" si="19"/>
        <v>0</v>
      </c>
      <c r="AV18" s="82">
        <f t="shared" si="20"/>
        <v>0</v>
      </c>
      <c r="AW18" s="82">
        <f t="shared" si="21"/>
        <v>0</v>
      </c>
      <c r="AX18" s="85"/>
      <c r="AY18" s="82">
        <f t="shared" si="22"/>
        <v>0</v>
      </c>
      <c r="AZ18" s="82">
        <f t="shared" si="23"/>
        <v>0</v>
      </c>
      <c r="BA18" s="82">
        <f t="shared" si="24"/>
        <v>0</v>
      </c>
      <c r="BB18" s="83">
        <v>0</v>
      </c>
      <c r="BC18" s="83">
        <v>0</v>
      </c>
      <c r="BD18" s="83">
        <v>0</v>
      </c>
      <c r="BE18" s="84">
        <f>ROUND((IF(($AT18&lt;=700000),0,IF(((VLOOKUP($AR18,'Loyalty - Effec - 15July'!$B$5:$C$17,2,0)*$AT18)&lt;=120000),(VLOOKUP($AR18,'Loyalty - Effec - 15July'!$B$5:$C$17,2,0)*$AT18),120000))),0)</f>
        <v>0</v>
      </c>
      <c r="BF18" s="84">
        <f>ROUND(VLOOKUP($AR18,'Loyalty - Effec - 15July'!$B$5:$D$17,3,0)*$AT18,0)</f>
        <v>0</v>
      </c>
      <c r="BG18" s="85">
        <f t="shared" si="25"/>
        <v>0</v>
      </c>
      <c r="BH18" s="81">
        <f t="shared" si="26"/>
        <v>0</v>
      </c>
      <c r="BI18" s="85">
        <f t="shared" si="27"/>
        <v>0</v>
      </c>
      <c r="BJ18" s="85">
        <f t="shared" si="28"/>
        <v>0</v>
      </c>
      <c r="BK18" s="85">
        <f t="shared" si="29"/>
        <v>0</v>
      </c>
      <c r="BL18" s="85">
        <f t="shared" si="30"/>
        <v>0</v>
      </c>
      <c r="BM18" s="85">
        <f t="shared" si="31"/>
        <v>0</v>
      </c>
      <c r="BN18" s="85">
        <f t="shared" si="32"/>
        <v>0</v>
      </c>
      <c r="BO18" s="52" t="s">
        <v>85</v>
      </c>
      <c r="BP18" s="46">
        <v>4</v>
      </c>
      <c r="BQ18" s="46"/>
      <c r="BR18" s="47">
        <f t="shared" si="34"/>
        <v>0</v>
      </c>
      <c r="BS18" s="46">
        <v>1</v>
      </c>
      <c r="BT18" s="54">
        <v>5.1000000000000004E-2</v>
      </c>
      <c r="BU18" s="47">
        <f t="shared" si="33"/>
        <v>0</v>
      </c>
      <c r="BV18" s="53" t="s">
        <v>119</v>
      </c>
      <c r="BW18" s="53" t="s">
        <v>81</v>
      </c>
      <c r="BX18" s="53" t="s">
        <v>120</v>
      </c>
      <c r="BY18" s="53"/>
      <c r="BZ18" s="53"/>
      <c r="CA18" s="55"/>
    </row>
    <row r="19" spans="1:79">
      <c r="A19" s="42" t="s">
        <v>122</v>
      </c>
      <c r="B19" s="28" t="s">
        <v>903</v>
      </c>
      <c r="C19" s="28" t="s">
        <v>80</v>
      </c>
      <c r="D19" s="28" t="s">
        <v>932</v>
      </c>
      <c r="E19" s="43" t="s">
        <v>82</v>
      </c>
      <c r="F19" s="28" t="s">
        <v>902</v>
      </c>
      <c r="G19" s="44" t="s">
        <v>123</v>
      </c>
      <c r="H19" s="45">
        <v>42217</v>
      </c>
      <c r="I19" s="46" t="s">
        <v>1021</v>
      </c>
      <c r="J19" s="28">
        <v>2</v>
      </c>
      <c r="K19" s="28" t="s">
        <v>415</v>
      </c>
      <c r="L19" s="28" t="s">
        <v>892</v>
      </c>
      <c r="M19" s="28" t="s">
        <v>3</v>
      </c>
      <c r="N19" s="28" t="str">
        <f t="shared" si="2"/>
        <v>AE5</v>
      </c>
      <c r="O19" s="81"/>
      <c r="P19" s="81">
        <f t="shared" si="3"/>
        <v>0</v>
      </c>
      <c r="Q19" s="81">
        <f t="shared" si="4"/>
        <v>0</v>
      </c>
      <c r="R19" s="81">
        <f t="shared" si="5"/>
        <v>0</v>
      </c>
      <c r="S19" s="81"/>
      <c r="T19" s="82">
        <f t="shared" si="6"/>
        <v>0</v>
      </c>
      <c r="U19" s="82">
        <f t="shared" si="7"/>
        <v>0</v>
      </c>
      <c r="V19" s="82">
        <f t="shared" si="8"/>
        <v>0</v>
      </c>
      <c r="W19" s="83">
        <v>0</v>
      </c>
      <c r="X19" s="83">
        <v>0</v>
      </c>
      <c r="Y19" s="83">
        <v>0</v>
      </c>
      <c r="Z19" s="84">
        <f>ROUND((IF(($O19&lt;=700000),0,IF(((VLOOKUP($M19,'Loyalty - Effec - 15July'!$B$5:$C$17,2,0)*$O19)&lt;=120000),(VLOOKUP($M19,'Loyalty - Effec - 15July'!$B$5:$C$17,2,0)*$O19),120000))),0)</f>
        <v>0</v>
      </c>
      <c r="AA19" s="84">
        <f>ROUND(VLOOKUP($M19,'Loyalty - Effec - 15July'!$B$5:$D$17,3,0)*$O19,0)</f>
        <v>0</v>
      </c>
      <c r="AB19" s="85">
        <f t="shared" si="9"/>
        <v>0</v>
      </c>
      <c r="AC19" s="86">
        <f t="shared" si="10"/>
        <v>0</v>
      </c>
      <c r="AD19" s="87">
        <f t="shared" si="11"/>
        <v>0</v>
      </c>
      <c r="AE19" s="88">
        <f t="shared" si="12"/>
        <v>0</v>
      </c>
      <c r="AF19" s="88">
        <f t="shared" si="13"/>
        <v>0</v>
      </c>
      <c r="AG19" s="49" t="s">
        <v>908</v>
      </c>
      <c r="AH19" s="49" t="s">
        <v>904</v>
      </c>
      <c r="AI19" s="50"/>
      <c r="AJ19" s="46"/>
      <c r="AK19" s="46"/>
      <c r="AL19" s="46"/>
      <c r="AM19" s="51">
        <f>IF($AL19=4,VLOOKUP($AR19,'Loyalty Incentive v1'!$L$3:$Q$15,2,FALSE),
IF($AL19=3,VLOOKUP($AR19,'Loyalty Incentive v1'!$L$3:$Q$15,3,FALSE),
IF($AL19=2,VLOOKUP($AR19,'Loyalty Incentive v1'!$L$3:$Q$15,4,FALSE),
IF($AL19=1,VLOOKUP($AR19,'Loyalty Incentive v1'!$L$3:$Q$15,5,FALSE),
IF($AL19=0,VLOOKUP($AR19,'Loyalty Incentive v1'!$L$3:$Q$15,6,FALSE),0)))))</f>
        <v>0</v>
      </c>
      <c r="AN19" s="51">
        <f>IFERROR(IF(I19&gt;="1",AM19,VLOOKUP(VALUE(I19),'Loyalty - Effec - 15July'!$I$5:$J$16,2,0)*AM19),0)</f>
        <v>0</v>
      </c>
      <c r="AO19" s="51">
        <v>0</v>
      </c>
      <c r="AP19" s="51">
        <f t="shared" si="14"/>
        <v>0</v>
      </c>
      <c r="AQ19" s="46" t="str">
        <f t="shared" si="15"/>
        <v>No</v>
      </c>
      <c r="AR19" s="46" t="str">
        <f t="shared" si="16"/>
        <v>AE5</v>
      </c>
      <c r="AS19" s="46" t="b">
        <f t="shared" si="17"/>
        <v>1</v>
      </c>
      <c r="AT19" s="82">
        <f t="shared" si="18"/>
        <v>0</v>
      </c>
      <c r="AU19" s="82">
        <f t="shared" si="19"/>
        <v>0</v>
      </c>
      <c r="AV19" s="82">
        <f t="shared" si="20"/>
        <v>0</v>
      </c>
      <c r="AW19" s="82">
        <f t="shared" si="21"/>
        <v>0</v>
      </c>
      <c r="AX19" s="85"/>
      <c r="AY19" s="82">
        <f t="shared" si="22"/>
        <v>0</v>
      </c>
      <c r="AZ19" s="82">
        <f t="shared" si="23"/>
        <v>0</v>
      </c>
      <c r="BA19" s="82">
        <f t="shared" si="24"/>
        <v>0</v>
      </c>
      <c r="BB19" s="83">
        <v>0</v>
      </c>
      <c r="BC19" s="83">
        <v>0</v>
      </c>
      <c r="BD19" s="83">
        <v>0</v>
      </c>
      <c r="BE19" s="84">
        <f>ROUND((IF(($AT19&lt;=700000),0,IF(((VLOOKUP($AR19,'Loyalty - Effec - 15July'!$B$5:$C$17,2,0)*$AT19)&lt;=120000),(VLOOKUP($AR19,'Loyalty - Effec - 15July'!$B$5:$C$17,2,0)*$AT19),120000))),0)</f>
        <v>0</v>
      </c>
      <c r="BF19" s="84">
        <f>ROUND(VLOOKUP($AR19,'Loyalty - Effec - 15July'!$B$5:$D$17,3,0)*$AT19,0)</f>
        <v>0</v>
      </c>
      <c r="BG19" s="85">
        <f t="shared" si="25"/>
        <v>0</v>
      </c>
      <c r="BH19" s="81">
        <f t="shared" si="26"/>
        <v>0</v>
      </c>
      <c r="BI19" s="85">
        <f t="shared" si="27"/>
        <v>0</v>
      </c>
      <c r="BJ19" s="85">
        <f t="shared" si="28"/>
        <v>0</v>
      </c>
      <c r="BK19" s="85">
        <f t="shared" si="29"/>
        <v>0</v>
      </c>
      <c r="BL19" s="85">
        <f t="shared" si="30"/>
        <v>0</v>
      </c>
      <c r="BM19" s="85">
        <f t="shared" si="31"/>
        <v>0</v>
      </c>
      <c r="BN19" s="85">
        <f t="shared" si="32"/>
        <v>0</v>
      </c>
      <c r="BO19" s="52" t="s">
        <v>86</v>
      </c>
      <c r="BP19" s="46">
        <v>2</v>
      </c>
      <c r="BQ19" s="46"/>
      <c r="BR19" s="47">
        <f t="shared" si="34"/>
        <v>0</v>
      </c>
      <c r="BU19" s="47">
        <f t="shared" si="33"/>
        <v>0</v>
      </c>
      <c r="BV19" s="53" t="s">
        <v>122</v>
      </c>
      <c r="BW19" s="53" t="s">
        <v>932</v>
      </c>
      <c r="BX19" s="53" t="s">
        <v>123</v>
      </c>
      <c r="BY19" s="53"/>
      <c r="BZ19" s="53"/>
    </row>
    <row r="20" spans="1:79">
      <c r="A20" s="42" t="s">
        <v>164</v>
      </c>
      <c r="B20" s="28" t="s">
        <v>79</v>
      </c>
      <c r="C20" s="28" t="s">
        <v>80</v>
      </c>
      <c r="D20" s="28" t="s">
        <v>932</v>
      </c>
      <c r="E20" s="43" t="s">
        <v>82</v>
      </c>
      <c r="F20" s="28" t="s">
        <v>901</v>
      </c>
      <c r="G20" s="44" t="s">
        <v>165</v>
      </c>
      <c r="H20" s="45">
        <v>42268</v>
      </c>
      <c r="I20" s="46" t="s">
        <v>1022</v>
      </c>
      <c r="J20" s="28">
        <v>3</v>
      </c>
      <c r="K20" s="28" t="s">
        <v>863</v>
      </c>
      <c r="L20" s="28" t="s">
        <v>869</v>
      </c>
      <c r="M20" s="28" t="s">
        <v>3</v>
      </c>
      <c r="N20" s="28" t="str">
        <f t="shared" si="2"/>
        <v>AE5</v>
      </c>
      <c r="O20" s="81"/>
      <c r="P20" s="81">
        <f t="shared" si="3"/>
        <v>0</v>
      </c>
      <c r="Q20" s="81">
        <f t="shared" si="4"/>
        <v>0</v>
      </c>
      <c r="R20" s="81">
        <f t="shared" si="5"/>
        <v>0</v>
      </c>
      <c r="S20" s="81"/>
      <c r="T20" s="82">
        <f t="shared" si="6"/>
        <v>0</v>
      </c>
      <c r="U20" s="82">
        <f t="shared" si="7"/>
        <v>0</v>
      </c>
      <c r="V20" s="82">
        <f t="shared" si="8"/>
        <v>0</v>
      </c>
      <c r="W20" s="83">
        <v>0</v>
      </c>
      <c r="X20" s="83">
        <v>0</v>
      </c>
      <c r="Y20" s="83">
        <v>0</v>
      </c>
      <c r="Z20" s="84">
        <f>ROUND((IF(($O20&lt;=700000),0,IF(((VLOOKUP($M20,'Loyalty - Effec - 15July'!$B$5:$C$17,2,0)*$O20)&lt;=120000),(VLOOKUP($M20,'Loyalty - Effec - 15July'!$B$5:$C$17,2,0)*$O20),120000))),0)</f>
        <v>0</v>
      </c>
      <c r="AA20" s="84">
        <f>ROUND(VLOOKUP($M20,'Loyalty - Effec - 15July'!$B$5:$D$17,3,0)*$O20,0)</f>
        <v>0</v>
      </c>
      <c r="AB20" s="85">
        <f t="shared" si="9"/>
        <v>0</v>
      </c>
      <c r="AC20" s="86">
        <f t="shared" si="10"/>
        <v>0</v>
      </c>
      <c r="AD20" s="87">
        <f t="shared" si="11"/>
        <v>0</v>
      </c>
      <c r="AE20" s="88">
        <f t="shared" si="12"/>
        <v>0</v>
      </c>
      <c r="AF20" s="88">
        <f t="shared" si="13"/>
        <v>0</v>
      </c>
      <c r="AG20" s="49" t="s">
        <v>120</v>
      </c>
      <c r="AH20" s="49" t="s">
        <v>774</v>
      </c>
      <c r="AI20" s="50"/>
      <c r="AJ20" s="46"/>
      <c r="AK20" s="46"/>
      <c r="AL20" s="46"/>
      <c r="AM20" s="51">
        <f>IF($AL20=4,VLOOKUP($AR20,'Loyalty Incentive v1'!$L$3:$Q$15,2,FALSE),
IF($AL20=3,VLOOKUP($AR20,'Loyalty Incentive v1'!$L$3:$Q$15,3,FALSE),
IF($AL20=2,VLOOKUP($AR20,'Loyalty Incentive v1'!$L$3:$Q$15,4,FALSE),
IF($AL20=1,VLOOKUP($AR20,'Loyalty Incentive v1'!$L$3:$Q$15,5,FALSE),
IF($AL20=0,VLOOKUP($AR20,'Loyalty Incentive v1'!$L$3:$Q$15,6,FALSE),0)))))</f>
        <v>0</v>
      </c>
      <c r="AN20" s="51">
        <f>IFERROR(IF(I20&gt;="1",AM20,VLOOKUP(VALUE(I20),'Loyalty - Effec - 15July'!$I$5:$J$16,2,0)*AM20),0)</f>
        <v>0</v>
      </c>
      <c r="AO20" s="51">
        <v>0</v>
      </c>
      <c r="AP20" s="51">
        <f t="shared" si="14"/>
        <v>0</v>
      </c>
      <c r="AQ20" s="46" t="str">
        <f t="shared" si="15"/>
        <v>No</v>
      </c>
      <c r="AR20" s="46" t="str">
        <f t="shared" si="16"/>
        <v>AE5</v>
      </c>
      <c r="AS20" s="46" t="b">
        <f t="shared" si="17"/>
        <v>1</v>
      </c>
      <c r="AT20" s="82">
        <f t="shared" si="18"/>
        <v>0</v>
      </c>
      <c r="AU20" s="82">
        <f t="shared" si="19"/>
        <v>0</v>
      </c>
      <c r="AV20" s="82">
        <f t="shared" si="20"/>
        <v>0</v>
      </c>
      <c r="AW20" s="82">
        <f t="shared" si="21"/>
        <v>0</v>
      </c>
      <c r="AX20" s="85"/>
      <c r="AY20" s="82">
        <f t="shared" si="22"/>
        <v>0</v>
      </c>
      <c r="AZ20" s="82">
        <f t="shared" si="23"/>
        <v>0</v>
      </c>
      <c r="BA20" s="82">
        <f t="shared" si="24"/>
        <v>0</v>
      </c>
      <c r="BB20" s="83">
        <v>0</v>
      </c>
      <c r="BC20" s="83">
        <v>0</v>
      </c>
      <c r="BD20" s="83">
        <v>0</v>
      </c>
      <c r="BE20" s="84">
        <f>ROUND((IF(($AT20&lt;=700000),0,IF(((VLOOKUP($AR20,'Loyalty - Effec - 15July'!$B$5:$C$17,2,0)*$AT20)&lt;=120000),(VLOOKUP($AR20,'Loyalty - Effec - 15July'!$B$5:$C$17,2,0)*$AT20),120000))),0)</f>
        <v>0</v>
      </c>
      <c r="BF20" s="84">
        <f>ROUND(VLOOKUP($AR20,'Loyalty - Effec - 15July'!$B$5:$D$17,3,0)*$AT20,0)</f>
        <v>0</v>
      </c>
      <c r="BG20" s="85">
        <f t="shared" si="25"/>
        <v>0</v>
      </c>
      <c r="BH20" s="81">
        <f t="shared" si="26"/>
        <v>0</v>
      </c>
      <c r="BI20" s="85">
        <f t="shared" si="27"/>
        <v>0</v>
      </c>
      <c r="BJ20" s="85">
        <f t="shared" si="28"/>
        <v>0</v>
      </c>
      <c r="BK20" s="85">
        <f t="shared" si="29"/>
        <v>0</v>
      </c>
      <c r="BL20" s="85">
        <f t="shared" si="30"/>
        <v>0</v>
      </c>
      <c r="BM20" s="85">
        <f t="shared" si="31"/>
        <v>0</v>
      </c>
      <c r="BN20" s="85">
        <f t="shared" si="32"/>
        <v>0</v>
      </c>
      <c r="BO20" s="52" t="s">
        <v>86</v>
      </c>
      <c r="BP20" s="46">
        <v>4</v>
      </c>
      <c r="BQ20" s="46"/>
      <c r="BR20" s="47">
        <f t="shared" si="34"/>
        <v>0</v>
      </c>
      <c r="BU20" s="47">
        <f t="shared" si="33"/>
        <v>0</v>
      </c>
      <c r="BV20" s="53" t="s">
        <v>164</v>
      </c>
      <c r="BW20" s="53" t="s">
        <v>932</v>
      </c>
      <c r="BX20" s="53" t="s">
        <v>165</v>
      </c>
      <c r="BY20" s="53"/>
      <c r="BZ20" s="53"/>
    </row>
    <row r="21" spans="1:79">
      <c r="A21" s="42" t="s">
        <v>298</v>
      </c>
      <c r="B21" s="28" t="s">
        <v>79</v>
      </c>
      <c r="C21" s="28" t="s">
        <v>80</v>
      </c>
      <c r="D21" s="28" t="s">
        <v>932</v>
      </c>
      <c r="E21" s="43" t="s">
        <v>82</v>
      </c>
      <c r="F21" s="28" t="s">
        <v>901</v>
      </c>
      <c r="G21" s="44" t="s">
        <v>299</v>
      </c>
      <c r="H21" s="45">
        <v>42457</v>
      </c>
      <c r="I21" s="46" t="s">
        <v>969</v>
      </c>
      <c r="J21" s="28">
        <v>5</v>
      </c>
      <c r="K21" s="28" t="s">
        <v>93</v>
      </c>
      <c r="L21" s="28" t="s">
        <v>873</v>
      </c>
      <c r="M21" s="28" t="s">
        <v>2</v>
      </c>
      <c r="N21" s="28" t="str">
        <f t="shared" si="2"/>
        <v>AE4</v>
      </c>
      <c r="O21" s="81"/>
      <c r="P21" s="81">
        <f t="shared" si="3"/>
        <v>0</v>
      </c>
      <c r="Q21" s="81">
        <f t="shared" si="4"/>
        <v>0</v>
      </c>
      <c r="R21" s="81">
        <f t="shared" si="5"/>
        <v>0</v>
      </c>
      <c r="S21" s="81"/>
      <c r="T21" s="82">
        <f t="shared" si="6"/>
        <v>0</v>
      </c>
      <c r="U21" s="82">
        <f t="shared" si="7"/>
        <v>0</v>
      </c>
      <c r="V21" s="82">
        <f t="shared" si="8"/>
        <v>0</v>
      </c>
      <c r="W21" s="83">
        <v>0</v>
      </c>
      <c r="X21" s="83">
        <v>0</v>
      </c>
      <c r="Y21" s="83">
        <v>0</v>
      </c>
      <c r="Z21" s="84">
        <f>ROUND((IF(($O21&lt;=700000),0,IF(((VLOOKUP($M21,'Loyalty - Effec - 15July'!$B$5:$C$17,2,0)*$O21)&lt;=120000),(VLOOKUP($M21,'Loyalty - Effec - 15July'!$B$5:$C$17,2,0)*$O21),120000))),0)</f>
        <v>0</v>
      </c>
      <c r="AA21" s="84">
        <f>ROUND(VLOOKUP($M21,'Loyalty - Effec - 15July'!$B$5:$D$17,3,0)*$O21,0)</f>
        <v>0</v>
      </c>
      <c r="AB21" s="85">
        <f t="shared" si="9"/>
        <v>0</v>
      </c>
      <c r="AC21" s="86">
        <f t="shared" si="10"/>
        <v>0</v>
      </c>
      <c r="AD21" s="87">
        <f t="shared" si="11"/>
        <v>0</v>
      </c>
      <c r="AE21" s="88">
        <f t="shared" si="12"/>
        <v>0</v>
      </c>
      <c r="AF21" s="88">
        <f t="shared" si="13"/>
        <v>0</v>
      </c>
      <c r="AG21" s="49" t="s">
        <v>278</v>
      </c>
      <c r="AH21" s="49" t="s">
        <v>811</v>
      </c>
      <c r="AI21" s="50"/>
      <c r="AJ21" s="46"/>
      <c r="AK21" s="46"/>
      <c r="AL21" s="46"/>
      <c r="AM21" s="51">
        <f>IF($AL21=4,VLOOKUP($AR21,'Loyalty Incentive v1'!$L$3:$Q$15,2,FALSE),
IF($AL21=3,VLOOKUP($AR21,'Loyalty Incentive v1'!$L$3:$Q$15,3,FALSE),
IF($AL21=2,VLOOKUP($AR21,'Loyalty Incentive v1'!$L$3:$Q$15,4,FALSE),
IF($AL21=1,VLOOKUP($AR21,'Loyalty Incentive v1'!$L$3:$Q$15,5,FALSE),
IF($AL21=0,VLOOKUP($AR21,'Loyalty Incentive v1'!$L$3:$Q$15,6,FALSE),0)))))</f>
        <v>0</v>
      </c>
      <c r="AN21" s="51">
        <f>IFERROR(IF(I21&gt;="1",AM21,VLOOKUP(VALUE(I21),'Loyalty - Effec - 15July'!$I$5:$J$16,2,0)*AM21),0)</f>
        <v>0</v>
      </c>
      <c r="AO21" s="51">
        <v>0</v>
      </c>
      <c r="AP21" s="51">
        <f t="shared" si="14"/>
        <v>0</v>
      </c>
      <c r="AQ21" s="46" t="str">
        <f t="shared" si="15"/>
        <v>No</v>
      </c>
      <c r="AR21" s="46" t="str">
        <f t="shared" si="16"/>
        <v>AE4</v>
      </c>
      <c r="AS21" s="46" t="b">
        <f t="shared" si="17"/>
        <v>1</v>
      </c>
      <c r="AT21" s="82">
        <f t="shared" si="18"/>
        <v>0</v>
      </c>
      <c r="AU21" s="82">
        <f t="shared" si="19"/>
        <v>0</v>
      </c>
      <c r="AV21" s="82">
        <f t="shared" si="20"/>
        <v>0</v>
      </c>
      <c r="AW21" s="82">
        <f t="shared" si="21"/>
        <v>0</v>
      </c>
      <c r="AX21" s="85"/>
      <c r="AY21" s="82">
        <f t="shared" si="22"/>
        <v>0</v>
      </c>
      <c r="AZ21" s="82">
        <f t="shared" si="23"/>
        <v>0</v>
      </c>
      <c r="BA21" s="82">
        <f t="shared" si="24"/>
        <v>0</v>
      </c>
      <c r="BB21" s="83">
        <v>0</v>
      </c>
      <c r="BC21" s="83">
        <v>0</v>
      </c>
      <c r="BD21" s="83">
        <v>0</v>
      </c>
      <c r="BE21" s="84">
        <f>ROUND((IF(($AT21&lt;=700000),0,IF(((VLOOKUP($AR21,'Loyalty - Effec - 15July'!$B$5:$C$17,2,0)*$AT21)&lt;=120000),(VLOOKUP($AR21,'Loyalty - Effec - 15July'!$B$5:$C$17,2,0)*$AT21),120000))),0)</f>
        <v>0</v>
      </c>
      <c r="BF21" s="84">
        <f>ROUND(VLOOKUP($AR21,'Loyalty - Effec - 15July'!$B$5:$D$17,3,0)*$AT21,0)</f>
        <v>0</v>
      </c>
      <c r="BG21" s="85">
        <f t="shared" si="25"/>
        <v>0</v>
      </c>
      <c r="BH21" s="81">
        <f t="shared" si="26"/>
        <v>0</v>
      </c>
      <c r="BI21" s="85">
        <f t="shared" si="27"/>
        <v>0</v>
      </c>
      <c r="BJ21" s="85">
        <f t="shared" si="28"/>
        <v>0</v>
      </c>
      <c r="BK21" s="85">
        <f t="shared" si="29"/>
        <v>0</v>
      </c>
      <c r="BL21" s="85">
        <f t="shared" si="30"/>
        <v>0</v>
      </c>
      <c r="BM21" s="85">
        <f t="shared" si="31"/>
        <v>0</v>
      </c>
      <c r="BN21" s="85">
        <f t="shared" si="32"/>
        <v>0</v>
      </c>
      <c r="BO21" s="52" t="s">
        <v>86</v>
      </c>
      <c r="BP21" s="46">
        <v>4</v>
      </c>
      <c r="BQ21" s="46"/>
      <c r="BR21" s="47">
        <f t="shared" si="34"/>
        <v>0</v>
      </c>
      <c r="BU21" s="47">
        <f t="shared" si="33"/>
        <v>0</v>
      </c>
      <c r="BV21" s="53" t="s">
        <v>298</v>
      </c>
      <c r="BW21" s="53" t="s">
        <v>932</v>
      </c>
      <c r="BX21" s="53" t="s">
        <v>299</v>
      </c>
      <c r="BY21" s="53"/>
      <c r="BZ21" s="53"/>
    </row>
    <row r="22" spans="1:79">
      <c r="A22" s="42" t="s">
        <v>125</v>
      </c>
      <c r="B22" s="28" t="s">
        <v>79</v>
      </c>
      <c r="C22" s="28" t="s">
        <v>80</v>
      </c>
      <c r="D22" s="28" t="s">
        <v>932</v>
      </c>
      <c r="E22" s="43" t="s">
        <v>82</v>
      </c>
      <c r="F22" s="28" t="s">
        <v>902</v>
      </c>
      <c r="G22" s="44" t="s">
        <v>126</v>
      </c>
      <c r="H22" s="45">
        <v>42471</v>
      </c>
      <c r="I22" s="46" t="s">
        <v>970</v>
      </c>
      <c r="J22" s="28">
        <v>0</v>
      </c>
      <c r="K22" s="28" t="s">
        <v>418</v>
      </c>
      <c r="L22" s="28" t="s">
        <v>416</v>
      </c>
      <c r="M22" s="28" t="s">
        <v>5</v>
      </c>
      <c r="N22" s="28" t="str">
        <f t="shared" si="2"/>
        <v>E1</v>
      </c>
      <c r="O22" s="81"/>
      <c r="P22" s="81">
        <f t="shared" si="3"/>
        <v>0</v>
      </c>
      <c r="Q22" s="81">
        <f t="shared" si="4"/>
        <v>0</v>
      </c>
      <c r="R22" s="81">
        <f t="shared" si="5"/>
        <v>0</v>
      </c>
      <c r="S22" s="81"/>
      <c r="T22" s="82">
        <f t="shared" si="6"/>
        <v>0</v>
      </c>
      <c r="U22" s="82">
        <f t="shared" si="7"/>
        <v>0</v>
      </c>
      <c r="V22" s="82">
        <f t="shared" si="8"/>
        <v>0</v>
      </c>
      <c r="W22" s="83">
        <v>0</v>
      </c>
      <c r="X22" s="83">
        <v>0</v>
      </c>
      <c r="Y22" s="83">
        <v>0</v>
      </c>
      <c r="Z22" s="84">
        <f>ROUND((IF(($O22&lt;=700000),0,IF(((VLOOKUP($M22,'Loyalty - Effec - 15July'!$B$5:$C$17,2,0)*$O22)&lt;=120000),(VLOOKUP($M22,'Loyalty - Effec - 15July'!$B$5:$C$17,2,0)*$O22),120000))),0)</f>
        <v>0</v>
      </c>
      <c r="AA22" s="84">
        <f>ROUND(VLOOKUP($M22,'Loyalty - Effec - 15July'!$B$5:$D$17,3,0)*$O22,0)</f>
        <v>0</v>
      </c>
      <c r="AB22" s="85">
        <f t="shared" si="9"/>
        <v>0</v>
      </c>
      <c r="AC22" s="86">
        <f t="shared" si="10"/>
        <v>0</v>
      </c>
      <c r="AD22" s="87">
        <f t="shared" si="11"/>
        <v>0</v>
      </c>
      <c r="AE22" s="88">
        <f t="shared" si="12"/>
        <v>0</v>
      </c>
      <c r="AF22" s="88">
        <f t="shared" si="13"/>
        <v>0</v>
      </c>
      <c r="AG22" s="49" t="s">
        <v>809</v>
      </c>
      <c r="AH22" s="49" t="s">
        <v>904</v>
      </c>
      <c r="AI22" s="50"/>
      <c r="AJ22" s="46"/>
      <c r="AK22" s="46"/>
      <c r="AL22" s="46"/>
      <c r="AM22" s="51">
        <f>IF($AL22=4,VLOOKUP($AR22,'Loyalty Incentive v1'!$L$3:$Q$15,2,FALSE),
IF($AL22=3,VLOOKUP($AR22,'Loyalty Incentive v1'!$L$3:$Q$15,3,FALSE),
IF($AL22=2,VLOOKUP($AR22,'Loyalty Incentive v1'!$L$3:$Q$15,4,FALSE),
IF($AL22=1,VLOOKUP($AR22,'Loyalty Incentive v1'!$L$3:$Q$15,5,FALSE),
IF($AL22=0,VLOOKUP($AR22,'Loyalty Incentive v1'!$L$3:$Q$15,6,FALSE),0)))))</f>
        <v>0</v>
      </c>
      <c r="AN22" s="51">
        <f>IFERROR(IF(I22&gt;="1",AM22,VLOOKUP(VALUE(I22),'Loyalty - Effec - 15July'!$I$5:$J$16,2,0)*AM22),0)</f>
        <v>0</v>
      </c>
      <c r="AO22" s="51">
        <v>0</v>
      </c>
      <c r="AP22" s="51">
        <f t="shared" si="14"/>
        <v>0</v>
      </c>
      <c r="AQ22" s="46" t="str">
        <f t="shared" si="15"/>
        <v>No</v>
      </c>
      <c r="AR22" s="46" t="str">
        <f t="shared" si="16"/>
        <v>E1</v>
      </c>
      <c r="AS22" s="46" t="b">
        <f t="shared" si="17"/>
        <v>1</v>
      </c>
      <c r="AT22" s="82">
        <f t="shared" si="18"/>
        <v>0</v>
      </c>
      <c r="AU22" s="82">
        <f t="shared" si="19"/>
        <v>0</v>
      </c>
      <c r="AV22" s="82">
        <f t="shared" si="20"/>
        <v>0</v>
      </c>
      <c r="AW22" s="82">
        <f t="shared" si="21"/>
        <v>0</v>
      </c>
      <c r="AX22" s="85"/>
      <c r="AY22" s="82">
        <f t="shared" si="22"/>
        <v>0</v>
      </c>
      <c r="AZ22" s="82">
        <f t="shared" si="23"/>
        <v>0</v>
      </c>
      <c r="BA22" s="82">
        <f t="shared" si="24"/>
        <v>0</v>
      </c>
      <c r="BB22" s="83">
        <v>0</v>
      </c>
      <c r="BC22" s="83">
        <v>0</v>
      </c>
      <c r="BD22" s="83">
        <v>0</v>
      </c>
      <c r="BE22" s="84">
        <f>ROUND((IF(($AT22&lt;=700000),0,IF(((VLOOKUP($AR22,'Loyalty - Effec - 15July'!$B$5:$C$17,2,0)*$AT22)&lt;=120000),(VLOOKUP($AR22,'Loyalty - Effec - 15July'!$B$5:$C$17,2,0)*$AT22),120000))),0)</f>
        <v>0</v>
      </c>
      <c r="BF22" s="84">
        <f>ROUND(VLOOKUP($AR22,'Loyalty - Effec - 15July'!$B$5:$D$17,3,0)*$AT22,0)</f>
        <v>0</v>
      </c>
      <c r="BG22" s="85">
        <f t="shared" si="25"/>
        <v>0</v>
      </c>
      <c r="BH22" s="81">
        <f t="shared" si="26"/>
        <v>0</v>
      </c>
      <c r="BI22" s="85">
        <f t="shared" si="27"/>
        <v>0</v>
      </c>
      <c r="BJ22" s="85">
        <f t="shared" si="28"/>
        <v>0</v>
      </c>
      <c r="BK22" s="85">
        <f t="shared" si="29"/>
        <v>0</v>
      </c>
      <c r="BL22" s="85">
        <f t="shared" si="30"/>
        <v>0</v>
      </c>
      <c r="BM22" s="85">
        <f t="shared" si="31"/>
        <v>0</v>
      </c>
      <c r="BN22" s="85">
        <f t="shared" si="32"/>
        <v>0</v>
      </c>
      <c r="BO22" s="52" t="s">
        <v>86</v>
      </c>
      <c r="BP22" s="46">
        <v>2</v>
      </c>
      <c r="BQ22" s="46"/>
      <c r="BR22" s="47">
        <f t="shared" si="34"/>
        <v>0</v>
      </c>
      <c r="BU22" s="47">
        <f t="shared" si="33"/>
        <v>0</v>
      </c>
      <c r="BV22" s="53" t="s">
        <v>125</v>
      </c>
      <c r="BW22" s="53" t="s">
        <v>932</v>
      </c>
      <c r="BX22" s="53" t="s">
        <v>126</v>
      </c>
      <c r="BY22" s="53"/>
      <c r="BZ22" s="53"/>
    </row>
    <row r="23" spans="1:79">
      <c r="A23" s="42" t="s">
        <v>127</v>
      </c>
      <c r="B23" s="28" t="s">
        <v>79</v>
      </c>
      <c r="C23" s="28" t="s">
        <v>80</v>
      </c>
      <c r="D23" s="28" t="s">
        <v>932</v>
      </c>
      <c r="E23" s="43" t="s">
        <v>82</v>
      </c>
      <c r="F23" s="28" t="s">
        <v>901</v>
      </c>
      <c r="G23" s="44" t="s">
        <v>128</v>
      </c>
      <c r="H23" s="45">
        <v>42475</v>
      </c>
      <c r="I23" s="46" t="s">
        <v>970</v>
      </c>
      <c r="J23" s="28">
        <v>4</v>
      </c>
      <c r="K23" s="28" t="s">
        <v>863</v>
      </c>
      <c r="L23" s="28" t="s">
        <v>865</v>
      </c>
      <c r="M23" s="28" t="s">
        <v>3</v>
      </c>
      <c r="N23" s="28" t="str">
        <f t="shared" si="2"/>
        <v>AE5</v>
      </c>
      <c r="O23" s="81"/>
      <c r="P23" s="81">
        <f t="shared" si="3"/>
        <v>0</v>
      </c>
      <c r="Q23" s="81">
        <f t="shared" si="4"/>
        <v>0</v>
      </c>
      <c r="R23" s="81">
        <f t="shared" si="5"/>
        <v>0</v>
      </c>
      <c r="S23" s="81"/>
      <c r="T23" s="82">
        <f t="shared" si="6"/>
        <v>0</v>
      </c>
      <c r="U23" s="82">
        <f t="shared" si="7"/>
        <v>0</v>
      </c>
      <c r="V23" s="82">
        <f t="shared" si="8"/>
        <v>0</v>
      </c>
      <c r="W23" s="83">
        <v>0</v>
      </c>
      <c r="X23" s="83">
        <v>0</v>
      </c>
      <c r="Y23" s="83">
        <v>0</v>
      </c>
      <c r="Z23" s="84">
        <f>ROUND((IF(($O23&lt;=700000),0,IF(((VLOOKUP($M23,'Loyalty - Effec - 15July'!$B$5:$C$17,2,0)*$O23)&lt;=120000),(VLOOKUP($M23,'Loyalty - Effec - 15July'!$B$5:$C$17,2,0)*$O23),120000))),0)</f>
        <v>0</v>
      </c>
      <c r="AA23" s="84">
        <f>ROUND(VLOOKUP($M23,'Loyalty - Effec - 15July'!$B$5:$D$17,3,0)*$O23,0)</f>
        <v>0</v>
      </c>
      <c r="AB23" s="85">
        <f t="shared" si="9"/>
        <v>0</v>
      </c>
      <c r="AC23" s="86">
        <f t="shared" si="10"/>
        <v>0</v>
      </c>
      <c r="AD23" s="87">
        <f t="shared" si="11"/>
        <v>0</v>
      </c>
      <c r="AE23" s="88">
        <f t="shared" si="12"/>
        <v>0</v>
      </c>
      <c r="AF23" s="88">
        <f t="shared" si="13"/>
        <v>0</v>
      </c>
      <c r="AG23" s="49" t="s">
        <v>909</v>
      </c>
      <c r="AH23" s="49" t="s">
        <v>809</v>
      </c>
      <c r="AI23" s="50"/>
      <c r="AJ23" s="46"/>
      <c r="AK23" s="46"/>
      <c r="AL23" s="46"/>
      <c r="AM23" s="51">
        <f>IF($AL23=4,VLOOKUP($AR23,'Loyalty Incentive v1'!$L$3:$Q$15,2,FALSE),
IF($AL23=3,VLOOKUP($AR23,'Loyalty Incentive v1'!$L$3:$Q$15,3,FALSE),
IF($AL23=2,VLOOKUP($AR23,'Loyalty Incentive v1'!$L$3:$Q$15,4,FALSE),
IF($AL23=1,VLOOKUP($AR23,'Loyalty Incentive v1'!$L$3:$Q$15,5,FALSE),
IF($AL23=0,VLOOKUP($AR23,'Loyalty Incentive v1'!$L$3:$Q$15,6,FALSE),0)))))</f>
        <v>0</v>
      </c>
      <c r="AN23" s="51">
        <f>IFERROR(IF(I23&gt;="1",AM23,VLOOKUP(VALUE(I23),'Loyalty - Effec - 15July'!$I$5:$J$16,2,0)*AM23),0)</f>
        <v>0</v>
      </c>
      <c r="AO23" s="51">
        <v>0</v>
      </c>
      <c r="AP23" s="51">
        <f t="shared" si="14"/>
        <v>0</v>
      </c>
      <c r="AQ23" s="46" t="str">
        <f t="shared" si="15"/>
        <v>No</v>
      </c>
      <c r="AR23" s="46" t="str">
        <f t="shared" si="16"/>
        <v>AE5</v>
      </c>
      <c r="AS23" s="46" t="b">
        <f t="shared" si="17"/>
        <v>1</v>
      </c>
      <c r="AT23" s="82">
        <f t="shared" si="18"/>
        <v>0</v>
      </c>
      <c r="AU23" s="82">
        <f t="shared" si="19"/>
        <v>0</v>
      </c>
      <c r="AV23" s="82">
        <f t="shared" si="20"/>
        <v>0</v>
      </c>
      <c r="AW23" s="82">
        <f t="shared" si="21"/>
        <v>0</v>
      </c>
      <c r="AX23" s="85"/>
      <c r="AY23" s="82">
        <f t="shared" si="22"/>
        <v>0</v>
      </c>
      <c r="AZ23" s="82">
        <f t="shared" si="23"/>
        <v>0</v>
      </c>
      <c r="BA23" s="82">
        <f t="shared" si="24"/>
        <v>0</v>
      </c>
      <c r="BB23" s="83">
        <v>0</v>
      </c>
      <c r="BC23" s="83">
        <v>0</v>
      </c>
      <c r="BD23" s="83">
        <v>0</v>
      </c>
      <c r="BE23" s="84">
        <f>ROUND((IF(($AT23&lt;=700000),0,IF(((VLOOKUP($AR23,'Loyalty - Effec - 15July'!$B$5:$C$17,2,0)*$AT23)&lt;=120000),(VLOOKUP($AR23,'Loyalty - Effec - 15July'!$B$5:$C$17,2,0)*$AT23),120000))),0)</f>
        <v>0</v>
      </c>
      <c r="BF23" s="84">
        <f>ROUND(VLOOKUP($AR23,'Loyalty - Effec - 15July'!$B$5:$D$17,3,0)*$AT23,0)</f>
        <v>0</v>
      </c>
      <c r="BG23" s="85">
        <f t="shared" si="25"/>
        <v>0</v>
      </c>
      <c r="BH23" s="81">
        <f t="shared" si="26"/>
        <v>0</v>
      </c>
      <c r="BI23" s="85">
        <f t="shared" si="27"/>
        <v>0</v>
      </c>
      <c r="BJ23" s="85">
        <f t="shared" si="28"/>
        <v>0</v>
      </c>
      <c r="BK23" s="85">
        <f t="shared" si="29"/>
        <v>0</v>
      </c>
      <c r="BL23" s="85">
        <f t="shared" si="30"/>
        <v>0</v>
      </c>
      <c r="BM23" s="85">
        <f t="shared" si="31"/>
        <v>0</v>
      </c>
      <c r="BN23" s="85">
        <f t="shared" si="32"/>
        <v>0</v>
      </c>
      <c r="BO23" s="52" t="s">
        <v>85</v>
      </c>
      <c r="BP23" s="46">
        <v>3</v>
      </c>
      <c r="BQ23" s="52" t="s">
        <v>121</v>
      </c>
      <c r="BR23" s="47">
        <f t="shared" si="34"/>
        <v>0</v>
      </c>
      <c r="BU23" s="47">
        <f t="shared" si="33"/>
        <v>0</v>
      </c>
      <c r="BV23" s="53" t="s">
        <v>127</v>
      </c>
      <c r="BW23" s="53" t="s">
        <v>932</v>
      </c>
      <c r="BX23" s="53" t="s">
        <v>128</v>
      </c>
      <c r="BY23" s="53"/>
      <c r="BZ23" s="53"/>
    </row>
    <row r="24" spans="1:79">
      <c r="A24" s="42" t="s">
        <v>419</v>
      </c>
      <c r="B24" s="28" t="s">
        <v>79</v>
      </c>
      <c r="C24" s="28" t="s">
        <v>80</v>
      </c>
      <c r="D24" s="28" t="s">
        <v>932</v>
      </c>
      <c r="E24" s="43" t="s">
        <v>82</v>
      </c>
      <c r="F24" s="28" t="s">
        <v>902</v>
      </c>
      <c r="G24" s="44" t="s">
        <v>129</v>
      </c>
      <c r="H24" s="45">
        <v>42510</v>
      </c>
      <c r="I24" s="46" t="s">
        <v>1023</v>
      </c>
      <c r="J24" s="28">
        <v>0</v>
      </c>
      <c r="K24" s="28" t="s">
        <v>418</v>
      </c>
      <c r="L24" s="28" t="s">
        <v>874</v>
      </c>
      <c r="M24" s="28" t="s">
        <v>5</v>
      </c>
      <c r="N24" s="28" t="str">
        <f t="shared" si="2"/>
        <v>E1</v>
      </c>
      <c r="O24" s="81"/>
      <c r="P24" s="81">
        <f t="shared" si="3"/>
        <v>0</v>
      </c>
      <c r="Q24" s="81">
        <f t="shared" si="4"/>
        <v>0</v>
      </c>
      <c r="R24" s="81">
        <f t="shared" si="5"/>
        <v>0</v>
      </c>
      <c r="S24" s="81"/>
      <c r="T24" s="82">
        <f t="shared" si="6"/>
        <v>0</v>
      </c>
      <c r="U24" s="82">
        <f t="shared" si="7"/>
        <v>0</v>
      </c>
      <c r="V24" s="82">
        <f t="shared" si="8"/>
        <v>0</v>
      </c>
      <c r="W24" s="83">
        <v>0</v>
      </c>
      <c r="X24" s="83">
        <v>0</v>
      </c>
      <c r="Y24" s="83">
        <v>0</v>
      </c>
      <c r="Z24" s="84">
        <f>ROUND((IF(($O24&lt;=700000),0,IF(((VLOOKUP($M24,'Loyalty - Effec - 15July'!$B$5:$C$17,2,0)*$O24)&lt;=120000),(VLOOKUP($M24,'Loyalty - Effec - 15July'!$B$5:$C$17,2,0)*$O24),120000))),0)</f>
        <v>0</v>
      </c>
      <c r="AA24" s="84">
        <f>ROUND(VLOOKUP($M24,'Loyalty - Effec - 15July'!$B$5:$D$17,3,0)*$O24,0)</f>
        <v>0</v>
      </c>
      <c r="AB24" s="85">
        <f t="shared" si="9"/>
        <v>0</v>
      </c>
      <c r="AC24" s="86">
        <f t="shared" si="10"/>
        <v>0</v>
      </c>
      <c r="AD24" s="87">
        <f t="shared" si="11"/>
        <v>0</v>
      </c>
      <c r="AE24" s="88">
        <f t="shared" si="12"/>
        <v>0</v>
      </c>
      <c r="AF24" s="88">
        <f t="shared" si="13"/>
        <v>0</v>
      </c>
      <c r="AG24" s="49" t="s">
        <v>381</v>
      </c>
      <c r="AH24" s="49" t="s">
        <v>904</v>
      </c>
      <c r="AI24" s="50"/>
      <c r="AJ24" s="46"/>
      <c r="AK24" s="46"/>
      <c r="AL24" s="46"/>
      <c r="AM24" s="51">
        <f>IF($AL24=4,VLOOKUP($AR24,'Loyalty Incentive v1'!$L$3:$Q$15,2,FALSE),
IF($AL24=3,VLOOKUP($AR24,'Loyalty Incentive v1'!$L$3:$Q$15,3,FALSE),
IF($AL24=2,VLOOKUP($AR24,'Loyalty Incentive v1'!$L$3:$Q$15,4,FALSE),
IF($AL24=1,VLOOKUP($AR24,'Loyalty Incentive v1'!$L$3:$Q$15,5,FALSE),
IF($AL24=0,VLOOKUP($AR24,'Loyalty Incentive v1'!$L$3:$Q$15,6,FALSE),0)))))</f>
        <v>0</v>
      </c>
      <c r="AN24" s="51">
        <f>IFERROR(IF(I24&gt;="1",AM24,VLOOKUP(VALUE(I24),'Loyalty - Effec - 15July'!$I$5:$J$16,2,0)*AM24),0)</f>
        <v>0</v>
      </c>
      <c r="AO24" s="51">
        <v>0</v>
      </c>
      <c r="AP24" s="51">
        <f t="shared" si="14"/>
        <v>0</v>
      </c>
      <c r="AQ24" s="46" t="str">
        <f t="shared" si="15"/>
        <v>No</v>
      </c>
      <c r="AR24" s="46" t="str">
        <f t="shared" si="16"/>
        <v>E1</v>
      </c>
      <c r="AS24" s="46" t="b">
        <f t="shared" si="17"/>
        <v>1</v>
      </c>
      <c r="AT24" s="82">
        <f t="shared" si="18"/>
        <v>0</v>
      </c>
      <c r="AU24" s="82">
        <f t="shared" si="19"/>
        <v>0</v>
      </c>
      <c r="AV24" s="82">
        <f t="shared" si="20"/>
        <v>0</v>
      </c>
      <c r="AW24" s="82">
        <f t="shared" si="21"/>
        <v>0</v>
      </c>
      <c r="AX24" s="85"/>
      <c r="AY24" s="82">
        <f t="shared" si="22"/>
        <v>0</v>
      </c>
      <c r="AZ24" s="82">
        <f t="shared" si="23"/>
        <v>0</v>
      </c>
      <c r="BA24" s="82">
        <f t="shared" si="24"/>
        <v>0</v>
      </c>
      <c r="BB24" s="83">
        <v>0</v>
      </c>
      <c r="BC24" s="83">
        <v>0</v>
      </c>
      <c r="BD24" s="83">
        <v>0</v>
      </c>
      <c r="BE24" s="84">
        <f>ROUND((IF(($AT24&lt;=700000),0,IF(((VLOOKUP($AR24,'Loyalty - Effec - 15July'!$B$5:$C$17,2,0)*$AT24)&lt;=120000),(VLOOKUP($AR24,'Loyalty - Effec - 15July'!$B$5:$C$17,2,0)*$AT24),120000))),0)</f>
        <v>0</v>
      </c>
      <c r="BF24" s="84">
        <f>ROUND(VLOOKUP($AR24,'Loyalty - Effec - 15July'!$B$5:$D$17,3,0)*$AT24,0)</f>
        <v>0</v>
      </c>
      <c r="BG24" s="85">
        <f t="shared" si="25"/>
        <v>0</v>
      </c>
      <c r="BH24" s="81">
        <f t="shared" si="26"/>
        <v>0</v>
      </c>
      <c r="BI24" s="85">
        <f t="shared" si="27"/>
        <v>0</v>
      </c>
      <c r="BJ24" s="85">
        <f t="shared" si="28"/>
        <v>0</v>
      </c>
      <c r="BK24" s="85">
        <f t="shared" si="29"/>
        <v>0</v>
      </c>
      <c r="BL24" s="85">
        <f t="shared" si="30"/>
        <v>0</v>
      </c>
      <c r="BM24" s="85">
        <f t="shared" si="31"/>
        <v>0</v>
      </c>
      <c r="BN24" s="85">
        <f t="shared" si="32"/>
        <v>0</v>
      </c>
      <c r="BO24" s="52" t="s">
        <v>85</v>
      </c>
      <c r="BP24" s="46">
        <v>2</v>
      </c>
      <c r="BQ24" s="52" t="s">
        <v>121</v>
      </c>
      <c r="BR24" s="47">
        <f t="shared" si="34"/>
        <v>0</v>
      </c>
      <c r="BU24" s="47">
        <f t="shared" si="33"/>
        <v>0</v>
      </c>
      <c r="BV24" s="53" t="s">
        <v>419</v>
      </c>
      <c r="BW24" s="53" t="s">
        <v>932</v>
      </c>
      <c r="BX24" s="53" t="s">
        <v>129</v>
      </c>
      <c r="BY24" s="53"/>
      <c r="BZ24" s="53"/>
    </row>
    <row r="25" spans="1:79">
      <c r="A25" s="42" t="s">
        <v>130</v>
      </c>
      <c r="B25" s="28" t="s">
        <v>79</v>
      </c>
      <c r="C25" s="28" t="s">
        <v>80</v>
      </c>
      <c r="D25" s="28" t="s">
        <v>81</v>
      </c>
      <c r="E25" s="43" t="s">
        <v>82</v>
      </c>
      <c r="F25" s="28" t="s">
        <v>901</v>
      </c>
      <c r="G25" s="44" t="s">
        <v>131</v>
      </c>
      <c r="H25" s="45">
        <v>42523</v>
      </c>
      <c r="I25" s="28" t="s">
        <v>971</v>
      </c>
      <c r="J25" s="28">
        <v>2</v>
      </c>
      <c r="K25" s="28" t="s">
        <v>418</v>
      </c>
      <c r="L25" s="28" t="s">
        <v>416</v>
      </c>
      <c r="M25" s="28" t="s">
        <v>4</v>
      </c>
      <c r="N25" s="28" t="str">
        <f t="shared" si="2"/>
        <v>AE6</v>
      </c>
      <c r="O25" s="81"/>
      <c r="P25" s="81">
        <f t="shared" si="3"/>
        <v>0</v>
      </c>
      <c r="Q25" s="81">
        <f t="shared" si="4"/>
        <v>0</v>
      </c>
      <c r="R25" s="81">
        <f t="shared" si="5"/>
        <v>0</v>
      </c>
      <c r="S25" s="81"/>
      <c r="T25" s="82">
        <f t="shared" si="6"/>
        <v>0</v>
      </c>
      <c r="U25" s="82">
        <f t="shared" si="7"/>
        <v>0</v>
      </c>
      <c r="V25" s="82">
        <f t="shared" si="8"/>
        <v>0</v>
      </c>
      <c r="W25" s="83">
        <v>0</v>
      </c>
      <c r="X25" s="83">
        <v>0</v>
      </c>
      <c r="Y25" s="83">
        <v>0</v>
      </c>
      <c r="Z25" s="84">
        <f>ROUND((IF(($O25&lt;=700000),0,IF(((VLOOKUP($M25,'Loyalty - Effec - 15July'!$B$5:$C$17,2,0)*$O25)&lt;=120000),(VLOOKUP($M25,'Loyalty - Effec - 15July'!$B$5:$C$17,2,0)*$O25),120000))),0)</f>
        <v>0</v>
      </c>
      <c r="AA25" s="84">
        <f>ROUND(VLOOKUP($M25,'Loyalty - Effec - 15July'!$B$5:$D$17,3,0)*$O25,0)</f>
        <v>0</v>
      </c>
      <c r="AB25" s="85">
        <f t="shared" si="9"/>
        <v>0</v>
      </c>
      <c r="AC25" s="86">
        <f t="shared" si="10"/>
        <v>0</v>
      </c>
      <c r="AD25" s="87">
        <f t="shared" si="11"/>
        <v>0</v>
      </c>
      <c r="AE25" s="88">
        <f t="shared" si="12"/>
        <v>0</v>
      </c>
      <c r="AF25" s="88">
        <f t="shared" si="13"/>
        <v>0</v>
      </c>
      <c r="AG25" s="49" t="s">
        <v>774</v>
      </c>
      <c r="AH25" s="49" t="s">
        <v>83</v>
      </c>
      <c r="AI25" s="50"/>
      <c r="AJ25" s="50"/>
      <c r="AK25" s="50"/>
      <c r="AL25" s="46"/>
      <c r="AM25" s="51">
        <f>IF($AL25=4,VLOOKUP($AR25,'Loyalty Incentive v1'!$L$3:$Q$15,2,FALSE),
IF($AL25=3,VLOOKUP($AR25,'Loyalty Incentive v1'!$L$3:$Q$15,3,FALSE),
IF($AL25=2,VLOOKUP($AR25,'Loyalty Incentive v1'!$L$3:$Q$15,4,FALSE),
IF($AL25=1,VLOOKUP($AR25,'Loyalty Incentive v1'!$L$3:$Q$15,5,FALSE),
IF($AL25=0,VLOOKUP($AR25,'Loyalty Incentive v1'!$L$3:$Q$15,6,FALSE),0)))))</f>
        <v>0</v>
      </c>
      <c r="AN25" s="51">
        <f>IFERROR(IF(I25&gt;="1",AM25,VLOOKUP(VALUE(I25),'Loyalty - Effec - 15July'!$I$5:$J$16,2,0)*AM25),0)</f>
        <v>0</v>
      </c>
      <c r="AO25" s="51">
        <v>5.5E-2</v>
      </c>
      <c r="AP25" s="51">
        <f t="shared" si="14"/>
        <v>5.5E-2</v>
      </c>
      <c r="AQ25" s="46" t="str">
        <f t="shared" si="15"/>
        <v>Yes</v>
      </c>
      <c r="AR25" s="57" t="s">
        <v>5</v>
      </c>
      <c r="AS25" s="46" t="b">
        <f t="shared" si="17"/>
        <v>0</v>
      </c>
      <c r="AT25" s="82">
        <f t="shared" si="18"/>
        <v>0</v>
      </c>
      <c r="AU25" s="82">
        <f t="shared" si="19"/>
        <v>0</v>
      </c>
      <c r="AV25" s="82">
        <f t="shared" si="20"/>
        <v>0</v>
      </c>
      <c r="AW25" s="82">
        <f t="shared" si="21"/>
        <v>0</v>
      </c>
      <c r="AX25" s="85"/>
      <c r="AY25" s="82">
        <f t="shared" si="22"/>
        <v>0</v>
      </c>
      <c r="AZ25" s="82">
        <f t="shared" si="23"/>
        <v>0</v>
      </c>
      <c r="BA25" s="82">
        <f t="shared" si="24"/>
        <v>0</v>
      </c>
      <c r="BB25" s="83">
        <v>0</v>
      </c>
      <c r="BC25" s="83">
        <v>0</v>
      </c>
      <c r="BD25" s="83">
        <v>0</v>
      </c>
      <c r="BE25" s="84">
        <f>ROUND((IF(($AT25&lt;=700000),0,IF(((VLOOKUP($AR25,'Loyalty - Effec - 15July'!$B$5:$C$17,2,0)*$AT25)&lt;=120000),(VLOOKUP($AR25,'Loyalty - Effec - 15July'!$B$5:$C$17,2,0)*$AT25),120000))),0)</f>
        <v>0</v>
      </c>
      <c r="BF25" s="84">
        <f>ROUND(VLOOKUP($AR25,'Loyalty - Effec - 15July'!$B$5:$D$17,3,0)*$AT25,0)</f>
        <v>0</v>
      </c>
      <c r="BG25" s="85">
        <f t="shared" si="25"/>
        <v>0</v>
      </c>
      <c r="BH25" s="81">
        <f t="shared" si="26"/>
        <v>0</v>
      </c>
      <c r="BI25" s="85">
        <f t="shared" si="27"/>
        <v>0</v>
      </c>
      <c r="BJ25" s="85">
        <f t="shared" si="28"/>
        <v>0</v>
      </c>
      <c r="BK25" s="85">
        <f t="shared" si="29"/>
        <v>0</v>
      </c>
      <c r="BL25" s="85">
        <f t="shared" si="30"/>
        <v>0</v>
      </c>
      <c r="BM25" s="85">
        <f t="shared" si="31"/>
        <v>0</v>
      </c>
      <c r="BN25" s="85">
        <f t="shared" si="32"/>
        <v>0</v>
      </c>
      <c r="BO25" s="52" t="s">
        <v>85</v>
      </c>
      <c r="BP25" s="46">
        <v>2</v>
      </c>
      <c r="BQ25" s="46"/>
      <c r="BR25" s="47">
        <f t="shared" si="34"/>
        <v>0</v>
      </c>
      <c r="BS25" s="46">
        <v>3</v>
      </c>
      <c r="BT25" s="54">
        <v>8.0999999999999989E-2</v>
      </c>
      <c r="BU25" s="47">
        <f t="shared" si="33"/>
        <v>0</v>
      </c>
      <c r="BV25" s="53" t="s">
        <v>130</v>
      </c>
      <c r="BW25" s="53" t="s">
        <v>81</v>
      </c>
      <c r="BX25" s="53" t="s">
        <v>131</v>
      </c>
      <c r="BY25" s="53"/>
      <c r="BZ25" s="53"/>
      <c r="CA25" s="55"/>
    </row>
    <row r="26" spans="1:79">
      <c r="A26" s="42" t="s">
        <v>132</v>
      </c>
      <c r="B26" s="28" t="s">
        <v>79</v>
      </c>
      <c r="C26" s="28" t="s">
        <v>80</v>
      </c>
      <c r="D26" s="28" t="s">
        <v>932</v>
      </c>
      <c r="E26" s="43" t="s">
        <v>82</v>
      </c>
      <c r="F26" s="28" t="s">
        <v>901</v>
      </c>
      <c r="G26" s="44" t="s">
        <v>133</v>
      </c>
      <c r="H26" s="45">
        <v>42614</v>
      </c>
      <c r="I26" s="46" t="s">
        <v>1024</v>
      </c>
      <c r="J26" s="28">
        <v>4</v>
      </c>
      <c r="K26" s="28" t="s">
        <v>863</v>
      </c>
      <c r="L26" s="28" t="s">
        <v>867</v>
      </c>
      <c r="M26" s="28" t="s">
        <v>3</v>
      </c>
      <c r="N26" s="28" t="str">
        <f t="shared" si="2"/>
        <v>AE5</v>
      </c>
      <c r="O26" s="81"/>
      <c r="P26" s="81">
        <f t="shared" si="3"/>
        <v>0</v>
      </c>
      <c r="Q26" s="81">
        <f t="shared" si="4"/>
        <v>0</v>
      </c>
      <c r="R26" s="81">
        <f t="shared" si="5"/>
        <v>0</v>
      </c>
      <c r="S26" s="81"/>
      <c r="T26" s="82">
        <f t="shared" si="6"/>
        <v>0</v>
      </c>
      <c r="U26" s="82">
        <f t="shared" si="7"/>
        <v>0</v>
      </c>
      <c r="V26" s="82">
        <f t="shared" si="8"/>
        <v>0</v>
      </c>
      <c r="W26" s="83">
        <v>0</v>
      </c>
      <c r="X26" s="83">
        <v>0</v>
      </c>
      <c r="Y26" s="83">
        <v>0</v>
      </c>
      <c r="Z26" s="84">
        <f>ROUND((IF(($O26&lt;=700000),0,IF(((VLOOKUP($M26,'Loyalty - Effec - 15July'!$B$5:$C$17,2,0)*$O26)&lt;=120000),(VLOOKUP($M26,'Loyalty - Effec - 15July'!$B$5:$C$17,2,0)*$O26),120000))),0)</f>
        <v>0</v>
      </c>
      <c r="AA26" s="84">
        <f>ROUND(VLOOKUP($M26,'Loyalty - Effec - 15July'!$B$5:$D$17,3,0)*$O26,0)</f>
        <v>0</v>
      </c>
      <c r="AB26" s="85">
        <f t="shared" si="9"/>
        <v>0</v>
      </c>
      <c r="AC26" s="86">
        <f t="shared" si="10"/>
        <v>0</v>
      </c>
      <c r="AD26" s="87">
        <f t="shared" si="11"/>
        <v>0</v>
      </c>
      <c r="AE26" s="88">
        <f t="shared" si="12"/>
        <v>0</v>
      </c>
      <c r="AF26" s="88">
        <f t="shared" si="13"/>
        <v>0</v>
      </c>
      <c r="AG26" s="49" t="s">
        <v>910</v>
      </c>
      <c r="AH26" s="49" t="s">
        <v>774</v>
      </c>
      <c r="AI26" s="50"/>
      <c r="AJ26" s="46"/>
      <c r="AK26" s="46"/>
      <c r="AL26" s="46"/>
      <c r="AM26" s="51">
        <f>IF($AL26=4,VLOOKUP($AR26,'Loyalty Incentive v1'!$L$3:$Q$15,2,FALSE),
IF($AL26=3,VLOOKUP($AR26,'Loyalty Incentive v1'!$L$3:$Q$15,3,FALSE),
IF($AL26=2,VLOOKUP($AR26,'Loyalty Incentive v1'!$L$3:$Q$15,4,FALSE),
IF($AL26=1,VLOOKUP($AR26,'Loyalty Incentive v1'!$L$3:$Q$15,5,FALSE),
IF($AL26=0,VLOOKUP($AR26,'Loyalty Incentive v1'!$L$3:$Q$15,6,FALSE),0)))))</f>
        <v>0</v>
      </c>
      <c r="AN26" s="51">
        <f>IFERROR(IF(I26&gt;="1",AM26,VLOOKUP(VALUE(I26),'Loyalty - Effec - 15July'!$I$5:$J$16,2,0)*AM26),0)</f>
        <v>0</v>
      </c>
      <c r="AO26" s="51">
        <v>0</v>
      </c>
      <c r="AP26" s="51">
        <f t="shared" si="14"/>
        <v>0</v>
      </c>
      <c r="AQ26" s="46" t="str">
        <f t="shared" si="15"/>
        <v>No</v>
      </c>
      <c r="AR26" s="46" t="str">
        <f t="shared" si="16"/>
        <v>AE5</v>
      </c>
      <c r="AS26" s="46" t="b">
        <f t="shared" si="17"/>
        <v>1</v>
      </c>
      <c r="AT26" s="82">
        <f t="shared" si="18"/>
        <v>0</v>
      </c>
      <c r="AU26" s="82">
        <f t="shared" si="19"/>
        <v>0</v>
      </c>
      <c r="AV26" s="82">
        <f t="shared" si="20"/>
        <v>0</v>
      </c>
      <c r="AW26" s="82">
        <f t="shared" si="21"/>
        <v>0</v>
      </c>
      <c r="AX26" s="85"/>
      <c r="AY26" s="82">
        <f t="shared" si="22"/>
        <v>0</v>
      </c>
      <c r="AZ26" s="82">
        <f t="shared" si="23"/>
        <v>0</v>
      </c>
      <c r="BA26" s="82">
        <f t="shared" si="24"/>
        <v>0</v>
      </c>
      <c r="BB26" s="83">
        <v>0</v>
      </c>
      <c r="BC26" s="83">
        <v>0</v>
      </c>
      <c r="BD26" s="83">
        <v>0</v>
      </c>
      <c r="BE26" s="84">
        <f>ROUND((IF(($AT26&lt;=700000),0,IF(((VLOOKUP($AR26,'Loyalty - Effec - 15July'!$B$5:$C$17,2,0)*$AT26)&lt;=120000),(VLOOKUP($AR26,'Loyalty - Effec - 15July'!$B$5:$C$17,2,0)*$AT26),120000))),0)</f>
        <v>0</v>
      </c>
      <c r="BF26" s="84">
        <f>ROUND(VLOOKUP($AR26,'Loyalty - Effec - 15July'!$B$5:$D$17,3,0)*$AT26,0)</f>
        <v>0</v>
      </c>
      <c r="BG26" s="85">
        <f t="shared" si="25"/>
        <v>0</v>
      </c>
      <c r="BH26" s="81">
        <f t="shared" si="26"/>
        <v>0</v>
      </c>
      <c r="BI26" s="85">
        <f t="shared" si="27"/>
        <v>0</v>
      </c>
      <c r="BJ26" s="85">
        <f t="shared" si="28"/>
        <v>0</v>
      </c>
      <c r="BK26" s="85">
        <f t="shared" si="29"/>
        <v>0</v>
      </c>
      <c r="BL26" s="85">
        <f t="shared" si="30"/>
        <v>0</v>
      </c>
      <c r="BM26" s="85">
        <f t="shared" si="31"/>
        <v>0</v>
      </c>
      <c r="BN26" s="85">
        <f t="shared" si="32"/>
        <v>0</v>
      </c>
      <c r="BO26" s="52" t="s">
        <v>86</v>
      </c>
      <c r="BP26" s="46">
        <v>3</v>
      </c>
      <c r="BQ26" s="46"/>
      <c r="BR26" s="47">
        <f t="shared" si="34"/>
        <v>0</v>
      </c>
      <c r="BU26" s="47">
        <f t="shared" si="33"/>
        <v>0</v>
      </c>
      <c r="BV26" s="53" t="s">
        <v>132</v>
      </c>
      <c r="BW26" s="53" t="s">
        <v>932</v>
      </c>
      <c r="BX26" s="53" t="s">
        <v>133</v>
      </c>
      <c r="BY26" s="53"/>
      <c r="BZ26" s="53"/>
    </row>
    <row r="27" spans="1:79">
      <c r="A27" s="42" t="s">
        <v>134</v>
      </c>
      <c r="B27" s="28" t="s">
        <v>79</v>
      </c>
      <c r="C27" s="28" t="s">
        <v>80</v>
      </c>
      <c r="D27" s="28" t="s">
        <v>932</v>
      </c>
      <c r="E27" s="43" t="s">
        <v>82</v>
      </c>
      <c r="F27" s="28" t="s">
        <v>901</v>
      </c>
      <c r="G27" s="44" t="s">
        <v>135</v>
      </c>
      <c r="H27" s="45">
        <v>42954</v>
      </c>
      <c r="I27" s="46" t="s">
        <v>1025</v>
      </c>
      <c r="J27" s="28">
        <v>3</v>
      </c>
      <c r="K27" s="28" t="s">
        <v>863</v>
      </c>
      <c r="L27" s="28" t="s">
        <v>865</v>
      </c>
      <c r="M27" s="28" t="s">
        <v>3</v>
      </c>
      <c r="N27" s="28" t="str">
        <f t="shared" si="2"/>
        <v>AE5</v>
      </c>
      <c r="O27" s="81"/>
      <c r="P27" s="81">
        <f t="shared" si="3"/>
        <v>0</v>
      </c>
      <c r="Q27" s="81">
        <f t="shared" si="4"/>
        <v>0</v>
      </c>
      <c r="R27" s="81">
        <f t="shared" si="5"/>
        <v>0</v>
      </c>
      <c r="S27" s="81"/>
      <c r="T27" s="82">
        <f t="shared" si="6"/>
        <v>0</v>
      </c>
      <c r="U27" s="82">
        <f t="shared" si="7"/>
        <v>0</v>
      </c>
      <c r="V27" s="82">
        <f t="shared" si="8"/>
        <v>0</v>
      </c>
      <c r="W27" s="83">
        <v>0</v>
      </c>
      <c r="X27" s="83">
        <v>0</v>
      </c>
      <c r="Y27" s="83">
        <v>0</v>
      </c>
      <c r="Z27" s="84">
        <f>ROUND((IF(($O27&lt;=700000),0,IF(((VLOOKUP($M27,'Loyalty - Effec - 15July'!$B$5:$C$17,2,0)*$O27)&lt;=120000),(VLOOKUP($M27,'Loyalty - Effec - 15July'!$B$5:$C$17,2,0)*$O27),120000))),0)</f>
        <v>0</v>
      </c>
      <c r="AA27" s="84">
        <f>ROUND(VLOOKUP($M27,'Loyalty - Effec - 15July'!$B$5:$D$17,3,0)*$O27,0)</f>
        <v>0</v>
      </c>
      <c r="AB27" s="85">
        <f t="shared" si="9"/>
        <v>0</v>
      </c>
      <c r="AC27" s="86">
        <f t="shared" si="10"/>
        <v>0</v>
      </c>
      <c r="AD27" s="87">
        <f t="shared" si="11"/>
        <v>0</v>
      </c>
      <c r="AE27" s="88">
        <f t="shared" si="12"/>
        <v>0</v>
      </c>
      <c r="AF27" s="88">
        <f t="shared" si="13"/>
        <v>0</v>
      </c>
      <c r="AG27" s="49" t="s">
        <v>910</v>
      </c>
      <c r="AH27" s="49" t="s">
        <v>774</v>
      </c>
      <c r="AI27" s="50"/>
      <c r="AJ27" s="46"/>
      <c r="AK27" s="46"/>
      <c r="AL27" s="46"/>
      <c r="AM27" s="51">
        <f>IF($AL27=4,VLOOKUP($AR27,'Loyalty Incentive v1'!$L$3:$Q$15,2,FALSE),
IF($AL27=3,VLOOKUP($AR27,'Loyalty Incentive v1'!$L$3:$Q$15,3,FALSE),
IF($AL27=2,VLOOKUP($AR27,'Loyalty Incentive v1'!$L$3:$Q$15,4,FALSE),
IF($AL27=1,VLOOKUP($AR27,'Loyalty Incentive v1'!$L$3:$Q$15,5,FALSE),
IF($AL27=0,VLOOKUP($AR27,'Loyalty Incentive v1'!$L$3:$Q$15,6,FALSE),0)))))</f>
        <v>0</v>
      </c>
      <c r="AN27" s="51">
        <f>IFERROR(IF(I27&gt;="1",AM27,VLOOKUP(VALUE(I27),'Loyalty - Effec - 15July'!$I$5:$J$16,2,0)*AM27),0)</f>
        <v>0</v>
      </c>
      <c r="AO27" s="51">
        <v>0</v>
      </c>
      <c r="AP27" s="51">
        <f t="shared" si="14"/>
        <v>0</v>
      </c>
      <c r="AQ27" s="46" t="str">
        <f t="shared" si="15"/>
        <v>No</v>
      </c>
      <c r="AR27" s="46" t="str">
        <f t="shared" si="16"/>
        <v>AE5</v>
      </c>
      <c r="AS27" s="46" t="b">
        <f t="shared" si="17"/>
        <v>1</v>
      </c>
      <c r="AT27" s="82">
        <f t="shared" si="18"/>
        <v>0</v>
      </c>
      <c r="AU27" s="82">
        <f t="shared" si="19"/>
        <v>0</v>
      </c>
      <c r="AV27" s="82">
        <f t="shared" si="20"/>
        <v>0</v>
      </c>
      <c r="AW27" s="82">
        <f t="shared" si="21"/>
        <v>0</v>
      </c>
      <c r="AX27" s="85"/>
      <c r="AY27" s="82">
        <f t="shared" si="22"/>
        <v>0</v>
      </c>
      <c r="AZ27" s="82">
        <f t="shared" si="23"/>
        <v>0</v>
      </c>
      <c r="BA27" s="82">
        <f t="shared" si="24"/>
        <v>0</v>
      </c>
      <c r="BB27" s="83">
        <v>0</v>
      </c>
      <c r="BC27" s="83">
        <v>0</v>
      </c>
      <c r="BD27" s="83">
        <v>0</v>
      </c>
      <c r="BE27" s="84">
        <f>ROUND((IF(($AT27&lt;=700000),0,IF(((VLOOKUP($AR27,'Loyalty - Effec - 15July'!$B$5:$C$17,2,0)*$AT27)&lt;=120000),(VLOOKUP($AR27,'Loyalty - Effec - 15July'!$B$5:$C$17,2,0)*$AT27),120000))),0)</f>
        <v>0</v>
      </c>
      <c r="BF27" s="84">
        <f>ROUND(VLOOKUP($AR27,'Loyalty - Effec - 15July'!$B$5:$D$17,3,0)*$AT27,0)</f>
        <v>0</v>
      </c>
      <c r="BG27" s="85">
        <f t="shared" si="25"/>
        <v>0</v>
      </c>
      <c r="BH27" s="81">
        <f t="shared" si="26"/>
        <v>0</v>
      </c>
      <c r="BI27" s="85">
        <f t="shared" si="27"/>
        <v>0</v>
      </c>
      <c r="BJ27" s="85">
        <f t="shared" si="28"/>
        <v>0</v>
      </c>
      <c r="BK27" s="85">
        <f t="shared" si="29"/>
        <v>0</v>
      </c>
      <c r="BL27" s="85">
        <f t="shared" si="30"/>
        <v>0</v>
      </c>
      <c r="BM27" s="85">
        <f t="shared" si="31"/>
        <v>0</v>
      </c>
      <c r="BN27" s="85">
        <f t="shared" si="32"/>
        <v>0</v>
      </c>
      <c r="BO27" s="52" t="s">
        <v>86</v>
      </c>
      <c r="BP27" s="46">
        <v>3</v>
      </c>
      <c r="BQ27" s="52" t="s">
        <v>121</v>
      </c>
      <c r="BR27" s="47">
        <f t="shared" si="34"/>
        <v>0</v>
      </c>
      <c r="BU27" s="47">
        <f t="shared" si="33"/>
        <v>0</v>
      </c>
      <c r="BV27" s="53" t="s">
        <v>134</v>
      </c>
      <c r="BW27" s="53" t="s">
        <v>932</v>
      </c>
      <c r="BX27" s="53" t="s">
        <v>135</v>
      </c>
      <c r="BY27" s="53"/>
      <c r="BZ27" s="53"/>
    </row>
    <row r="28" spans="1:79">
      <c r="A28" s="42" t="s">
        <v>145</v>
      </c>
      <c r="B28" s="28" t="s">
        <v>79</v>
      </c>
      <c r="C28" s="28" t="s">
        <v>80</v>
      </c>
      <c r="D28" s="28" t="s">
        <v>932</v>
      </c>
      <c r="E28" s="43" t="s">
        <v>82</v>
      </c>
      <c r="F28" s="28" t="s">
        <v>901</v>
      </c>
      <c r="G28" s="44" t="s">
        <v>146</v>
      </c>
      <c r="H28" s="45">
        <v>42954</v>
      </c>
      <c r="I28" s="46" t="s">
        <v>1025</v>
      </c>
      <c r="J28" s="28">
        <v>6</v>
      </c>
      <c r="K28" s="28" t="s">
        <v>863</v>
      </c>
      <c r="L28" s="28" t="s">
        <v>865</v>
      </c>
      <c r="M28" s="28" t="s">
        <v>3</v>
      </c>
      <c r="N28" s="28" t="str">
        <f t="shared" si="2"/>
        <v>AE5</v>
      </c>
      <c r="O28" s="81"/>
      <c r="P28" s="81">
        <f t="shared" si="3"/>
        <v>0</v>
      </c>
      <c r="Q28" s="81">
        <f t="shared" si="4"/>
        <v>0</v>
      </c>
      <c r="R28" s="81">
        <f t="shared" si="5"/>
        <v>0</v>
      </c>
      <c r="S28" s="81"/>
      <c r="T28" s="82">
        <f t="shared" si="6"/>
        <v>0</v>
      </c>
      <c r="U28" s="82">
        <f t="shared" si="7"/>
        <v>0</v>
      </c>
      <c r="V28" s="82">
        <f t="shared" si="8"/>
        <v>0</v>
      </c>
      <c r="W28" s="83">
        <v>0</v>
      </c>
      <c r="X28" s="83">
        <v>0</v>
      </c>
      <c r="Y28" s="83">
        <v>0</v>
      </c>
      <c r="Z28" s="84">
        <f>ROUND((IF(($O28&lt;=700000),0,IF(((VLOOKUP($M28,'Loyalty - Effec - 15July'!$B$5:$C$17,2,0)*$O28)&lt;=120000),(VLOOKUP($M28,'Loyalty - Effec - 15July'!$B$5:$C$17,2,0)*$O28),120000))),0)</f>
        <v>0</v>
      </c>
      <c r="AA28" s="84">
        <f>ROUND(VLOOKUP($M28,'Loyalty - Effec - 15July'!$B$5:$D$17,3,0)*$O28,0)</f>
        <v>0</v>
      </c>
      <c r="AB28" s="85">
        <f t="shared" si="9"/>
        <v>0</v>
      </c>
      <c r="AC28" s="86">
        <f t="shared" si="10"/>
        <v>0</v>
      </c>
      <c r="AD28" s="87">
        <f t="shared" si="11"/>
        <v>0</v>
      </c>
      <c r="AE28" s="88">
        <f t="shared" si="12"/>
        <v>0</v>
      </c>
      <c r="AF28" s="88">
        <f t="shared" si="13"/>
        <v>0</v>
      </c>
      <c r="AG28" s="49" t="s">
        <v>910</v>
      </c>
      <c r="AH28" s="49" t="s">
        <v>774</v>
      </c>
      <c r="AI28" s="50"/>
      <c r="AJ28" s="46"/>
      <c r="AK28" s="46"/>
      <c r="AL28" s="46"/>
      <c r="AM28" s="51">
        <f>IF($AL28=4,VLOOKUP($AR28,'Loyalty Incentive v1'!$L$3:$Q$15,2,FALSE),
IF($AL28=3,VLOOKUP($AR28,'Loyalty Incentive v1'!$L$3:$Q$15,3,FALSE),
IF($AL28=2,VLOOKUP($AR28,'Loyalty Incentive v1'!$L$3:$Q$15,4,FALSE),
IF($AL28=1,VLOOKUP($AR28,'Loyalty Incentive v1'!$L$3:$Q$15,5,FALSE),
IF($AL28=0,VLOOKUP($AR28,'Loyalty Incentive v1'!$L$3:$Q$15,6,FALSE),0)))))</f>
        <v>0</v>
      </c>
      <c r="AN28" s="51">
        <f>IFERROR(IF(I28&gt;="1",AM28,VLOOKUP(VALUE(I28),'Loyalty - Effec - 15July'!$I$5:$J$16,2,0)*AM28),0)</f>
        <v>0</v>
      </c>
      <c r="AO28" s="51">
        <v>0</v>
      </c>
      <c r="AP28" s="51">
        <f t="shared" si="14"/>
        <v>0</v>
      </c>
      <c r="AQ28" s="46" t="str">
        <f t="shared" si="15"/>
        <v>No</v>
      </c>
      <c r="AR28" s="46" t="str">
        <f t="shared" si="16"/>
        <v>AE5</v>
      </c>
      <c r="AS28" s="46" t="b">
        <f t="shared" si="17"/>
        <v>1</v>
      </c>
      <c r="AT28" s="82">
        <f t="shared" si="18"/>
        <v>0</v>
      </c>
      <c r="AU28" s="82">
        <f t="shared" si="19"/>
        <v>0</v>
      </c>
      <c r="AV28" s="82">
        <f t="shared" si="20"/>
        <v>0</v>
      </c>
      <c r="AW28" s="82">
        <f t="shared" si="21"/>
        <v>0</v>
      </c>
      <c r="AX28" s="85"/>
      <c r="AY28" s="82">
        <f t="shared" si="22"/>
        <v>0</v>
      </c>
      <c r="AZ28" s="82">
        <f t="shared" si="23"/>
        <v>0</v>
      </c>
      <c r="BA28" s="82">
        <f t="shared" si="24"/>
        <v>0</v>
      </c>
      <c r="BB28" s="83">
        <v>0</v>
      </c>
      <c r="BC28" s="83">
        <v>0</v>
      </c>
      <c r="BD28" s="83">
        <v>0</v>
      </c>
      <c r="BE28" s="84">
        <f>ROUND((IF(($AT28&lt;=700000),0,IF(((VLOOKUP($AR28,'Loyalty - Effec - 15July'!$B$5:$C$17,2,0)*$AT28)&lt;=120000),(VLOOKUP($AR28,'Loyalty - Effec - 15July'!$B$5:$C$17,2,0)*$AT28),120000))),0)</f>
        <v>0</v>
      </c>
      <c r="BF28" s="84">
        <f>ROUND(VLOOKUP($AR28,'Loyalty - Effec - 15July'!$B$5:$D$17,3,0)*$AT28,0)</f>
        <v>0</v>
      </c>
      <c r="BG28" s="85">
        <f t="shared" si="25"/>
        <v>0</v>
      </c>
      <c r="BH28" s="81">
        <f t="shared" si="26"/>
        <v>0</v>
      </c>
      <c r="BI28" s="85">
        <f t="shared" si="27"/>
        <v>0</v>
      </c>
      <c r="BJ28" s="85">
        <f t="shared" si="28"/>
        <v>0</v>
      </c>
      <c r="BK28" s="85">
        <f t="shared" si="29"/>
        <v>0</v>
      </c>
      <c r="BL28" s="85">
        <f t="shared" si="30"/>
        <v>0</v>
      </c>
      <c r="BM28" s="85">
        <f t="shared" si="31"/>
        <v>0</v>
      </c>
      <c r="BN28" s="85">
        <f t="shared" si="32"/>
        <v>0</v>
      </c>
      <c r="BO28" s="52" t="s">
        <v>85</v>
      </c>
      <c r="BP28" s="46">
        <v>2</v>
      </c>
      <c r="BQ28" s="46"/>
      <c r="BR28" s="47">
        <f t="shared" si="34"/>
        <v>0</v>
      </c>
      <c r="BU28" s="47">
        <f t="shared" si="33"/>
        <v>0</v>
      </c>
      <c r="BV28" s="53" t="s">
        <v>145</v>
      </c>
      <c r="BW28" s="53" t="s">
        <v>932</v>
      </c>
      <c r="BX28" s="53" t="s">
        <v>146</v>
      </c>
      <c r="BY28" s="53"/>
      <c r="BZ28" s="53"/>
    </row>
    <row r="29" spans="1:79">
      <c r="A29" s="42" t="s">
        <v>141</v>
      </c>
      <c r="B29" s="28" t="s">
        <v>79</v>
      </c>
      <c r="C29" s="28" t="s">
        <v>80</v>
      </c>
      <c r="D29" s="28" t="s">
        <v>932</v>
      </c>
      <c r="E29" s="43" t="s">
        <v>82</v>
      </c>
      <c r="F29" s="28" t="s">
        <v>902</v>
      </c>
      <c r="G29" s="44" t="s">
        <v>142</v>
      </c>
      <c r="H29" s="45">
        <v>42977</v>
      </c>
      <c r="I29" s="46" t="s">
        <v>1025</v>
      </c>
      <c r="J29" s="28">
        <v>3.3</v>
      </c>
      <c r="K29" s="28" t="s">
        <v>863</v>
      </c>
      <c r="L29" s="28" t="s">
        <v>869</v>
      </c>
      <c r="M29" s="28" t="s">
        <v>3</v>
      </c>
      <c r="N29" s="28" t="str">
        <f t="shared" si="2"/>
        <v>AE5</v>
      </c>
      <c r="O29" s="81"/>
      <c r="P29" s="81">
        <f t="shared" si="3"/>
        <v>0</v>
      </c>
      <c r="Q29" s="81">
        <f t="shared" si="4"/>
        <v>0</v>
      </c>
      <c r="R29" s="81">
        <f t="shared" si="5"/>
        <v>0</v>
      </c>
      <c r="S29" s="81"/>
      <c r="T29" s="82">
        <f t="shared" si="6"/>
        <v>0</v>
      </c>
      <c r="U29" s="82">
        <f t="shared" si="7"/>
        <v>0</v>
      </c>
      <c r="V29" s="82">
        <f t="shared" si="8"/>
        <v>0</v>
      </c>
      <c r="W29" s="83">
        <v>0</v>
      </c>
      <c r="X29" s="83">
        <v>0</v>
      </c>
      <c r="Y29" s="83">
        <v>0</v>
      </c>
      <c r="Z29" s="84">
        <f>ROUND((IF(($O29&lt;=700000),0,IF(((VLOOKUP($M29,'Loyalty - Effec - 15July'!$B$5:$C$17,2,0)*$O29)&lt;=120000),(VLOOKUP($M29,'Loyalty - Effec - 15July'!$B$5:$C$17,2,0)*$O29),120000))),0)</f>
        <v>0</v>
      </c>
      <c r="AA29" s="84">
        <f>ROUND(VLOOKUP($M29,'Loyalty - Effec - 15July'!$B$5:$D$17,3,0)*$O29,0)</f>
        <v>0</v>
      </c>
      <c r="AB29" s="85">
        <f t="shared" si="9"/>
        <v>0</v>
      </c>
      <c r="AC29" s="86">
        <f t="shared" si="10"/>
        <v>0</v>
      </c>
      <c r="AD29" s="87">
        <f t="shared" si="11"/>
        <v>0</v>
      </c>
      <c r="AE29" s="88">
        <f t="shared" si="12"/>
        <v>0</v>
      </c>
      <c r="AF29" s="88">
        <f t="shared" si="13"/>
        <v>0</v>
      </c>
      <c r="AG29" s="49" t="s">
        <v>911</v>
      </c>
      <c r="AH29" s="49" t="s">
        <v>774</v>
      </c>
      <c r="AI29" s="50"/>
      <c r="AJ29" s="46"/>
      <c r="AK29" s="46"/>
      <c r="AL29" s="46"/>
      <c r="AM29" s="51">
        <f>IF($AL29=4,VLOOKUP($AR29,'Loyalty Incentive v1'!$L$3:$Q$15,2,FALSE),
IF($AL29=3,VLOOKUP($AR29,'Loyalty Incentive v1'!$L$3:$Q$15,3,FALSE),
IF($AL29=2,VLOOKUP($AR29,'Loyalty Incentive v1'!$L$3:$Q$15,4,FALSE),
IF($AL29=1,VLOOKUP($AR29,'Loyalty Incentive v1'!$L$3:$Q$15,5,FALSE),
IF($AL29=0,VLOOKUP($AR29,'Loyalty Incentive v1'!$L$3:$Q$15,6,FALSE),0)))))</f>
        <v>0</v>
      </c>
      <c r="AN29" s="51">
        <f>IFERROR(IF(I29&gt;="1",AM29,VLOOKUP(VALUE(I29),'Loyalty - Effec - 15July'!$I$5:$J$16,2,0)*AM29),0)</f>
        <v>0</v>
      </c>
      <c r="AO29" s="51">
        <v>0</v>
      </c>
      <c r="AP29" s="51">
        <f t="shared" si="14"/>
        <v>0</v>
      </c>
      <c r="AQ29" s="46" t="str">
        <f t="shared" si="15"/>
        <v>No</v>
      </c>
      <c r="AR29" s="46" t="str">
        <f t="shared" si="16"/>
        <v>AE5</v>
      </c>
      <c r="AS29" s="46" t="b">
        <f t="shared" si="17"/>
        <v>1</v>
      </c>
      <c r="AT29" s="82">
        <f t="shared" si="18"/>
        <v>0</v>
      </c>
      <c r="AU29" s="82">
        <f t="shared" si="19"/>
        <v>0</v>
      </c>
      <c r="AV29" s="82">
        <f t="shared" si="20"/>
        <v>0</v>
      </c>
      <c r="AW29" s="82">
        <f t="shared" si="21"/>
        <v>0</v>
      </c>
      <c r="AX29" s="85"/>
      <c r="AY29" s="82">
        <f t="shared" si="22"/>
        <v>0</v>
      </c>
      <c r="AZ29" s="82">
        <f t="shared" si="23"/>
        <v>0</v>
      </c>
      <c r="BA29" s="82">
        <f t="shared" si="24"/>
        <v>0</v>
      </c>
      <c r="BB29" s="83">
        <v>0</v>
      </c>
      <c r="BC29" s="83">
        <v>0</v>
      </c>
      <c r="BD29" s="83">
        <v>0</v>
      </c>
      <c r="BE29" s="84">
        <f>ROUND((IF(($AT29&lt;=700000),0,IF(((VLOOKUP($AR29,'Loyalty - Effec - 15July'!$B$5:$C$17,2,0)*$AT29)&lt;=120000),(VLOOKUP($AR29,'Loyalty - Effec - 15July'!$B$5:$C$17,2,0)*$AT29),120000))),0)</f>
        <v>0</v>
      </c>
      <c r="BF29" s="84">
        <f>ROUND(VLOOKUP($AR29,'Loyalty - Effec - 15July'!$B$5:$D$17,3,0)*$AT29,0)</f>
        <v>0</v>
      </c>
      <c r="BG29" s="85">
        <f t="shared" si="25"/>
        <v>0</v>
      </c>
      <c r="BH29" s="81">
        <f t="shared" si="26"/>
        <v>0</v>
      </c>
      <c r="BI29" s="85">
        <f t="shared" si="27"/>
        <v>0</v>
      </c>
      <c r="BJ29" s="85">
        <f t="shared" si="28"/>
        <v>0</v>
      </c>
      <c r="BK29" s="85">
        <f t="shared" si="29"/>
        <v>0</v>
      </c>
      <c r="BL29" s="85">
        <f t="shared" si="30"/>
        <v>0</v>
      </c>
      <c r="BM29" s="85">
        <f t="shared" si="31"/>
        <v>0</v>
      </c>
      <c r="BN29" s="85">
        <f t="shared" si="32"/>
        <v>0</v>
      </c>
      <c r="BO29" s="52" t="s">
        <v>86</v>
      </c>
      <c r="BP29" s="46">
        <v>2</v>
      </c>
      <c r="BQ29" s="46"/>
      <c r="BR29" s="47">
        <f t="shared" si="34"/>
        <v>0</v>
      </c>
      <c r="BU29" s="47">
        <f t="shared" si="33"/>
        <v>0</v>
      </c>
      <c r="BV29" s="53" t="s">
        <v>141</v>
      </c>
      <c r="BW29" s="53" t="s">
        <v>932</v>
      </c>
      <c r="BX29" s="53" t="s">
        <v>142</v>
      </c>
      <c r="BY29" s="53"/>
      <c r="BZ29" s="53"/>
    </row>
    <row r="30" spans="1:79">
      <c r="A30" s="42" t="s">
        <v>143</v>
      </c>
      <c r="B30" s="28" t="s">
        <v>79</v>
      </c>
      <c r="C30" s="28" t="s">
        <v>80</v>
      </c>
      <c r="D30" s="28" t="s">
        <v>932</v>
      </c>
      <c r="E30" s="43" t="s">
        <v>82</v>
      </c>
      <c r="F30" s="28" t="s">
        <v>902</v>
      </c>
      <c r="G30" s="44" t="s">
        <v>144</v>
      </c>
      <c r="H30" s="45">
        <v>42977</v>
      </c>
      <c r="I30" s="46" t="s">
        <v>1025</v>
      </c>
      <c r="J30" s="28">
        <v>6</v>
      </c>
      <c r="K30" s="28" t="s">
        <v>421</v>
      </c>
      <c r="L30" s="28" t="s">
        <v>887</v>
      </c>
      <c r="M30" s="28" t="s">
        <v>3</v>
      </c>
      <c r="N30" s="28" t="str">
        <f t="shared" si="2"/>
        <v>AE5</v>
      </c>
      <c r="O30" s="81"/>
      <c r="P30" s="81">
        <f t="shared" si="3"/>
        <v>0</v>
      </c>
      <c r="Q30" s="81">
        <f t="shared" si="4"/>
        <v>0</v>
      </c>
      <c r="R30" s="81">
        <f t="shared" si="5"/>
        <v>0</v>
      </c>
      <c r="S30" s="81"/>
      <c r="T30" s="82">
        <f t="shared" si="6"/>
        <v>0</v>
      </c>
      <c r="U30" s="82">
        <f t="shared" si="7"/>
        <v>0</v>
      </c>
      <c r="V30" s="82">
        <f t="shared" si="8"/>
        <v>0</v>
      </c>
      <c r="W30" s="83">
        <v>0</v>
      </c>
      <c r="X30" s="83">
        <v>0</v>
      </c>
      <c r="Y30" s="83">
        <v>0</v>
      </c>
      <c r="Z30" s="84">
        <f>ROUND((IF(($O30&lt;=700000),0,IF(((VLOOKUP($M30,'Loyalty - Effec - 15July'!$B$5:$C$17,2,0)*$O30)&lt;=120000),(VLOOKUP($M30,'Loyalty - Effec - 15July'!$B$5:$C$17,2,0)*$O30),120000))),0)</f>
        <v>0</v>
      </c>
      <c r="AA30" s="84">
        <f>ROUND(VLOOKUP($M30,'Loyalty - Effec - 15July'!$B$5:$D$17,3,0)*$O30,0)</f>
        <v>0</v>
      </c>
      <c r="AB30" s="85">
        <f t="shared" si="9"/>
        <v>0</v>
      </c>
      <c r="AC30" s="86">
        <f t="shared" si="10"/>
        <v>0</v>
      </c>
      <c r="AD30" s="87">
        <f t="shared" si="11"/>
        <v>0</v>
      </c>
      <c r="AE30" s="88">
        <f t="shared" si="12"/>
        <v>0</v>
      </c>
      <c r="AF30" s="88">
        <f t="shared" si="13"/>
        <v>0</v>
      </c>
      <c r="AG30" s="49" t="s">
        <v>273</v>
      </c>
      <c r="AH30" s="49" t="s">
        <v>83</v>
      </c>
      <c r="AI30" s="50"/>
      <c r="AJ30" s="46"/>
      <c r="AK30" s="46"/>
      <c r="AL30" s="46"/>
      <c r="AM30" s="51">
        <f>IF($AL30=4,VLOOKUP($AR30,'Loyalty Incentive v1'!$L$3:$Q$15,2,FALSE),
IF($AL30=3,VLOOKUP($AR30,'Loyalty Incentive v1'!$L$3:$Q$15,3,FALSE),
IF($AL30=2,VLOOKUP($AR30,'Loyalty Incentive v1'!$L$3:$Q$15,4,FALSE),
IF($AL30=1,VLOOKUP($AR30,'Loyalty Incentive v1'!$L$3:$Q$15,5,FALSE),
IF($AL30=0,VLOOKUP($AR30,'Loyalty Incentive v1'!$L$3:$Q$15,6,FALSE),0)))))</f>
        <v>0</v>
      </c>
      <c r="AN30" s="51">
        <f>IFERROR(IF(I30&gt;="1",AM30,VLOOKUP(VALUE(I30),'Loyalty - Effec - 15July'!$I$5:$J$16,2,0)*AM30),0)</f>
        <v>0</v>
      </c>
      <c r="AO30" s="51">
        <v>0</v>
      </c>
      <c r="AP30" s="51">
        <f t="shared" si="14"/>
        <v>0</v>
      </c>
      <c r="AQ30" s="46" t="str">
        <f t="shared" si="15"/>
        <v>No</v>
      </c>
      <c r="AR30" s="46" t="str">
        <f t="shared" si="16"/>
        <v>AE5</v>
      </c>
      <c r="AS30" s="46" t="b">
        <f t="shared" si="17"/>
        <v>1</v>
      </c>
      <c r="AT30" s="82">
        <f t="shared" si="18"/>
        <v>0</v>
      </c>
      <c r="AU30" s="82">
        <f t="shared" si="19"/>
        <v>0</v>
      </c>
      <c r="AV30" s="82">
        <f t="shared" si="20"/>
        <v>0</v>
      </c>
      <c r="AW30" s="82">
        <f t="shared" si="21"/>
        <v>0</v>
      </c>
      <c r="AX30" s="85"/>
      <c r="AY30" s="82">
        <f t="shared" si="22"/>
        <v>0</v>
      </c>
      <c r="AZ30" s="82">
        <f t="shared" si="23"/>
        <v>0</v>
      </c>
      <c r="BA30" s="82">
        <f t="shared" si="24"/>
        <v>0</v>
      </c>
      <c r="BB30" s="83">
        <v>0</v>
      </c>
      <c r="BC30" s="83">
        <v>0</v>
      </c>
      <c r="BD30" s="83">
        <v>0</v>
      </c>
      <c r="BE30" s="84">
        <f>ROUND((IF(($AT30&lt;=700000),0,IF(((VLOOKUP($AR30,'Loyalty - Effec - 15July'!$B$5:$C$17,2,0)*$AT30)&lt;=120000),(VLOOKUP($AR30,'Loyalty - Effec - 15July'!$B$5:$C$17,2,0)*$AT30),120000))),0)</f>
        <v>0</v>
      </c>
      <c r="BF30" s="84">
        <f>ROUND(VLOOKUP($AR30,'Loyalty - Effec - 15July'!$B$5:$D$17,3,0)*$AT30,0)</f>
        <v>0</v>
      </c>
      <c r="BG30" s="85">
        <f t="shared" si="25"/>
        <v>0</v>
      </c>
      <c r="BH30" s="81">
        <f t="shared" si="26"/>
        <v>0</v>
      </c>
      <c r="BI30" s="85">
        <f t="shared" si="27"/>
        <v>0</v>
      </c>
      <c r="BJ30" s="85">
        <f t="shared" si="28"/>
        <v>0</v>
      </c>
      <c r="BK30" s="85">
        <f t="shared" si="29"/>
        <v>0</v>
      </c>
      <c r="BL30" s="85">
        <f t="shared" si="30"/>
        <v>0</v>
      </c>
      <c r="BM30" s="85">
        <f t="shared" si="31"/>
        <v>0</v>
      </c>
      <c r="BN30" s="85">
        <f t="shared" si="32"/>
        <v>0</v>
      </c>
      <c r="BO30" s="52" t="s">
        <v>85</v>
      </c>
      <c r="BP30" s="46">
        <v>2</v>
      </c>
      <c r="BQ30" s="46"/>
      <c r="BR30" s="47">
        <f t="shared" si="34"/>
        <v>0</v>
      </c>
      <c r="BU30" s="47">
        <f t="shared" si="33"/>
        <v>0</v>
      </c>
      <c r="BV30" s="53" t="s">
        <v>143</v>
      </c>
      <c r="BW30" s="53" t="s">
        <v>932</v>
      </c>
      <c r="BX30" s="53" t="s">
        <v>144</v>
      </c>
      <c r="BY30" s="53"/>
      <c r="BZ30" s="53"/>
    </row>
    <row r="31" spans="1:79">
      <c r="A31" s="42" t="s">
        <v>211</v>
      </c>
      <c r="B31" s="28" t="s">
        <v>79</v>
      </c>
      <c r="C31" s="28" t="s">
        <v>80</v>
      </c>
      <c r="D31" s="28" t="s">
        <v>81</v>
      </c>
      <c r="E31" s="43" t="s">
        <v>82</v>
      </c>
      <c r="F31" s="28" t="s">
        <v>902</v>
      </c>
      <c r="G31" s="44" t="s">
        <v>212</v>
      </c>
      <c r="H31" s="45">
        <v>43011</v>
      </c>
      <c r="I31" s="28" t="s">
        <v>1026</v>
      </c>
      <c r="J31" s="28">
        <v>0</v>
      </c>
      <c r="K31" s="28" t="s">
        <v>863</v>
      </c>
      <c r="L31" s="28" t="s">
        <v>865</v>
      </c>
      <c r="M31" s="28" t="s">
        <v>3</v>
      </c>
      <c r="N31" s="28" t="str">
        <f t="shared" si="2"/>
        <v>AE5</v>
      </c>
      <c r="O31" s="81"/>
      <c r="P31" s="81">
        <f t="shared" si="3"/>
        <v>0</v>
      </c>
      <c r="Q31" s="81">
        <f t="shared" si="4"/>
        <v>0</v>
      </c>
      <c r="R31" s="81">
        <f t="shared" si="5"/>
        <v>0</v>
      </c>
      <c r="S31" s="81"/>
      <c r="T31" s="82">
        <f t="shared" si="6"/>
        <v>0</v>
      </c>
      <c r="U31" s="82">
        <f t="shared" si="7"/>
        <v>0</v>
      </c>
      <c r="V31" s="82">
        <f t="shared" si="8"/>
        <v>0</v>
      </c>
      <c r="W31" s="83">
        <v>0</v>
      </c>
      <c r="X31" s="83">
        <v>0</v>
      </c>
      <c r="Y31" s="83">
        <v>0</v>
      </c>
      <c r="Z31" s="84">
        <f>ROUND((IF(($O31&lt;=700000),0,IF(((VLOOKUP($M31,'Loyalty - Effec - 15July'!$B$5:$C$17,2,0)*$O31)&lt;=120000),(VLOOKUP($M31,'Loyalty - Effec - 15July'!$B$5:$C$17,2,0)*$O31),120000))),0)</f>
        <v>0</v>
      </c>
      <c r="AA31" s="84">
        <f>ROUND(VLOOKUP($M31,'Loyalty - Effec - 15July'!$B$5:$D$17,3,0)*$O31,0)</f>
        <v>0</v>
      </c>
      <c r="AB31" s="85">
        <f t="shared" si="9"/>
        <v>0</v>
      </c>
      <c r="AC31" s="86">
        <f t="shared" si="10"/>
        <v>0</v>
      </c>
      <c r="AD31" s="87">
        <f t="shared" si="11"/>
        <v>0</v>
      </c>
      <c r="AE31" s="88">
        <f t="shared" si="12"/>
        <v>0</v>
      </c>
      <c r="AF31" s="88">
        <f t="shared" si="13"/>
        <v>0</v>
      </c>
      <c r="AG31" s="49" t="s">
        <v>693</v>
      </c>
      <c r="AH31" s="49" t="s">
        <v>809</v>
      </c>
      <c r="AI31" s="50"/>
      <c r="AJ31" s="50"/>
      <c r="AK31" s="50"/>
      <c r="AL31" s="46"/>
      <c r="AM31" s="51">
        <f>IF($AL31=4,VLOOKUP($AR31,'Loyalty Incentive v1'!$L$3:$Q$15,2,FALSE),
IF($AL31=3,VLOOKUP($AR31,'Loyalty Incentive v1'!$L$3:$Q$15,3,FALSE),
IF($AL31=2,VLOOKUP($AR31,'Loyalty Incentive v1'!$L$3:$Q$15,4,FALSE),
IF($AL31=1,VLOOKUP($AR31,'Loyalty Incentive v1'!$L$3:$Q$15,5,FALSE),
IF($AL31=0,VLOOKUP($AR31,'Loyalty Incentive v1'!$L$3:$Q$15,6,FALSE),0)))))</f>
        <v>0</v>
      </c>
      <c r="AN31" s="51">
        <f>IFERROR(IF(I31&gt;="1",AM31,VLOOKUP(VALUE(I31),'Loyalty - Effec - 15July'!$I$5:$J$16,2,0)*AM31),0)</f>
        <v>0</v>
      </c>
      <c r="AO31" s="51">
        <v>-0.02</v>
      </c>
      <c r="AP31" s="51">
        <f t="shared" si="14"/>
        <v>-0.02</v>
      </c>
      <c r="AQ31" s="46" t="str">
        <f t="shared" si="15"/>
        <v>Yes</v>
      </c>
      <c r="AR31" s="57" t="s">
        <v>4</v>
      </c>
      <c r="AS31" s="46" t="b">
        <f t="shared" si="17"/>
        <v>0</v>
      </c>
      <c r="AT31" s="82">
        <f t="shared" si="18"/>
        <v>0</v>
      </c>
      <c r="AU31" s="82">
        <f t="shared" si="19"/>
        <v>0</v>
      </c>
      <c r="AV31" s="82">
        <f t="shared" si="20"/>
        <v>0</v>
      </c>
      <c r="AW31" s="82">
        <f t="shared" si="21"/>
        <v>0</v>
      </c>
      <c r="AX31" s="85"/>
      <c r="AY31" s="82">
        <f t="shared" si="22"/>
        <v>0</v>
      </c>
      <c r="AZ31" s="82">
        <f t="shared" si="23"/>
        <v>0</v>
      </c>
      <c r="BA31" s="82">
        <f t="shared" si="24"/>
        <v>0</v>
      </c>
      <c r="BB31" s="83">
        <v>0</v>
      </c>
      <c r="BC31" s="83">
        <v>0</v>
      </c>
      <c r="BD31" s="83">
        <v>0</v>
      </c>
      <c r="BE31" s="84">
        <f>ROUND((IF(($AT31&lt;=700000),0,IF(((VLOOKUP($AR31,'Loyalty - Effec - 15July'!$B$5:$C$17,2,0)*$AT31)&lt;=120000),(VLOOKUP($AR31,'Loyalty - Effec - 15July'!$B$5:$C$17,2,0)*$AT31),120000))),0)</f>
        <v>0</v>
      </c>
      <c r="BF31" s="84">
        <f>ROUND(VLOOKUP($AR31,'Loyalty - Effec - 15July'!$B$5:$D$17,3,0)*$AT31,0)</f>
        <v>0</v>
      </c>
      <c r="BG31" s="85">
        <f t="shared" si="25"/>
        <v>0</v>
      </c>
      <c r="BH31" s="81">
        <f t="shared" si="26"/>
        <v>0</v>
      </c>
      <c r="BI31" s="85">
        <f t="shared" si="27"/>
        <v>0</v>
      </c>
      <c r="BJ31" s="85">
        <f t="shared" si="28"/>
        <v>0</v>
      </c>
      <c r="BK31" s="85">
        <f t="shared" si="29"/>
        <v>0</v>
      </c>
      <c r="BL31" s="85">
        <f t="shared" si="30"/>
        <v>0</v>
      </c>
      <c r="BM31" s="85">
        <f t="shared" si="31"/>
        <v>0</v>
      </c>
      <c r="BN31" s="85">
        <f t="shared" si="32"/>
        <v>0</v>
      </c>
      <c r="BO31" s="52" t="s">
        <v>86</v>
      </c>
      <c r="BP31" s="46">
        <v>3</v>
      </c>
      <c r="BQ31" s="46"/>
      <c r="BR31" s="47">
        <f t="shared" si="34"/>
        <v>0</v>
      </c>
      <c r="BS31" s="46">
        <v>3</v>
      </c>
      <c r="BT31" s="54">
        <v>0.151</v>
      </c>
      <c r="BU31" s="47">
        <f t="shared" si="33"/>
        <v>0</v>
      </c>
      <c r="BV31" s="53" t="s">
        <v>211</v>
      </c>
      <c r="BW31" s="53" t="s">
        <v>81</v>
      </c>
      <c r="BX31" s="53" t="s">
        <v>212</v>
      </c>
      <c r="BY31" s="53"/>
      <c r="BZ31" s="53"/>
      <c r="CA31" s="55"/>
    </row>
    <row r="32" spans="1:79">
      <c r="A32" s="42" t="s">
        <v>149</v>
      </c>
      <c r="B32" s="28" t="s">
        <v>79</v>
      </c>
      <c r="C32" s="28" t="s">
        <v>80</v>
      </c>
      <c r="D32" s="28" t="s">
        <v>81</v>
      </c>
      <c r="E32" s="43" t="s">
        <v>82</v>
      </c>
      <c r="F32" s="28" t="s">
        <v>901</v>
      </c>
      <c r="G32" s="44" t="s">
        <v>150</v>
      </c>
      <c r="H32" s="45">
        <v>43066</v>
      </c>
      <c r="I32" s="28" t="s">
        <v>1027</v>
      </c>
      <c r="J32" s="28">
        <v>2</v>
      </c>
      <c r="K32" s="28" t="s">
        <v>863</v>
      </c>
      <c r="L32" s="28" t="s">
        <v>877</v>
      </c>
      <c r="M32" s="28" t="s">
        <v>4</v>
      </c>
      <c r="N32" s="28" t="str">
        <f t="shared" si="2"/>
        <v>AE6</v>
      </c>
      <c r="O32" s="81"/>
      <c r="P32" s="81">
        <f t="shared" si="3"/>
        <v>0</v>
      </c>
      <c r="Q32" s="81">
        <f t="shared" si="4"/>
        <v>0</v>
      </c>
      <c r="R32" s="81">
        <f t="shared" si="5"/>
        <v>0</v>
      </c>
      <c r="S32" s="81"/>
      <c r="T32" s="82">
        <f t="shared" si="6"/>
        <v>0</v>
      </c>
      <c r="U32" s="82">
        <f t="shared" si="7"/>
        <v>0</v>
      </c>
      <c r="V32" s="82">
        <f t="shared" si="8"/>
        <v>0</v>
      </c>
      <c r="W32" s="83">
        <v>0</v>
      </c>
      <c r="X32" s="83">
        <v>0</v>
      </c>
      <c r="Y32" s="83">
        <v>0</v>
      </c>
      <c r="Z32" s="84">
        <f>ROUND((IF(($O32&lt;=700000),0,IF(((VLOOKUP($M32,'Loyalty - Effec - 15July'!$B$5:$C$17,2,0)*$O32)&lt;=120000),(VLOOKUP($M32,'Loyalty - Effec - 15July'!$B$5:$C$17,2,0)*$O32),120000))),0)</f>
        <v>0</v>
      </c>
      <c r="AA32" s="84">
        <f>ROUND(VLOOKUP($M32,'Loyalty - Effec - 15July'!$B$5:$D$17,3,0)*$O32,0)</f>
        <v>0</v>
      </c>
      <c r="AB32" s="85">
        <f t="shared" si="9"/>
        <v>0</v>
      </c>
      <c r="AC32" s="86">
        <f t="shared" si="10"/>
        <v>0</v>
      </c>
      <c r="AD32" s="87">
        <f t="shared" si="11"/>
        <v>0</v>
      </c>
      <c r="AE32" s="88">
        <f t="shared" si="12"/>
        <v>0</v>
      </c>
      <c r="AF32" s="88">
        <f t="shared" si="13"/>
        <v>0</v>
      </c>
      <c r="AG32" s="49" t="s">
        <v>911</v>
      </c>
      <c r="AH32" s="49" t="s">
        <v>774</v>
      </c>
      <c r="AI32" s="50"/>
      <c r="AJ32" s="50"/>
      <c r="AK32" s="50"/>
      <c r="AL32" s="46"/>
      <c r="AM32" s="51">
        <f>IF($AL32=4,VLOOKUP($AR32,'Loyalty Incentive v1'!$L$3:$Q$15,2,FALSE),
IF($AL32=3,VLOOKUP($AR32,'Loyalty Incentive v1'!$L$3:$Q$15,3,FALSE),
IF($AL32=2,VLOOKUP($AR32,'Loyalty Incentive v1'!$L$3:$Q$15,4,FALSE),
IF($AL32=1,VLOOKUP($AR32,'Loyalty Incentive v1'!$L$3:$Q$15,5,FALSE),
IF($AL32=0,VLOOKUP($AR32,'Loyalty Incentive v1'!$L$3:$Q$15,6,FALSE),0)))))</f>
        <v>0</v>
      </c>
      <c r="AN32" s="51">
        <f>IFERROR(IF(I32&gt;="1",AM32,VLOOKUP(VALUE(I32),'Loyalty - Effec - 15July'!$I$5:$J$16,2,0)*AM32),0)</f>
        <v>0</v>
      </c>
      <c r="AO32" s="51">
        <v>-8.1000000000000003E-2</v>
      </c>
      <c r="AP32" s="51">
        <f t="shared" si="14"/>
        <v>-8.1000000000000003E-2</v>
      </c>
      <c r="AQ32" s="46" t="str">
        <f t="shared" si="15"/>
        <v>No</v>
      </c>
      <c r="AR32" s="46" t="str">
        <f t="shared" si="16"/>
        <v>AE6</v>
      </c>
      <c r="AS32" s="46" t="b">
        <f t="shared" si="17"/>
        <v>1</v>
      </c>
      <c r="AT32" s="82">
        <f t="shared" si="18"/>
        <v>0</v>
      </c>
      <c r="AU32" s="82">
        <f t="shared" si="19"/>
        <v>0</v>
      </c>
      <c r="AV32" s="82">
        <f t="shared" si="20"/>
        <v>0</v>
      </c>
      <c r="AW32" s="82">
        <f t="shared" si="21"/>
        <v>0</v>
      </c>
      <c r="AX32" s="85"/>
      <c r="AY32" s="82">
        <f t="shared" si="22"/>
        <v>0</v>
      </c>
      <c r="AZ32" s="82">
        <f t="shared" si="23"/>
        <v>0</v>
      </c>
      <c r="BA32" s="82">
        <f t="shared" si="24"/>
        <v>0</v>
      </c>
      <c r="BB32" s="83">
        <v>0</v>
      </c>
      <c r="BC32" s="83">
        <v>0</v>
      </c>
      <c r="BD32" s="83">
        <v>0</v>
      </c>
      <c r="BE32" s="84">
        <f>ROUND((IF(($AT32&lt;=700000),0,IF(((VLOOKUP($AR32,'Loyalty - Effec - 15July'!$B$5:$C$17,2,0)*$AT32)&lt;=120000),(VLOOKUP($AR32,'Loyalty - Effec - 15July'!$B$5:$C$17,2,0)*$AT32),120000))),0)</f>
        <v>0</v>
      </c>
      <c r="BF32" s="84">
        <f>ROUND(VLOOKUP($AR32,'Loyalty - Effec - 15July'!$B$5:$D$17,3,0)*$AT32,0)</f>
        <v>0</v>
      </c>
      <c r="BG32" s="85">
        <f t="shared" si="25"/>
        <v>0</v>
      </c>
      <c r="BH32" s="81">
        <f t="shared" si="26"/>
        <v>0</v>
      </c>
      <c r="BI32" s="85">
        <f t="shared" si="27"/>
        <v>0</v>
      </c>
      <c r="BJ32" s="85">
        <f t="shared" si="28"/>
        <v>0</v>
      </c>
      <c r="BK32" s="85">
        <f t="shared" si="29"/>
        <v>0</v>
      </c>
      <c r="BL32" s="85">
        <f t="shared" si="30"/>
        <v>0</v>
      </c>
      <c r="BM32" s="85">
        <f t="shared" si="31"/>
        <v>0</v>
      </c>
      <c r="BN32" s="85">
        <f t="shared" si="32"/>
        <v>0</v>
      </c>
      <c r="BO32" s="52" t="s">
        <v>85</v>
      </c>
      <c r="BP32" s="46">
        <v>2</v>
      </c>
      <c r="BQ32" s="46"/>
      <c r="BR32" s="47">
        <f t="shared" si="34"/>
        <v>0</v>
      </c>
      <c r="BS32" s="46">
        <v>2</v>
      </c>
      <c r="BT32" s="54">
        <v>0.10100000000000001</v>
      </c>
      <c r="BU32" s="47">
        <f t="shared" si="33"/>
        <v>0</v>
      </c>
      <c r="BV32" s="53" t="s">
        <v>149</v>
      </c>
      <c r="BW32" s="53" t="s">
        <v>81</v>
      </c>
      <c r="BX32" s="53" t="s">
        <v>150</v>
      </c>
      <c r="BY32" s="53"/>
      <c r="BZ32" s="53"/>
      <c r="CA32" s="55"/>
    </row>
    <row r="33" spans="1:79">
      <c r="A33" s="42" t="s">
        <v>151</v>
      </c>
      <c r="B33" s="28" t="s">
        <v>79</v>
      </c>
      <c r="C33" s="28" t="s">
        <v>80</v>
      </c>
      <c r="D33" s="28" t="s">
        <v>932</v>
      </c>
      <c r="E33" s="43" t="s">
        <v>82</v>
      </c>
      <c r="F33" s="28" t="s">
        <v>901</v>
      </c>
      <c r="G33" s="44" t="s">
        <v>152</v>
      </c>
      <c r="H33" s="45">
        <v>43075</v>
      </c>
      <c r="I33" s="46" t="s">
        <v>1028</v>
      </c>
      <c r="J33" s="28">
        <v>0</v>
      </c>
      <c r="K33" s="28" t="s">
        <v>863</v>
      </c>
      <c r="L33" s="28" t="s">
        <v>865</v>
      </c>
      <c r="M33" s="28" t="s">
        <v>4</v>
      </c>
      <c r="N33" s="28" t="str">
        <f t="shared" si="2"/>
        <v>AE6</v>
      </c>
      <c r="O33" s="81"/>
      <c r="P33" s="81">
        <f t="shared" si="3"/>
        <v>0</v>
      </c>
      <c r="Q33" s="81">
        <f t="shared" si="4"/>
        <v>0</v>
      </c>
      <c r="R33" s="81">
        <f t="shared" si="5"/>
        <v>0</v>
      </c>
      <c r="S33" s="81"/>
      <c r="T33" s="82">
        <f t="shared" si="6"/>
        <v>0</v>
      </c>
      <c r="U33" s="82">
        <f t="shared" si="7"/>
        <v>0</v>
      </c>
      <c r="V33" s="82">
        <f t="shared" si="8"/>
        <v>0</v>
      </c>
      <c r="W33" s="83">
        <v>0</v>
      </c>
      <c r="X33" s="83">
        <v>0</v>
      </c>
      <c r="Y33" s="83">
        <v>0</v>
      </c>
      <c r="Z33" s="84">
        <f>ROUND((IF(($O33&lt;=700000),0,IF(((VLOOKUP($M33,'Loyalty - Effec - 15July'!$B$5:$C$17,2,0)*$O33)&lt;=120000),(VLOOKUP($M33,'Loyalty - Effec - 15July'!$B$5:$C$17,2,0)*$O33),120000))),0)</f>
        <v>0</v>
      </c>
      <c r="AA33" s="84">
        <f>ROUND(VLOOKUP($M33,'Loyalty - Effec - 15July'!$B$5:$D$17,3,0)*$O33,0)</f>
        <v>0</v>
      </c>
      <c r="AB33" s="85">
        <f t="shared" si="9"/>
        <v>0</v>
      </c>
      <c r="AC33" s="86">
        <f t="shared" si="10"/>
        <v>0</v>
      </c>
      <c r="AD33" s="87">
        <f t="shared" si="11"/>
        <v>0</v>
      </c>
      <c r="AE33" s="88">
        <f t="shared" si="12"/>
        <v>0</v>
      </c>
      <c r="AF33" s="88">
        <f t="shared" si="13"/>
        <v>0</v>
      </c>
      <c r="AG33" s="49" t="s">
        <v>120</v>
      </c>
      <c r="AH33" s="49" t="s">
        <v>774</v>
      </c>
      <c r="AI33" s="50"/>
      <c r="AJ33" s="46"/>
      <c r="AK33" s="46"/>
      <c r="AL33" s="46"/>
      <c r="AM33" s="51">
        <f>IF($AL33=4,VLOOKUP($AR33,'Loyalty Incentive v1'!$L$3:$Q$15,2,FALSE),
IF($AL33=3,VLOOKUP($AR33,'Loyalty Incentive v1'!$L$3:$Q$15,3,FALSE),
IF($AL33=2,VLOOKUP($AR33,'Loyalty Incentive v1'!$L$3:$Q$15,4,FALSE),
IF($AL33=1,VLOOKUP($AR33,'Loyalty Incentive v1'!$L$3:$Q$15,5,FALSE),
IF($AL33=0,VLOOKUP($AR33,'Loyalty Incentive v1'!$L$3:$Q$15,6,FALSE),0)))))</f>
        <v>0</v>
      </c>
      <c r="AN33" s="51">
        <f>IFERROR(IF(I33&gt;="1",AM33,VLOOKUP(VALUE(I33),'Loyalty - Effec - 15July'!$I$5:$J$16,2,0)*AM33),0)</f>
        <v>0</v>
      </c>
      <c r="AO33" s="51">
        <v>0</v>
      </c>
      <c r="AP33" s="51">
        <f t="shared" si="14"/>
        <v>0</v>
      </c>
      <c r="AQ33" s="46" t="str">
        <f t="shared" si="15"/>
        <v>No</v>
      </c>
      <c r="AR33" s="46" t="str">
        <f t="shared" si="16"/>
        <v>AE6</v>
      </c>
      <c r="AS33" s="46" t="b">
        <f t="shared" si="17"/>
        <v>1</v>
      </c>
      <c r="AT33" s="82">
        <f t="shared" si="18"/>
        <v>0</v>
      </c>
      <c r="AU33" s="82">
        <f t="shared" si="19"/>
        <v>0</v>
      </c>
      <c r="AV33" s="82">
        <f t="shared" si="20"/>
        <v>0</v>
      </c>
      <c r="AW33" s="82">
        <f t="shared" si="21"/>
        <v>0</v>
      </c>
      <c r="AX33" s="85"/>
      <c r="AY33" s="82">
        <f t="shared" si="22"/>
        <v>0</v>
      </c>
      <c r="AZ33" s="82">
        <f t="shared" si="23"/>
        <v>0</v>
      </c>
      <c r="BA33" s="82">
        <f t="shared" si="24"/>
        <v>0</v>
      </c>
      <c r="BB33" s="83">
        <v>0</v>
      </c>
      <c r="BC33" s="83">
        <v>0</v>
      </c>
      <c r="BD33" s="83">
        <v>0</v>
      </c>
      <c r="BE33" s="84">
        <f>ROUND((IF(($AT33&lt;=700000),0,IF(((VLOOKUP($AR33,'Loyalty - Effec - 15July'!$B$5:$C$17,2,0)*$AT33)&lt;=120000),(VLOOKUP($AR33,'Loyalty - Effec - 15July'!$B$5:$C$17,2,0)*$AT33),120000))),0)</f>
        <v>0</v>
      </c>
      <c r="BF33" s="84">
        <f>ROUND(VLOOKUP($AR33,'Loyalty - Effec - 15July'!$B$5:$D$17,3,0)*$AT33,0)</f>
        <v>0</v>
      </c>
      <c r="BG33" s="85">
        <f t="shared" si="25"/>
        <v>0</v>
      </c>
      <c r="BH33" s="81">
        <f t="shared" si="26"/>
        <v>0</v>
      </c>
      <c r="BI33" s="85">
        <f t="shared" si="27"/>
        <v>0</v>
      </c>
      <c r="BJ33" s="85">
        <f t="shared" si="28"/>
        <v>0</v>
      </c>
      <c r="BK33" s="85">
        <f t="shared" si="29"/>
        <v>0</v>
      </c>
      <c r="BL33" s="85">
        <f t="shared" si="30"/>
        <v>0</v>
      </c>
      <c r="BM33" s="85">
        <f t="shared" si="31"/>
        <v>0</v>
      </c>
      <c r="BN33" s="85">
        <f t="shared" si="32"/>
        <v>0</v>
      </c>
      <c r="BO33" s="52" t="s">
        <v>86</v>
      </c>
      <c r="BP33" s="46">
        <v>4</v>
      </c>
      <c r="BQ33" s="52" t="s">
        <v>121</v>
      </c>
      <c r="BR33" s="47">
        <f t="shared" si="34"/>
        <v>0</v>
      </c>
      <c r="BU33" s="47">
        <f t="shared" si="33"/>
        <v>0</v>
      </c>
      <c r="BV33" s="53" t="s">
        <v>151</v>
      </c>
      <c r="BW33" s="53" t="s">
        <v>932</v>
      </c>
      <c r="BX33" s="53" t="s">
        <v>152</v>
      </c>
      <c r="BY33" s="53"/>
      <c r="BZ33" s="53"/>
    </row>
    <row r="34" spans="1:79">
      <c r="A34" s="42" t="s">
        <v>153</v>
      </c>
      <c r="B34" s="28" t="s">
        <v>79</v>
      </c>
      <c r="C34" s="28" t="s">
        <v>80</v>
      </c>
      <c r="D34" s="28" t="s">
        <v>932</v>
      </c>
      <c r="E34" s="43" t="s">
        <v>82</v>
      </c>
      <c r="F34" s="28" t="s">
        <v>901</v>
      </c>
      <c r="G34" s="44" t="s">
        <v>154</v>
      </c>
      <c r="H34" s="45">
        <v>43138</v>
      </c>
      <c r="I34" s="46" t="s">
        <v>1029</v>
      </c>
      <c r="J34" s="28">
        <v>0</v>
      </c>
      <c r="K34" s="28" t="s">
        <v>93</v>
      </c>
      <c r="L34" s="28" t="s">
        <v>873</v>
      </c>
      <c r="M34" s="28" t="s">
        <v>3</v>
      </c>
      <c r="N34" s="28" t="str">
        <f t="shared" si="2"/>
        <v>AE5</v>
      </c>
      <c r="O34" s="81"/>
      <c r="P34" s="81">
        <f t="shared" si="3"/>
        <v>0</v>
      </c>
      <c r="Q34" s="81">
        <f t="shared" si="4"/>
        <v>0</v>
      </c>
      <c r="R34" s="81">
        <f t="shared" si="5"/>
        <v>0</v>
      </c>
      <c r="S34" s="81"/>
      <c r="T34" s="82">
        <f t="shared" si="6"/>
        <v>0</v>
      </c>
      <c r="U34" s="82">
        <f t="shared" si="7"/>
        <v>0</v>
      </c>
      <c r="V34" s="82">
        <f t="shared" si="8"/>
        <v>0</v>
      </c>
      <c r="W34" s="83">
        <v>0</v>
      </c>
      <c r="X34" s="83">
        <v>0</v>
      </c>
      <c r="Y34" s="83">
        <v>0</v>
      </c>
      <c r="Z34" s="84">
        <f>ROUND((IF(($O34&lt;=700000),0,IF(((VLOOKUP($M34,'Loyalty - Effec - 15July'!$B$5:$C$17,2,0)*$O34)&lt;=120000),(VLOOKUP($M34,'Loyalty - Effec - 15July'!$B$5:$C$17,2,0)*$O34),120000))),0)</f>
        <v>0</v>
      </c>
      <c r="AA34" s="84">
        <f>ROUND(VLOOKUP($M34,'Loyalty - Effec - 15July'!$B$5:$D$17,3,0)*$O34,0)</f>
        <v>0</v>
      </c>
      <c r="AB34" s="85">
        <f t="shared" si="9"/>
        <v>0</v>
      </c>
      <c r="AC34" s="86">
        <f t="shared" si="10"/>
        <v>0</v>
      </c>
      <c r="AD34" s="87">
        <f t="shared" si="11"/>
        <v>0</v>
      </c>
      <c r="AE34" s="88">
        <f t="shared" si="12"/>
        <v>0</v>
      </c>
      <c r="AF34" s="88">
        <f t="shared" si="13"/>
        <v>0</v>
      </c>
      <c r="AG34" s="49" t="s">
        <v>135</v>
      </c>
      <c r="AH34" s="49" t="s">
        <v>910</v>
      </c>
      <c r="AI34" s="50"/>
      <c r="AJ34" s="46"/>
      <c r="AK34" s="46"/>
      <c r="AL34" s="46"/>
      <c r="AM34" s="51">
        <f>IF($AL34=4,VLOOKUP($AR34,'Loyalty Incentive v1'!$L$3:$Q$15,2,FALSE),
IF($AL34=3,VLOOKUP($AR34,'Loyalty Incentive v1'!$L$3:$Q$15,3,FALSE),
IF($AL34=2,VLOOKUP($AR34,'Loyalty Incentive v1'!$L$3:$Q$15,4,FALSE),
IF($AL34=1,VLOOKUP($AR34,'Loyalty Incentive v1'!$L$3:$Q$15,5,FALSE),
IF($AL34=0,VLOOKUP($AR34,'Loyalty Incentive v1'!$L$3:$Q$15,6,FALSE),0)))))</f>
        <v>0</v>
      </c>
      <c r="AN34" s="51">
        <f>IFERROR(IF(I34&gt;="1",AM34,VLOOKUP(VALUE(I34),'Loyalty - Effec - 15July'!$I$5:$J$16,2,0)*AM34),0)</f>
        <v>0</v>
      </c>
      <c r="AO34" s="51">
        <v>0</v>
      </c>
      <c r="AP34" s="51">
        <f t="shared" si="14"/>
        <v>0</v>
      </c>
      <c r="AQ34" s="46" t="str">
        <f t="shared" si="15"/>
        <v>No</v>
      </c>
      <c r="AR34" s="46" t="str">
        <f t="shared" si="16"/>
        <v>AE5</v>
      </c>
      <c r="AS34" s="46" t="b">
        <f t="shared" si="17"/>
        <v>1</v>
      </c>
      <c r="AT34" s="82">
        <f t="shared" si="18"/>
        <v>0</v>
      </c>
      <c r="AU34" s="82">
        <f t="shared" si="19"/>
        <v>0</v>
      </c>
      <c r="AV34" s="82">
        <f t="shared" si="20"/>
        <v>0</v>
      </c>
      <c r="AW34" s="82">
        <f t="shared" si="21"/>
        <v>0</v>
      </c>
      <c r="AX34" s="85"/>
      <c r="AY34" s="82">
        <f t="shared" si="22"/>
        <v>0</v>
      </c>
      <c r="AZ34" s="82">
        <f t="shared" si="23"/>
        <v>0</v>
      </c>
      <c r="BA34" s="82">
        <f t="shared" si="24"/>
        <v>0</v>
      </c>
      <c r="BB34" s="83">
        <v>0</v>
      </c>
      <c r="BC34" s="83">
        <v>0</v>
      </c>
      <c r="BD34" s="83">
        <v>0</v>
      </c>
      <c r="BE34" s="84">
        <f>ROUND((IF(($AT34&lt;=700000),0,IF(((VLOOKUP($AR34,'Loyalty - Effec - 15July'!$B$5:$C$17,2,0)*$AT34)&lt;=120000),(VLOOKUP($AR34,'Loyalty - Effec - 15July'!$B$5:$C$17,2,0)*$AT34),120000))),0)</f>
        <v>0</v>
      </c>
      <c r="BF34" s="84">
        <f>ROUND(VLOOKUP($AR34,'Loyalty - Effec - 15July'!$B$5:$D$17,3,0)*$AT34,0)</f>
        <v>0</v>
      </c>
      <c r="BG34" s="85">
        <f t="shared" si="25"/>
        <v>0</v>
      </c>
      <c r="BH34" s="81">
        <f t="shared" si="26"/>
        <v>0</v>
      </c>
      <c r="BI34" s="85">
        <f t="shared" si="27"/>
        <v>0</v>
      </c>
      <c r="BJ34" s="85">
        <f t="shared" si="28"/>
        <v>0</v>
      </c>
      <c r="BK34" s="85">
        <f t="shared" si="29"/>
        <v>0</v>
      </c>
      <c r="BL34" s="85">
        <f t="shared" si="30"/>
        <v>0</v>
      </c>
      <c r="BM34" s="85">
        <f t="shared" si="31"/>
        <v>0</v>
      </c>
      <c r="BN34" s="85">
        <f t="shared" si="32"/>
        <v>0</v>
      </c>
      <c r="BO34" s="52" t="s">
        <v>86</v>
      </c>
      <c r="BP34" s="46">
        <v>4</v>
      </c>
      <c r="BQ34" s="52" t="s">
        <v>121</v>
      </c>
      <c r="BR34" s="47">
        <f t="shared" si="34"/>
        <v>0</v>
      </c>
      <c r="BU34" s="47">
        <f t="shared" si="33"/>
        <v>0</v>
      </c>
      <c r="BV34" s="53" t="s">
        <v>153</v>
      </c>
      <c r="BW34" s="53" t="s">
        <v>932</v>
      </c>
      <c r="BX34" s="53" t="s">
        <v>154</v>
      </c>
      <c r="BY34" s="53"/>
      <c r="BZ34" s="53"/>
    </row>
    <row r="35" spans="1:79">
      <c r="A35" s="42" t="s">
        <v>156</v>
      </c>
      <c r="B35" s="28" t="s">
        <v>79</v>
      </c>
      <c r="C35" s="28" t="s">
        <v>80</v>
      </c>
      <c r="D35" s="28" t="s">
        <v>932</v>
      </c>
      <c r="E35" s="43" t="s">
        <v>82</v>
      </c>
      <c r="F35" s="28" t="s">
        <v>901</v>
      </c>
      <c r="G35" s="44" t="s">
        <v>157</v>
      </c>
      <c r="H35" s="45">
        <v>43171</v>
      </c>
      <c r="I35" s="46" t="s">
        <v>1030</v>
      </c>
      <c r="J35" s="28">
        <v>7</v>
      </c>
      <c r="K35" s="28" t="s">
        <v>863</v>
      </c>
      <c r="L35" s="28" t="s">
        <v>877</v>
      </c>
      <c r="M35" s="28" t="s">
        <v>3</v>
      </c>
      <c r="N35" s="28" t="str">
        <f t="shared" si="2"/>
        <v>AE5</v>
      </c>
      <c r="O35" s="81"/>
      <c r="P35" s="81">
        <f t="shared" si="3"/>
        <v>0</v>
      </c>
      <c r="Q35" s="81">
        <f t="shared" si="4"/>
        <v>0</v>
      </c>
      <c r="R35" s="81">
        <f t="shared" si="5"/>
        <v>0</v>
      </c>
      <c r="S35" s="81"/>
      <c r="T35" s="82">
        <f t="shared" si="6"/>
        <v>0</v>
      </c>
      <c r="U35" s="82">
        <f t="shared" si="7"/>
        <v>0</v>
      </c>
      <c r="V35" s="82">
        <f t="shared" si="8"/>
        <v>0</v>
      </c>
      <c r="W35" s="83">
        <v>0</v>
      </c>
      <c r="X35" s="83">
        <v>0</v>
      </c>
      <c r="Y35" s="83">
        <v>0</v>
      </c>
      <c r="Z35" s="84">
        <f>ROUND((IF(($O35&lt;=700000),0,IF(((VLOOKUP($M35,'Loyalty - Effec - 15July'!$B$5:$C$17,2,0)*$O35)&lt;=120000),(VLOOKUP($M35,'Loyalty - Effec - 15July'!$B$5:$C$17,2,0)*$O35),120000))),0)</f>
        <v>0</v>
      </c>
      <c r="AA35" s="84">
        <f>ROUND(VLOOKUP($M35,'Loyalty - Effec - 15July'!$B$5:$D$17,3,0)*$O35,0)</f>
        <v>0</v>
      </c>
      <c r="AB35" s="85">
        <f t="shared" si="9"/>
        <v>0</v>
      </c>
      <c r="AC35" s="86">
        <f t="shared" si="10"/>
        <v>0</v>
      </c>
      <c r="AD35" s="87">
        <f t="shared" si="11"/>
        <v>0</v>
      </c>
      <c r="AE35" s="88">
        <f t="shared" si="12"/>
        <v>0</v>
      </c>
      <c r="AF35" s="88">
        <f t="shared" si="13"/>
        <v>0</v>
      </c>
      <c r="AG35" s="49" t="s">
        <v>120</v>
      </c>
      <c r="AH35" s="49" t="s">
        <v>774</v>
      </c>
      <c r="AI35" s="50"/>
      <c r="AJ35" s="46"/>
      <c r="AK35" s="46"/>
      <c r="AL35" s="46"/>
      <c r="AM35" s="51">
        <f>IF($AL35=4,VLOOKUP($AR35,'Loyalty Incentive v1'!$L$3:$Q$15,2,FALSE),
IF($AL35=3,VLOOKUP($AR35,'Loyalty Incentive v1'!$L$3:$Q$15,3,FALSE),
IF($AL35=2,VLOOKUP($AR35,'Loyalty Incentive v1'!$L$3:$Q$15,4,FALSE),
IF($AL35=1,VLOOKUP($AR35,'Loyalty Incentive v1'!$L$3:$Q$15,5,FALSE),
IF($AL35=0,VLOOKUP($AR35,'Loyalty Incentive v1'!$L$3:$Q$15,6,FALSE),0)))))</f>
        <v>0</v>
      </c>
      <c r="AN35" s="51">
        <f>IFERROR(IF(I35&gt;="1",AM35,VLOOKUP(VALUE(I35),'Loyalty - Effec - 15July'!$I$5:$J$16,2,0)*AM35),0)</f>
        <v>0</v>
      </c>
      <c r="AO35" s="51">
        <v>0</v>
      </c>
      <c r="AP35" s="51">
        <f t="shared" si="14"/>
        <v>0</v>
      </c>
      <c r="AQ35" s="46" t="str">
        <f t="shared" si="15"/>
        <v>No</v>
      </c>
      <c r="AR35" s="46" t="str">
        <f t="shared" si="16"/>
        <v>AE5</v>
      </c>
      <c r="AS35" s="46" t="b">
        <f t="shared" si="17"/>
        <v>1</v>
      </c>
      <c r="AT35" s="82">
        <f t="shared" si="18"/>
        <v>0</v>
      </c>
      <c r="AU35" s="82">
        <f t="shared" si="19"/>
        <v>0</v>
      </c>
      <c r="AV35" s="82">
        <f t="shared" si="20"/>
        <v>0</v>
      </c>
      <c r="AW35" s="82">
        <f t="shared" si="21"/>
        <v>0</v>
      </c>
      <c r="AX35" s="85"/>
      <c r="AY35" s="82">
        <f t="shared" si="22"/>
        <v>0</v>
      </c>
      <c r="AZ35" s="82">
        <f t="shared" si="23"/>
        <v>0</v>
      </c>
      <c r="BA35" s="82">
        <f t="shared" si="24"/>
        <v>0</v>
      </c>
      <c r="BB35" s="83">
        <v>0</v>
      </c>
      <c r="BC35" s="83">
        <v>0</v>
      </c>
      <c r="BD35" s="83">
        <v>0</v>
      </c>
      <c r="BE35" s="84">
        <f>ROUND((IF(($AT35&lt;=700000),0,IF(((VLOOKUP($AR35,'Loyalty - Effec - 15July'!$B$5:$C$17,2,0)*$AT35)&lt;=120000),(VLOOKUP($AR35,'Loyalty - Effec - 15July'!$B$5:$C$17,2,0)*$AT35),120000))),0)</f>
        <v>0</v>
      </c>
      <c r="BF35" s="84">
        <f>ROUND(VLOOKUP($AR35,'Loyalty - Effec - 15July'!$B$5:$D$17,3,0)*$AT35,0)</f>
        <v>0</v>
      </c>
      <c r="BG35" s="85">
        <f t="shared" si="25"/>
        <v>0</v>
      </c>
      <c r="BH35" s="81">
        <f t="shared" si="26"/>
        <v>0</v>
      </c>
      <c r="BI35" s="85">
        <f t="shared" si="27"/>
        <v>0</v>
      </c>
      <c r="BJ35" s="85">
        <f t="shared" si="28"/>
        <v>0</v>
      </c>
      <c r="BK35" s="85">
        <f t="shared" si="29"/>
        <v>0</v>
      </c>
      <c r="BL35" s="85">
        <f t="shared" si="30"/>
        <v>0</v>
      </c>
      <c r="BM35" s="85">
        <f t="shared" si="31"/>
        <v>0</v>
      </c>
      <c r="BN35" s="85">
        <f t="shared" si="32"/>
        <v>0</v>
      </c>
      <c r="BO35" s="52" t="s">
        <v>86</v>
      </c>
      <c r="BP35" s="46">
        <v>3</v>
      </c>
      <c r="BQ35" s="46"/>
      <c r="BR35" s="47">
        <f t="shared" si="34"/>
        <v>0</v>
      </c>
      <c r="BU35" s="47">
        <f t="shared" si="33"/>
        <v>0</v>
      </c>
      <c r="BV35" s="53" t="s">
        <v>156</v>
      </c>
      <c r="BW35" s="53" t="s">
        <v>932</v>
      </c>
      <c r="BX35" s="53" t="s">
        <v>157</v>
      </c>
      <c r="BY35" s="53"/>
      <c r="BZ35" s="53"/>
    </row>
    <row r="36" spans="1:79">
      <c r="A36" s="42" t="s">
        <v>158</v>
      </c>
      <c r="B36" s="28" t="s">
        <v>79</v>
      </c>
      <c r="C36" s="28" t="s">
        <v>80</v>
      </c>
      <c r="D36" s="28" t="s">
        <v>932</v>
      </c>
      <c r="E36" s="43" t="s">
        <v>82</v>
      </c>
      <c r="F36" s="28" t="s">
        <v>902</v>
      </c>
      <c r="G36" s="44" t="s">
        <v>159</v>
      </c>
      <c r="H36" s="45">
        <v>43195</v>
      </c>
      <c r="I36" s="46" t="s">
        <v>972</v>
      </c>
      <c r="J36" s="28">
        <v>4</v>
      </c>
      <c r="K36" s="28" t="s">
        <v>93</v>
      </c>
      <c r="L36" s="28" t="s">
        <v>94</v>
      </c>
      <c r="M36" s="28" t="s">
        <v>2</v>
      </c>
      <c r="N36" s="28" t="str">
        <f t="shared" si="2"/>
        <v>AE4</v>
      </c>
      <c r="O36" s="81"/>
      <c r="P36" s="81">
        <f t="shared" si="3"/>
        <v>0</v>
      </c>
      <c r="Q36" s="81">
        <f t="shared" si="4"/>
        <v>0</v>
      </c>
      <c r="R36" s="81">
        <f t="shared" si="5"/>
        <v>0</v>
      </c>
      <c r="S36" s="81"/>
      <c r="T36" s="82">
        <f t="shared" si="6"/>
        <v>0</v>
      </c>
      <c r="U36" s="82">
        <f t="shared" si="7"/>
        <v>0</v>
      </c>
      <c r="V36" s="82">
        <f t="shared" si="8"/>
        <v>0</v>
      </c>
      <c r="W36" s="83">
        <v>0</v>
      </c>
      <c r="X36" s="83">
        <v>0</v>
      </c>
      <c r="Y36" s="83">
        <v>0</v>
      </c>
      <c r="Z36" s="84">
        <f>ROUND((IF(($O36&lt;=700000),0,IF(((VLOOKUP($M36,'Loyalty - Effec - 15July'!$B$5:$C$17,2,0)*$O36)&lt;=120000),(VLOOKUP($M36,'Loyalty - Effec - 15July'!$B$5:$C$17,2,0)*$O36),120000))),0)</f>
        <v>0</v>
      </c>
      <c r="AA36" s="84">
        <f>ROUND(VLOOKUP($M36,'Loyalty - Effec - 15July'!$B$5:$D$17,3,0)*$O36,0)</f>
        <v>0</v>
      </c>
      <c r="AB36" s="85">
        <f t="shared" si="9"/>
        <v>0</v>
      </c>
      <c r="AC36" s="86">
        <f t="shared" si="10"/>
        <v>0</v>
      </c>
      <c r="AD36" s="87">
        <f t="shared" si="11"/>
        <v>0</v>
      </c>
      <c r="AE36" s="88">
        <f t="shared" si="12"/>
        <v>0</v>
      </c>
      <c r="AF36" s="88">
        <f t="shared" si="13"/>
        <v>0</v>
      </c>
      <c r="AG36" s="49" t="s">
        <v>90</v>
      </c>
      <c r="AH36" s="49" t="s">
        <v>200</v>
      </c>
      <c r="AI36" s="50"/>
      <c r="AJ36" s="46"/>
      <c r="AK36" s="46"/>
      <c r="AL36" s="46"/>
      <c r="AM36" s="51">
        <f>IF($AL36=4,VLOOKUP($AR36,'Loyalty Incentive v1'!$L$3:$Q$15,2,FALSE),
IF($AL36=3,VLOOKUP($AR36,'Loyalty Incentive v1'!$L$3:$Q$15,3,FALSE),
IF($AL36=2,VLOOKUP($AR36,'Loyalty Incentive v1'!$L$3:$Q$15,4,FALSE),
IF($AL36=1,VLOOKUP($AR36,'Loyalty Incentive v1'!$L$3:$Q$15,5,FALSE),
IF($AL36=0,VLOOKUP($AR36,'Loyalty Incentive v1'!$L$3:$Q$15,6,FALSE),0)))))</f>
        <v>0</v>
      </c>
      <c r="AN36" s="51">
        <f>IFERROR(IF(I36&gt;="1",AM36,VLOOKUP(VALUE(I36),'Loyalty - Effec - 15July'!$I$5:$J$16,2,0)*AM36),0)</f>
        <v>0</v>
      </c>
      <c r="AO36" s="51">
        <v>0</v>
      </c>
      <c r="AP36" s="51">
        <f t="shared" si="14"/>
        <v>0</v>
      </c>
      <c r="AQ36" s="46" t="str">
        <f t="shared" si="15"/>
        <v>No</v>
      </c>
      <c r="AR36" s="46" t="str">
        <f t="shared" si="16"/>
        <v>AE4</v>
      </c>
      <c r="AS36" s="46" t="b">
        <f t="shared" si="17"/>
        <v>1</v>
      </c>
      <c r="AT36" s="82">
        <f t="shared" si="18"/>
        <v>0</v>
      </c>
      <c r="AU36" s="82">
        <f t="shared" si="19"/>
        <v>0</v>
      </c>
      <c r="AV36" s="82">
        <f t="shared" si="20"/>
        <v>0</v>
      </c>
      <c r="AW36" s="82">
        <f t="shared" si="21"/>
        <v>0</v>
      </c>
      <c r="AX36" s="85"/>
      <c r="AY36" s="82">
        <f t="shared" si="22"/>
        <v>0</v>
      </c>
      <c r="AZ36" s="82">
        <f t="shared" si="23"/>
        <v>0</v>
      </c>
      <c r="BA36" s="82">
        <f t="shared" si="24"/>
        <v>0</v>
      </c>
      <c r="BB36" s="83">
        <v>0</v>
      </c>
      <c r="BC36" s="83">
        <v>0</v>
      </c>
      <c r="BD36" s="83">
        <v>0</v>
      </c>
      <c r="BE36" s="84">
        <f>ROUND((IF(($AT36&lt;=700000),0,IF(((VLOOKUP($AR36,'Loyalty - Effec - 15July'!$B$5:$C$17,2,0)*$AT36)&lt;=120000),(VLOOKUP($AR36,'Loyalty - Effec - 15July'!$B$5:$C$17,2,0)*$AT36),120000))),0)</f>
        <v>0</v>
      </c>
      <c r="BF36" s="84">
        <f>ROUND(VLOOKUP($AR36,'Loyalty - Effec - 15July'!$B$5:$D$17,3,0)*$AT36,0)</f>
        <v>0</v>
      </c>
      <c r="BG36" s="85">
        <f t="shared" si="25"/>
        <v>0</v>
      </c>
      <c r="BH36" s="81">
        <f t="shared" si="26"/>
        <v>0</v>
      </c>
      <c r="BI36" s="85">
        <f t="shared" si="27"/>
        <v>0</v>
      </c>
      <c r="BJ36" s="85">
        <f t="shared" si="28"/>
        <v>0</v>
      </c>
      <c r="BK36" s="85">
        <f t="shared" si="29"/>
        <v>0</v>
      </c>
      <c r="BL36" s="85">
        <f t="shared" si="30"/>
        <v>0</v>
      </c>
      <c r="BM36" s="85">
        <f t="shared" si="31"/>
        <v>0</v>
      </c>
      <c r="BN36" s="85">
        <f t="shared" si="32"/>
        <v>0</v>
      </c>
      <c r="BO36" s="52" t="s">
        <v>86</v>
      </c>
      <c r="BP36" s="46">
        <v>4</v>
      </c>
      <c r="BQ36" s="46"/>
      <c r="BR36" s="47">
        <f t="shared" si="34"/>
        <v>0</v>
      </c>
      <c r="BU36" s="47">
        <f t="shared" si="33"/>
        <v>0</v>
      </c>
      <c r="BV36" s="53" t="s">
        <v>158</v>
      </c>
      <c r="BW36" s="53" t="s">
        <v>932</v>
      </c>
      <c r="BX36" s="53" t="s">
        <v>159</v>
      </c>
      <c r="BY36" s="53"/>
      <c r="BZ36" s="53"/>
    </row>
    <row r="37" spans="1:79">
      <c r="A37" s="42" t="s">
        <v>213</v>
      </c>
      <c r="B37" s="28" t="s">
        <v>79</v>
      </c>
      <c r="C37" s="28" t="s">
        <v>80</v>
      </c>
      <c r="D37" s="28" t="s">
        <v>932</v>
      </c>
      <c r="E37" s="43" t="s">
        <v>82</v>
      </c>
      <c r="F37" s="28" t="s">
        <v>902</v>
      </c>
      <c r="G37" s="44" t="s">
        <v>214</v>
      </c>
      <c r="H37" s="45">
        <v>43202</v>
      </c>
      <c r="I37" s="46" t="s">
        <v>972</v>
      </c>
      <c r="J37" s="28">
        <v>4</v>
      </c>
      <c r="K37" s="28" t="s">
        <v>93</v>
      </c>
      <c r="L37" s="28" t="s">
        <v>94</v>
      </c>
      <c r="M37" s="28" t="s">
        <v>1</v>
      </c>
      <c r="N37" s="28" t="str">
        <f t="shared" si="2"/>
        <v>AE3</v>
      </c>
      <c r="O37" s="81"/>
      <c r="P37" s="81">
        <f t="shared" si="3"/>
        <v>0</v>
      </c>
      <c r="Q37" s="81">
        <f t="shared" si="4"/>
        <v>0</v>
      </c>
      <c r="R37" s="81">
        <f t="shared" si="5"/>
        <v>0</v>
      </c>
      <c r="S37" s="81"/>
      <c r="T37" s="82">
        <f t="shared" si="6"/>
        <v>0</v>
      </c>
      <c r="U37" s="82">
        <f t="shared" si="7"/>
        <v>0</v>
      </c>
      <c r="V37" s="82">
        <f t="shared" si="8"/>
        <v>0</v>
      </c>
      <c r="W37" s="83">
        <v>0</v>
      </c>
      <c r="X37" s="83">
        <v>0</v>
      </c>
      <c r="Y37" s="83">
        <v>0</v>
      </c>
      <c r="Z37" s="84">
        <f>ROUND((IF(($O37&lt;=700000),0,IF(((VLOOKUP($M37,'Loyalty - Effec - 15July'!$B$5:$C$17,2,0)*$O37)&lt;=120000),(VLOOKUP($M37,'Loyalty - Effec - 15July'!$B$5:$C$17,2,0)*$O37),120000))),0)</f>
        <v>0</v>
      </c>
      <c r="AA37" s="84">
        <f>ROUND(VLOOKUP($M37,'Loyalty - Effec - 15July'!$B$5:$D$17,3,0)*$O37,0)</f>
        <v>0</v>
      </c>
      <c r="AB37" s="85">
        <f t="shared" si="9"/>
        <v>0</v>
      </c>
      <c r="AC37" s="86">
        <f t="shared" si="10"/>
        <v>0</v>
      </c>
      <c r="AD37" s="87">
        <f t="shared" si="11"/>
        <v>0</v>
      </c>
      <c r="AE37" s="88">
        <f t="shared" si="12"/>
        <v>0</v>
      </c>
      <c r="AF37" s="88">
        <f t="shared" si="13"/>
        <v>0</v>
      </c>
      <c r="AG37" s="49" t="s">
        <v>210</v>
      </c>
      <c r="AH37" s="49" t="s">
        <v>126</v>
      </c>
      <c r="AI37" s="50"/>
      <c r="AJ37" s="46"/>
      <c r="AK37" s="46"/>
      <c r="AL37" s="46"/>
      <c r="AM37" s="51">
        <f>IF($AL37=4,VLOOKUP($AR37,'Loyalty Incentive v1'!$L$3:$Q$15,2,FALSE),
IF($AL37=3,VLOOKUP($AR37,'Loyalty Incentive v1'!$L$3:$Q$15,3,FALSE),
IF($AL37=2,VLOOKUP($AR37,'Loyalty Incentive v1'!$L$3:$Q$15,4,FALSE),
IF($AL37=1,VLOOKUP($AR37,'Loyalty Incentive v1'!$L$3:$Q$15,5,FALSE),
IF($AL37=0,VLOOKUP($AR37,'Loyalty Incentive v1'!$L$3:$Q$15,6,FALSE),0)))))</f>
        <v>0</v>
      </c>
      <c r="AN37" s="51">
        <f>IFERROR(IF(I37&gt;="1",AM37,VLOOKUP(VALUE(I37),'Loyalty - Effec - 15July'!$I$5:$J$16,2,0)*AM37),0)</f>
        <v>0</v>
      </c>
      <c r="AO37" s="51">
        <v>0</v>
      </c>
      <c r="AP37" s="51">
        <f t="shared" si="14"/>
        <v>0</v>
      </c>
      <c r="AQ37" s="46" t="str">
        <f t="shared" si="15"/>
        <v>No</v>
      </c>
      <c r="AR37" s="46" t="str">
        <f t="shared" si="16"/>
        <v>AE3</v>
      </c>
      <c r="AS37" s="46" t="b">
        <f t="shared" si="17"/>
        <v>1</v>
      </c>
      <c r="AT37" s="82">
        <f t="shared" si="18"/>
        <v>0</v>
      </c>
      <c r="AU37" s="82">
        <f t="shared" si="19"/>
        <v>0</v>
      </c>
      <c r="AV37" s="82">
        <f t="shared" si="20"/>
        <v>0</v>
      </c>
      <c r="AW37" s="82">
        <f t="shared" si="21"/>
        <v>0</v>
      </c>
      <c r="AX37" s="85"/>
      <c r="AY37" s="82">
        <f t="shared" si="22"/>
        <v>0</v>
      </c>
      <c r="AZ37" s="82">
        <f t="shared" si="23"/>
        <v>0</v>
      </c>
      <c r="BA37" s="82">
        <f t="shared" si="24"/>
        <v>0</v>
      </c>
      <c r="BB37" s="83">
        <v>0</v>
      </c>
      <c r="BC37" s="83">
        <v>0</v>
      </c>
      <c r="BD37" s="83">
        <v>0</v>
      </c>
      <c r="BE37" s="84">
        <f>ROUND((IF(($AT37&lt;=700000),0,IF(((VLOOKUP($AR37,'Loyalty - Effec - 15July'!$B$5:$C$17,2,0)*$AT37)&lt;=120000),(VLOOKUP($AR37,'Loyalty - Effec - 15July'!$B$5:$C$17,2,0)*$AT37),120000))),0)</f>
        <v>0</v>
      </c>
      <c r="BF37" s="84">
        <f>ROUND(VLOOKUP($AR37,'Loyalty - Effec - 15July'!$B$5:$D$17,3,0)*$AT37,0)</f>
        <v>0</v>
      </c>
      <c r="BG37" s="85">
        <f t="shared" si="25"/>
        <v>0</v>
      </c>
      <c r="BH37" s="81">
        <f t="shared" si="26"/>
        <v>0</v>
      </c>
      <c r="BI37" s="85">
        <f t="shared" si="27"/>
        <v>0</v>
      </c>
      <c r="BJ37" s="85">
        <f t="shared" si="28"/>
        <v>0</v>
      </c>
      <c r="BK37" s="85">
        <f t="shared" si="29"/>
        <v>0</v>
      </c>
      <c r="BL37" s="85">
        <f t="shared" si="30"/>
        <v>0</v>
      </c>
      <c r="BM37" s="85">
        <f t="shared" si="31"/>
        <v>0</v>
      </c>
      <c r="BN37" s="85">
        <f t="shared" si="32"/>
        <v>0</v>
      </c>
      <c r="BO37" s="52" t="s">
        <v>85</v>
      </c>
      <c r="BP37" s="46">
        <v>2</v>
      </c>
      <c r="BQ37" s="52" t="s">
        <v>121</v>
      </c>
      <c r="BR37" s="47">
        <f t="shared" si="34"/>
        <v>0</v>
      </c>
      <c r="BU37" s="47">
        <f t="shared" si="33"/>
        <v>0</v>
      </c>
      <c r="BV37" s="53" t="s">
        <v>213</v>
      </c>
      <c r="BW37" s="53" t="s">
        <v>932</v>
      </c>
      <c r="BX37" s="53" t="s">
        <v>214</v>
      </c>
      <c r="BY37" s="53"/>
      <c r="BZ37" s="53"/>
    </row>
    <row r="38" spans="1:79">
      <c r="A38" s="42" t="s">
        <v>160</v>
      </c>
      <c r="B38" s="28" t="s">
        <v>903</v>
      </c>
      <c r="C38" s="28" t="s">
        <v>80</v>
      </c>
      <c r="D38" s="28" t="s">
        <v>81</v>
      </c>
      <c r="E38" s="43" t="s">
        <v>82</v>
      </c>
      <c r="F38" s="28" t="s">
        <v>902</v>
      </c>
      <c r="G38" s="44" t="s">
        <v>161</v>
      </c>
      <c r="H38" s="45">
        <v>43208</v>
      </c>
      <c r="I38" s="28" t="s">
        <v>972</v>
      </c>
      <c r="J38" s="28">
        <v>3</v>
      </c>
      <c r="K38" s="28" t="s">
        <v>415</v>
      </c>
      <c r="L38" s="28" t="s">
        <v>124</v>
      </c>
      <c r="M38" s="28" t="s">
        <v>1</v>
      </c>
      <c r="N38" s="28" t="str">
        <f t="shared" si="2"/>
        <v>AE3</v>
      </c>
      <c r="O38" s="81"/>
      <c r="P38" s="81">
        <f t="shared" si="3"/>
        <v>0</v>
      </c>
      <c r="Q38" s="81">
        <f t="shared" si="4"/>
        <v>0</v>
      </c>
      <c r="R38" s="81">
        <f t="shared" si="5"/>
        <v>0</v>
      </c>
      <c r="S38" s="81"/>
      <c r="T38" s="82">
        <f t="shared" si="6"/>
        <v>0</v>
      </c>
      <c r="U38" s="82">
        <f t="shared" si="7"/>
        <v>0</v>
      </c>
      <c r="V38" s="82">
        <f t="shared" si="8"/>
        <v>0</v>
      </c>
      <c r="W38" s="83">
        <v>0</v>
      </c>
      <c r="X38" s="83">
        <v>0</v>
      </c>
      <c r="Y38" s="83">
        <v>0</v>
      </c>
      <c r="Z38" s="84">
        <f>ROUND((IF(($O38&lt;=700000),0,IF(((VLOOKUP($M38,'Loyalty - Effec - 15July'!$B$5:$C$17,2,0)*$O38)&lt;=120000),(VLOOKUP($M38,'Loyalty - Effec - 15July'!$B$5:$C$17,2,0)*$O38),120000))),0)</f>
        <v>0</v>
      </c>
      <c r="AA38" s="84">
        <f>ROUND(VLOOKUP($M38,'Loyalty - Effec - 15July'!$B$5:$D$17,3,0)*$O38,0)</f>
        <v>0</v>
      </c>
      <c r="AB38" s="85">
        <f t="shared" si="9"/>
        <v>0</v>
      </c>
      <c r="AC38" s="86">
        <f t="shared" si="10"/>
        <v>0</v>
      </c>
      <c r="AD38" s="87">
        <f t="shared" si="11"/>
        <v>0</v>
      </c>
      <c r="AE38" s="88">
        <f t="shared" si="12"/>
        <v>0</v>
      </c>
      <c r="AF38" s="88">
        <f t="shared" si="13"/>
        <v>0</v>
      </c>
      <c r="AG38" s="49" t="s">
        <v>908</v>
      </c>
      <c r="AH38" s="49" t="s">
        <v>904</v>
      </c>
      <c r="AI38" s="50"/>
      <c r="AJ38" s="50"/>
      <c r="AK38" s="50"/>
      <c r="AL38" s="46"/>
      <c r="AM38" s="51">
        <f>IF($AL38=4,VLOOKUP($AR38,'Loyalty Incentive v1'!$L$3:$Q$15,2,FALSE),
IF($AL38=3,VLOOKUP($AR38,'Loyalty Incentive v1'!$L$3:$Q$15,3,FALSE),
IF($AL38=2,VLOOKUP($AR38,'Loyalty Incentive v1'!$L$3:$Q$15,4,FALSE),
IF($AL38=1,VLOOKUP($AR38,'Loyalty Incentive v1'!$L$3:$Q$15,5,FALSE),
IF($AL38=0,VLOOKUP($AR38,'Loyalty Incentive v1'!$L$3:$Q$15,6,FALSE),0)))))</f>
        <v>0</v>
      </c>
      <c r="AN38" s="51">
        <f>IFERROR(IF(I38&gt;="1",AM38,VLOOKUP(VALUE(I38),'Loyalty - Effec - 15July'!$I$5:$J$16,2,0)*AM38),0)</f>
        <v>0</v>
      </c>
      <c r="AO38" s="51">
        <v>-0.06</v>
      </c>
      <c r="AP38" s="51">
        <f t="shared" si="14"/>
        <v>-0.06</v>
      </c>
      <c r="AQ38" s="46" t="str">
        <f t="shared" si="15"/>
        <v>No</v>
      </c>
      <c r="AR38" s="46" t="str">
        <f t="shared" si="16"/>
        <v>AE3</v>
      </c>
      <c r="AS38" s="46" t="b">
        <f t="shared" si="17"/>
        <v>1</v>
      </c>
      <c r="AT38" s="82">
        <f t="shared" si="18"/>
        <v>0</v>
      </c>
      <c r="AU38" s="82">
        <f t="shared" si="19"/>
        <v>0</v>
      </c>
      <c r="AV38" s="82">
        <f t="shared" si="20"/>
        <v>0</v>
      </c>
      <c r="AW38" s="82">
        <f t="shared" si="21"/>
        <v>0</v>
      </c>
      <c r="AX38" s="85"/>
      <c r="AY38" s="82">
        <f t="shared" si="22"/>
        <v>0</v>
      </c>
      <c r="AZ38" s="82">
        <f t="shared" si="23"/>
        <v>0</v>
      </c>
      <c r="BA38" s="82">
        <f t="shared" si="24"/>
        <v>0</v>
      </c>
      <c r="BB38" s="83">
        <v>0</v>
      </c>
      <c r="BC38" s="83">
        <v>0</v>
      </c>
      <c r="BD38" s="83">
        <v>0</v>
      </c>
      <c r="BE38" s="84">
        <f>ROUND((IF(($AT38&lt;=700000),0,IF(((VLOOKUP($AR38,'Loyalty - Effec - 15July'!$B$5:$C$17,2,0)*$AT38)&lt;=120000),(VLOOKUP($AR38,'Loyalty - Effec - 15July'!$B$5:$C$17,2,0)*$AT38),120000))),0)</f>
        <v>0</v>
      </c>
      <c r="BF38" s="84">
        <f>ROUND(VLOOKUP($AR38,'Loyalty - Effec - 15July'!$B$5:$D$17,3,0)*$AT38,0)</f>
        <v>0</v>
      </c>
      <c r="BG38" s="85">
        <f t="shared" si="25"/>
        <v>0</v>
      </c>
      <c r="BH38" s="81">
        <f t="shared" si="26"/>
        <v>0</v>
      </c>
      <c r="BI38" s="85">
        <f t="shared" si="27"/>
        <v>0</v>
      </c>
      <c r="BJ38" s="85">
        <f t="shared" si="28"/>
        <v>0</v>
      </c>
      <c r="BK38" s="85">
        <f t="shared" si="29"/>
        <v>0</v>
      </c>
      <c r="BL38" s="85">
        <f t="shared" si="30"/>
        <v>0</v>
      </c>
      <c r="BM38" s="85">
        <f t="shared" si="31"/>
        <v>0</v>
      </c>
      <c r="BN38" s="85">
        <f t="shared" si="32"/>
        <v>0</v>
      </c>
      <c r="BO38" s="52" t="s">
        <v>85</v>
      </c>
      <c r="BP38" s="46">
        <v>2</v>
      </c>
      <c r="BQ38" s="52" t="s">
        <v>121</v>
      </c>
      <c r="BR38" s="47">
        <f t="shared" si="34"/>
        <v>0</v>
      </c>
      <c r="BS38" s="46">
        <v>3</v>
      </c>
      <c r="BT38" s="54">
        <v>0.18099999999999999</v>
      </c>
      <c r="BU38" s="47">
        <f t="shared" si="33"/>
        <v>0</v>
      </c>
      <c r="BV38" s="53" t="s">
        <v>160</v>
      </c>
      <c r="BW38" s="53" t="s">
        <v>81</v>
      </c>
      <c r="BX38" s="53" t="s">
        <v>161</v>
      </c>
      <c r="BY38" s="53"/>
      <c r="BZ38" s="53"/>
      <c r="CA38" s="55"/>
    </row>
    <row r="39" spans="1:79">
      <c r="A39" s="42" t="s">
        <v>162</v>
      </c>
      <c r="B39" s="28" t="s">
        <v>79</v>
      </c>
      <c r="C39" s="28" t="s">
        <v>80</v>
      </c>
      <c r="D39" s="28" t="s">
        <v>932</v>
      </c>
      <c r="E39" s="43" t="s">
        <v>82</v>
      </c>
      <c r="F39" s="28" t="s">
        <v>901</v>
      </c>
      <c r="G39" s="44" t="s">
        <v>163</v>
      </c>
      <c r="H39" s="45">
        <v>43255</v>
      </c>
      <c r="I39" s="46" t="s">
        <v>973</v>
      </c>
      <c r="J39" s="28">
        <v>3</v>
      </c>
      <c r="K39" s="28" t="s">
        <v>863</v>
      </c>
      <c r="L39" s="28" t="s">
        <v>878</v>
      </c>
      <c r="M39" s="28" t="s">
        <v>3</v>
      </c>
      <c r="N39" s="28" t="str">
        <f t="shared" si="2"/>
        <v>AE5</v>
      </c>
      <c r="O39" s="81"/>
      <c r="P39" s="81">
        <f t="shared" si="3"/>
        <v>0</v>
      </c>
      <c r="Q39" s="81">
        <f t="shared" si="4"/>
        <v>0</v>
      </c>
      <c r="R39" s="81">
        <f t="shared" si="5"/>
        <v>0</v>
      </c>
      <c r="S39" s="81"/>
      <c r="T39" s="82">
        <f t="shared" si="6"/>
        <v>0</v>
      </c>
      <c r="U39" s="82">
        <f t="shared" si="7"/>
        <v>0</v>
      </c>
      <c r="V39" s="82">
        <f t="shared" si="8"/>
        <v>0</v>
      </c>
      <c r="W39" s="83">
        <v>0</v>
      </c>
      <c r="X39" s="83">
        <v>0</v>
      </c>
      <c r="Y39" s="83">
        <v>0</v>
      </c>
      <c r="Z39" s="84">
        <f>ROUND((IF(($O39&lt;=700000),0,IF(((VLOOKUP($M39,'Loyalty - Effec - 15July'!$B$5:$C$17,2,0)*$O39)&lt;=120000),(VLOOKUP($M39,'Loyalty - Effec - 15July'!$B$5:$C$17,2,0)*$O39),120000))),0)</f>
        <v>0</v>
      </c>
      <c r="AA39" s="84">
        <f>ROUND(VLOOKUP($M39,'Loyalty - Effec - 15July'!$B$5:$D$17,3,0)*$O39,0)</f>
        <v>0</v>
      </c>
      <c r="AB39" s="85">
        <f t="shared" si="9"/>
        <v>0</v>
      </c>
      <c r="AC39" s="86">
        <f t="shared" si="10"/>
        <v>0</v>
      </c>
      <c r="AD39" s="87">
        <f t="shared" si="11"/>
        <v>0</v>
      </c>
      <c r="AE39" s="88">
        <f t="shared" si="12"/>
        <v>0</v>
      </c>
      <c r="AF39" s="88">
        <f t="shared" si="13"/>
        <v>0</v>
      </c>
      <c r="AG39" s="49" t="s">
        <v>912</v>
      </c>
      <c r="AH39" s="49" t="s">
        <v>809</v>
      </c>
      <c r="AI39" s="50"/>
      <c r="AJ39" s="46"/>
      <c r="AK39" s="46"/>
      <c r="AL39" s="46"/>
      <c r="AM39" s="51">
        <f>IF($AL39=4,VLOOKUP($AR39,'Loyalty Incentive v1'!$L$3:$Q$15,2,FALSE),
IF($AL39=3,VLOOKUP($AR39,'Loyalty Incentive v1'!$L$3:$Q$15,3,FALSE),
IF($AL39=2,VLOOKUP($AR39,'Loyalty Incentive v1'!$L$3:$Q$15,4,FALSE),
IF($AL39=1,VLOOKUP($AR39,'Loyalty Incentive v1'!$L$3:$Q$15,5,FALSE),
IF($AL39=0,VLOOKUP($AR39,'Loyalty Incentive v1'!$L$3:$Q$15,6,FALSE),0)))))</f>
        <v>0</v>
      </c>
      <c r="AN39" s="51">
        <f>IFERROR(IF(I39&gt;="1",AM39,VLOOKUP(VALUE(I39),'Loyalty - Effec - 15July'!$I$5:$J$16,2,0)*AM39),0)</f>
        <v>0</v>
      </c>
      <c r="AO39" s="51">
        <v>0</v>
      </c>
      <c r="AP39" s="51">
        <f t="shared" si="14"/>
        <v>0</v>
      </c>
      <c r="AQ39" s="46" t="str">
        <f t="shared" si="15"/>
        <v>No</v>
      </c>
      <c r="AR39" s="46" t="str">
        <f t="shared" si="16"/>
        <v>AE5</v>
      </c>
      <c r="AS39" s="46" t="b">
        <f t="shared" si="17"/>
        <v>1</v>
      </c>
      <c r="AT39" s="82">
        <f t="shared" si="18"/>
        <v>0</v>
      </c>
      <c r="AU39" s="82">
        <f t="shared" si="19"/>
        <v>0</v>
      </c>
      <c r="AV39" s="82">
        <f t="shared" si="20"/>
        <v>0</v>
      </c>
      <c r="AW39" s="82">
        <f t="shared" si="21"/>
        <v>0</v>
      </c>
      <c r="AX39" s="85"/>
      <c r="AY39" s="82">
        <f t="shared" si="22"/>
        <v>0</v>
      </c>
      <c r="AZ39" s="82">
        <f t="shared" si="23"/>
        <v>0</v>
      </c>
      <c r="BA39" s="82">
        <f t="shared" si="24"/>
        <v>0</v>
      </c>
      <c r="BB39" s="83">
        <v>0</v>
      </c>
      <c r="BC39" s="83">
        <v>0</v>
      </c>
      <c r="BD39" s="83">
        <v>0</v>
      </c>
      <c r="BE39" s="84">
        <f>ROUND((IF(($AT39&lt;=700000),0,IF(((VLOOKUP($AR39,'Loyalty - Effec - 15July'!$B$5:$C$17,2,0)*$AT39)&lt;=120000),(VLOOKUP($AR39,'Loyalty - Effec - 15July'!$B$5:$C$17,2,0)*$AT39),120000))),0)</f>
        <v>0</v>
      </c>
      <c r="BF39" s="84">
        <f>ROUND(VLOOKUP($AR39,'Loyalty - Effec - 15July'!$B$5:$D$17,3,0)*$AT39,0)</f>
        <v>0</v>
      </c>
      <c r="BG39" s="85">
        <f t="shared" si="25"/>
        <v>0</v>
      </c>
      <c r="BH39" s="81">
        <f t="shared" si="26"/>
        <v>0</v>
      </c>
      <c r="BI39" s="85">
        <f t="shared" si="27"/>
        <v>0</v>
      </c>
      <c r="BJ39" s="85">
        <f t="shared" si="28"/>
        <v>0</v>
      </c>
      <c r="BK39" s="85">
        <f t="shared" si="29"/>
        <v>0</v>
      </c>
      <c r="BL39" s="85">
        <f t="shared" si="30"/>
        <v>0</v>
      </c>
      <c r="BM39" s="85">
        <f t="shared" si="31"/>
        <v>0</v>
      </c>
      <c r="BN39" s="85">
        <f t="shared" si="32"/>
        <v>0</v>
      </c>
      <c r="BO39" s="52" t="s">
        <v>86</v>
      </c>
      <c r="BP39" s="46">
        <v>3</v>
      </c>
      <c r="BQ39" s="52" t="s">
        <v>121</v>
      </c>
      <c r="BR39" s="47">
        <f t="shared" si="34"/>
        <v>0</v>
      </c>
      <c r="BU39" s="47">
        <f t="shared" si="33"/>
        <v>0</v>
      </c>
      <c r="BV39" s="53" t="s">
        <v>162</v>
      </c>
      <c r="BW39" s="53" t="s">
        <v>932</v>
      </c>
      <c r="BX39" s="53" t="s">
        <v>163</v>
      </c>
      <c r="BY39" s="53"/>
      <c r="BZ39" s="53"/>
    </row>
    <row r="40" spans="1:79">
      <c r="A40" s="42" t="s">
        <v>246</v>
      </c>
      <c r="B40" s="28" t="s">
        <v>79</v>
      </c>
      <c r="C40" s="28" t="s">
        <v>80</v>
      </c>
      <c r="D40" s="28" t="s">
        <v>932</v>
      </c>
      <c r="E40" s="43" t="s">
        <v>82</v>
      </c>
      <c r="F40" s="28" t="s">
        <v>902</v>
      </c>
      <c r="G40" s="44" t="s">
        <v>247</v>
      </c>
      <c r="H40" s="45">
        <v>43262</v>
      </c>
      <c r="I40" s="46" t="s">
        <v>973</v>
      </c>
      <c r="J40" s="28">
        <v>0</v>
      </c>
      <c r="K40" s="28" t="s">
        <v>417</v>
      </c>
      <c r="L40" s="28" t="s">
        <v>872</v>
      </c>
      <c r="M40" s="28" t="s">
        <v>2</v>
      </c>
      <c r="N40" s="28" t="str">
        <f t="shared" si="2"/>
        <v>AE4</v>
      </c>
      <c r="O40" s="81"/>
      <c r="P40" s="81">
        <f t="shared" si="3"/>
        <v>0</v>
      </c>
      <c r="Q40" s="81">
        <f t="shared" si="4"/>
        <v>0</v>
      </c>
      <c r="R40" s="81">
        <f t="shared" si="5"/>
        <v>0</v>
      </c>
      <c r="S40" s="81"/>
      <c r="T40" s="82">
        <f t="shared" si="6"/>
        <v>0</v>
      </c>
      <c r="U40" s="82">
        <f t="shared" si="7"/>
        <v>0</v>
      </c>
      <c r="V40" s="82">
        <f t="shared" si="8"/>
        <v>0</v>
      </c>
      <c r="W40" s="83">
        <v>0</v>
      </c>
      <c r="X40" s="83">
        <v>0</v>
      </c>
      <c r="Y40" s="83">
        <v>0</v>
      </c>
      <c r="Z40" s="84">
        <f>ROUND((IF(($O40&lt;=700000),0,IF(((VLOOKUP($M40,'Loyalty - Effec - 15July'!$B$5:$C$17,2,0)*$O40)&lt;=120000),(VLOOKUP($M40,'Loyalty - Effec - 15July'!$B$5:$C$17,2,0)*$O40),120000))),0)</f>
        <v>0</v>
      </c>
      <c r="AA40" s="84">
        <f>ROUND(VLOOKUP($M40,'Loyalty - Effec - 15July'!$B$5:$D$17,3,0)*$O40,0)</f>
        <v>0</v>
      </c>
      <c r="AB40" s="85">
        <f t="shared" si="9"/>
        <v>0</v>
      </c>
      <c r="AC40" s="86">
        <f t="shared" si="10"/>
        <v>0</v>
      </c>
      <c r="AD40" s="87">
        <f t="shared" si="11"/>
        <v>0</v>
      </c>
      <c r="AE40" s="88">
        <f t="shared" si="12"/>
        <v>0</v>
      </c>
      <c r="AF40" s="88">
        <f t="shared" si="13"/>
        <v>0</v>
      </c>
      <c r="AG40" s="49" t="s">
        <v>202</v>
      </c>
      <c r="AH40" s="49" t="s">
        <v>126</v>
      </c>
      <c r="AI40" s="50"/>
      <c r="AJ40" s="46"/>
      <c r="AK40" s="46"/>
      <c r="AL40" s="46"/>
      <c r="AM40" s="51">
        <f>IF($AL40=4,VLOOKUP($AR40,'Loyalty Incentive v1'!$L$3:$Q$15,2,FALSE),
IF($AL40=3,VLOOKUP($AR40,'Loyalty Incentive v1'!$L$3:$Q$15,3,FALSE),
IF($AL40=2,VLOOKUP($AR40,'Loyalty Incentive v1'!$L$3:$Q$15,4,FALSE),
IF($AL40=1,VLOOKUP($AR40,'Loyalty Incentive v1'!$L$3:$Q$15,5,FALSE),
IF($AL40=0,VLOOKUP($AR40,'Loyalty Incentive v1'!$L$3:$Q$15,6,FALSE),0)))))</f>
        <v>0</v>
      </c>
      <c r="AN40" s="51">
        <f>IFERROR(IF(I40&gt;="1",AM40,VLOOKUP(VALUE(I40),'Loyalty - Effec - 15July'!$I$5:$J$16,2,0)*AM40),0)</f>
        <v>0</v>
      </c>
      <c r="AO40" s="51">
        <v>0</v>
      </c>
      <c r="AP40" s="51">
        <f t="shared" si="14"/>
        <v>0</v>
      </c>
      <c r="AQ40" s="46" t="str">
        <f t="shared" si="15"/>
        <v>No</v>
      </c>
      <c r="AR40" s="46" t="str">
        <f t="shared" si="16"/>
        <v>AE4</v>
      </c>
      <c r="AS40" s="46" t="b">
        <f t="shared" si="17"/>
        <v>1</v>
      </c>
      <c r="AT40" s="82">
        <f t="shared" si="18"/>
        <v>0</v>
      </c>
      <c r="AU40" s="82">
        <f t="shared" si="19"/>
        <v>0</v>
      </c>
      <c r="AV40" s="82">
        <f t="shared" si="20"/>
        <v>0</v>
      </c>
      <c r="AW40" s="82">
        <f t="shared" si="21"/>
        <v>0</v>
      </c>
      <c r="AX40" s="85"/>
      <c r="AY40" s="82">
        <f t="shared" si="22"/>
        <v>0</v>
      </c>
      <c r="AZ40" s="82">
        <f t="shared" si="23"/>
        <v>0</v>
      </c>
      <c r="BA40" s="82">
        <f t="shared" si="24"/>
        <v>0</v>
      </c>
      <c r="BB40" s="83">
        <v>0</v>
      </c>
      <c r="BC40" s="83">
        <v>0</v>
      </c>
      <c r="BD40" s="83">
        <v>0</v>
      </c>
      <c r="BE40" s="84">
        <f>ROUND((IF(($AT40&lt;=700000),0,IF(((VLOOKUP($AR40,'Loyalty - Effec - 15July'!$B$5:$C$17,2,0)*$AT40)&lt;=120000),(VLOOKUP($AR40,'Loyalty - Effec - 15July'!$B$5:$C$17,2,0)*$AT40),120000))),0)</f>
        <v>0</v>
      </c>
      <c r="BF40" s="84">
        <f>ROUND(VLOOKUP($AR40,'Loyalty - Effec - 15July'!$B$5:$D$17,3,0)*$AT40,0)</f>
        <v>0</v>
      </c>
      <c r="BG40" s="85">
        <f t="shared" si="25"/>
        <v>0</v>
      </c>
      <c r="BH40" s="81">
        <f t="shared" si="26"/>
        <v>0</v>
      </c>
      <c r="BI40" s="85">
        <f t="shared" si="27"/>
        <v>0</v>
      </c>
      <c r="BJ40" s="85">
        <f t="shared" si="28"/>
        <v>0</v>
      </c>
      <c r="BK40" s="85">
        <f t="shared" si="29"/>
        <v>0</v>
      </c>
      <c r="BL40" s="85">
        <f t="shared" si="30"/>
        <v>0</v>
      </c>
      <c r="BM40" s="85">
        <f t="shared" si="31"/>
        <v>0</v>
      </c>
      <c r="BN40" s="85">
        <f t="shared" si="32"/>
        <v>0</v>
      </c>
      <c r="BO40" s="52" t="s">
        <v>86</v>
      </c>
      <c r="BP40" s="46">
        <v>3</v>
      </c>
      <c r="BQ40" s="46"/>
      <c r="BR40" s="47">
        <f t="shared" si="34"/>
        <v>0</v>
      </c>
      <c r="BU40" s="47">
        <f t="shared" si="33"/>
        <v>0</v>
      </c>
      <c r="BV40" s="53" t="s">
        <v>246</v>
      </c>
      <c r="BW40" s="53" t="s">
        <v>932</v>
      </c>
      <c r="BX40" s="53" t="s">
        <v>247</v>
      </c>
      <c r="BY40" s="53"/>
      <c r="BZ40" s="53"/>
    </row>
    <row r="41" spans="1:79">
      <c r="A41" s="42" t="s">
        <v>166</v>
      </c>
      <c r="B41" s="28" t="s">
        <v>79</v>
      </c>
      <c r="C41" s="28" t="s">
        <v>80</v>
      </c>
      <c r="D41" s="28" t="s">
        <v>932</v>
      </c>
      <c r="E41" s="43" t="s">
        <v>82</v>
      </c>
      <c r="F41" s="28" t="s">
        <v>901</v>
      </c>
      <c r="G41" s="44" t="s">
        <v>644</v>
      </c>
      <c r="H41" s="45">
        <v>43298</v>
      </c>
      <c r="I41" s="46" t="s">
        <v>1031</v>
      </c>
      <c r="J41" s="28">
        <v>0</v>
      </c>
      <c r="K41" s="28" t="s">
        <v>396</v>
      </c>
      <c r="L41" s="28" t="s">
        <v>877</v>
      </c>
      <c r="M41" s="28" t="s">
        <v>2</v>
      </c>
      <c r="N41" s="28" t="str">
        <f t="shared" si="2"/>
        <v>AE4</v>
      </c>
      <c r="O41" s="81"/>
      <c r="P41" s="81">
        <f t="shared" si="3"/>
        <v>0</v>
      </c>
      <c r="Q41" s="81">
        <f t="shared" si="4"/>
        <v>0</v>
      </c>
      <c r="R41" s="81">
        <f t="shared" si="5"/>
        <v>0</v>
      </c>
      <c r="S41" s="81"/>
      <c r="T41" s="82">
        <f t="shared" si="6"/>
        <v>0</v>
      </c>
      <c r="U41" s="82">
        <f t="shared" si="7"/>
        <v>0</v>
      </c>
      <c r="V41" s="82">
        <f t="shared" si="8"/>
        <v>0</v>
      </c>
      <c r="W41" s="83">
        <v>0</v>
      </c>
      <c r="X41" s="83">
        <v>0</v>
      </c>
      <c r="Y41" s="83">
        <v>0</v>
      </c>
      <c r="Z41" s="84">
        <f>ROUND((IF(($O41&lt;=700000),0,IF(((VLOOKUP($M41,'Loyalty - Effec - 15July'!$B$5:$C$17,2,0)*$O41)&lt;=120000),(VLOOKUP($M41,'Loyalty - Effec - 15July'!$B$5:$C$17,2,0)*$O41),120000))),0)</f>
        <v>0</v>
      </c>
      <c r="AA41" s="84">
        <f>ROUND(VLOOKUP($M41,'Loyalty - Effec - 15July'!$B$5:$D$17,3,0)*$O41,0)</f>
        <v>0</v>
      </c>
      <c r="AB41" s="85">
        <f t="shared" si="9"/>
        <v>0</v>
      </c>
      <c r="AC41" s="86">
        <f t="shared" si="10"/>
        <v>0</v>
      </c>
      <c r="AD41" s="87">
        <f t="shared" si="11"/>
        <v>0</v>
      </c>
      <c r="AE41" s="88">
        <f t="shared" si="12"/>
        <v>0</v>
      </c>
      <c r="AF41" s="88">
        <f t="shared" si="13"/>
        <v>0</v>
      </c>
      <c r="AG41" s="49" t="s">
        <v>909</v>
      </c>
      <c r="AH41" s="49" t="s">
        <v>809</v>
      </c>
      <c r="AI41" s="50"/>
      <c r="AJ41" s="46"/>
      <c r="AK41" s="46"/>
      <c r="AL41" s="46"/>
      <c r="AM41" s="51">
        <f>IF($AL41=4,VLOOKUP($AR41,'Loyalty Incentive v1'!$L$3:$Q$15,2,FALSE),
IF($AL41=3,VLOOKUP($AR41,'Loyalty Incentive v1'!$L$3:$Q$15,3,FALSE),
IF($AL41=2,VLOOKUP($AR41,'Loyalty Incentive v1'!$L$3:$Q$15,4,FALSE),
IF($AL41=1,VLOOKUP($AR41,'Loyalty Incentive v1'!$L$3:$Q$15,5,FALSE),
IF($AL41=0,VLOOKUP($AR41,'Loyalty Incentive v1'!$L$3:$Q$15,6,FALSE),0)))))</f>
        <v>0</v>
      </c>
      <c r="AN41" s="51">
        <f>IFERROR(IF(I41&gt;="1",AM41,VLOOKUP(VALUE(I41),'Loyalty - Effec - 15July'!$I$5:$J$16,2,0)*AM41),0)</f>
        <v>0</v>
      </c>
      <c r="AO41" s="51">
        <v>0</v>
      </c>
      <c r="AP41" s="51">
        <f t="shared" si="14"/>
        <v>0</v>
      </c>
      <c r="AQ41" s="46" t="str">
        <f t="shared" si="15"/>
        <v>No</v>
      </c>
      <c r="AR41" s="46" t="str">
        <f t="shared" si="16"/>
        <v>AE4</v>
      </c>
      <c r="AS41" s="46" t="b">
        <f t="shared" si="17"/>
        <v>1</v>
      </c>
      <c r="AT41" s="82">
        <f t="shared" si="18"/>
        <v>0</v>
      </c>
      <c r="AU41" s="82">
        <f t="shared" si="19"/>
        <v>0</v>
      </c>
      <c r="AV41" s="82">
        <f t="shared" si="20"/>
        <v>0</v>
      </c>
      <c r="AW41" s="82">
        <f t="shared" si="21"/>
        <v>0</v>
      </c>
      <c r="AX41" s="85"/>
      <c r="AY41" s="82">
        <f t="shared" si="22"/>
        <v>0</v>
      </c>
      <c r="AZ41" s="82">
        <f t="shared" si="23"/>
        <v>0</v>
      </c>
      <c r="BA41" s="82">
        <f t="shared" si="24"/>
        <v>0</v>
      </c>
      <c r="BB41" s="83">
        <v>0</v>
      </c>
      <c r="BC41" s="83">
        <v>0</v>
      </c>
      <c r="BD41" s="83">
        <v>0</v>
      </c>
      <c r="BE41" s="84">
        <f>ROUND((IF(($AT41&lt;=700000),0,IF(((VLOOKUP($AR41,'Loyalty - Effec - 15July'!$B$5:$C$17,2,0)*$AT41)&lt;=120000),(VLOOKUP($AR41,'Loyalty - Effec - 15July'!$B$5:$C$17,2,0)*$AT41),120000))),0)</f>
        <v>0</v>
      </c>
      <c r="BF41" s="84">
        <f>ROUND(VLOOKUP($AR41,'Loyalty - Effec - 15July'!$B$5:$D$17,3,0)*$AT41,0)</f>
        <v>0</v>
      </c>
      <c r="BG41" s="85">
        <f t="shared" si="25"/>
        <v>0</v>
      </c>
      <c r="BH41" s="81">
        <f t="shared" si="26"/>
        <v>0</v>
      </c>
      <c r="BI41" s="85">
        <f t="shared" si="27"/>
        <v>0</v>
      </c>
      <c r="BJ41" s="85">
        <f t="shared" si="28"/>
        <v>0</v>
      </c>
      <c r="BK41" s="85">
        <f t="shared" si="29"/>
        <v>0</v>
      </c>
      <c r="BL41" s="85">
        <f t="shared" si="30"/>
        <v>0</v>
      </c>
      <c r="BM41" s="85">
        <f t="shared" si="31"/>
        <v>0</v>
      </c>
      <c r="BN41" s="85">
        <f t="shared" si="32"/>
        <v>0</v>
      </c>
      <c r="BO41" s="52" t="s">
        <v>86</v>
      </c>
      <c r="BP41" s="46">
        <v>3</v>
      </c>
      <c r="BQ41" s="46"/>
      <c r="BR41" s="47">
        <f t="shared" si="34"/>
        <v>0</v>
      </c>
      <c r="BU41" s="47">
        <f t="shared" si="33"/>
        <v>0</v>
      </c>
      <c r="BV41" s="53" t="s">
        <v>166</v>
      </c>
      <c r="BW41" s="53" t="s">
        <v>932</v>
      </c>
      <c r="BX41" s="53" t="s">
        <v>644</v>
      </c>
      <c r="BY41" s="53"/>
      <c r="BZ41" s="53"/>
    </row>
    <row r="42" spans="1:79">
      <c r="A42" s="42" t="s">
        <v>136</v>
      </c>
      <c r="B42" s="28" t="s">
        <v>79</v>
      </c>
      <c r="C42" s="28" t="s">
        <v>80</v>
      </c>
      <c r="D42" s="28" t="s">
        <v>932</v>
      </c>
      <c r="E42" s="43" t="s">
        <v>82</v>
      </c>
      <c r="F42" s="28" t="s">
        <v>901</v>
      </c>
      <c r="G42" s="44" t="s">
        <v>137</v>
      </c>
      <c r="H42" s="45">
        <v>43299</v>
      </c>
      <c r="I42" s="46" t="s">
        <v>1031</v>
      </c>
      <c r="J42" s="28">
        <v>0</v>
      </c>
      <c r="K42" s="28" t="s">
        <v>93</v>
      </c>
      <c r="L42" s="28" t="s">
        <v>873</v>
      </c>
      <c r="M42" s="28" t="s">
        <v>2</v>
      </c>
      <c r="N42" s="28" t="str">
        <f t="shared" si="2"/>
        <v>AE4</v>
      </c>
      <c r="O42" s="81"/>
      <c r="P42" s="81">
        <f t="shared" si="3"/>
        <v>0</v>
      </c>
      <c r="Q42" s="81">
        <f t="shared" si="4"/>
        <v>0</v>
      </c>
      <c r="R42" s="81">
        <f t="shared" si="5"/>
        <v>0</v>
      </c>
      <c r="S42" s="81"/>
      <c r="T42" s="82">
        <f t="shared" si="6"/>
        <v>0</v>
      </c>
      <c r="U42" s="82">
        <f t="shared" si="7"/>
        <v>0</v>
      </c>
      <c r="V42" s="82">
        <f t="shared" si="8"/>
        <v>0</v>
      </c>
      <c r="W42" s="83">
        <v>0</v>
      </c>
      <c r="X42" s="83">
        <v>0</v>
      </c>
      <c r="Y42" s="83">
        <v>0</v>
      </c>
      <c r="Z42" s="84">
        <f>ROUND((IF(($O42&lt;=700000),0,IF(((VLOOKUP($M42,'Loyalty - Effec - 15July'!$B$5:$C$17,2,0)*$O42)&lt;=120000),(VLOOKUP($M42,'Loyalty - Effec - 15July'!$B$5:$C$17,2,0)*$O42),120000))),0)</f>
        <v>0</v>
      </c>
      <c r="AA42" s="84">
        <f>ROUND(VLOOKUP($M42,'Loyalty - Effec - 15July'!$B$5:$D$17,3,0)*$O42,0)</f>
        <v>0</v>
      </c>
      <c r="AB42" s="85">
        <f t="shared" si="9"/>
        <v>0</v>
      </c>
      <c r="AC42" s="86">
        <f t="shared" si="10"/>
        <v>0</v>
      </c>
      <c r="AD42" s="87">
        <f t="shared" si="11"/>
        <v>0</v>
      </c>
      <c r="AE42" s="88">
        <f t="shared" si="12"/>
        <v>0</v>
      </c>
      <c r="AF42" s="88">
        <f t="shared" si="13"/>
        <v>0</v>
      </c>
      <c r="AG42" s="49" t="s">
        <v>303</v>
      </c>
      <c r="AH42" s="49" t="s">
        <v>126</v>
      </c>
      <c r="AI42" s="50"/>
      <c r="AJ42" s="46"/>
      <c r="AK42" s="46"/>
      <c r="AL42" s="46"/>
      <c r="AM42" s="51">
        <f>IF($AL42=4,VLOOKUP($AR42,'Loyalty Incentive v1'!$L$3:$Q$15,2,FALSE),
IF($AL42=3,VLOOKUP($AR42,'Loyalty Incentive v1'!$L$3:$Q$15,3,FALSE),
IF($AL42=2,VLOOKUP($AR42,'Loyalty Incentive v1'!$L$3:$Q$15,4,FALSE),
IF($AL42=1,VLOOKUP($AR42,'Loyalty Incentive v1'!$L$3:$Q$15,5,FALSE),
IF($AL42=0,VLOOKUP($AR42,'Loyalty Incentive v1'!$L$3:$Q$15,6,FALSE),0)))))</f>
        <v>0</v>
      </c>
      <c r="AN42" s="51">
        <f>IFERROR(IF(I42&gt;="1",AM42,VLOOKUP(VALUE(I42),'Loyalty - Effec - 15July'!$I$5:$J$16,2,0)*AM42),0)</f>
        <v>0</v>
      </c>
      <c r="AO42" s="51">
        <v>0</v>
      </c>
      <c r="AP42" s="51">
        <f t="shared" si="14"/>
        <v>0</v>
      </c>
      <c r="AQ42" s="46" t="str">
        <f t="shared" si="15"/>
        <v>No</v>
      </c>
      <c r="AR42" s="46" t="str">
        <f t="shared" si="16"/>
        <v>AE4</v>
      </c>
      <c r="AS42" s="46" t="b">
        <f t="shared" si="17"/>
        <v>1</v>
      </c>
      <c r="AT42" s="82">
        <f t="shared" si="18"/>
        <v>0</v>
      </c>
      <c r="AU42" s="82">
        <f t="shared" si="19"/>
        <v>0</v>
      </c>
      <c r="AV42" s="82">
        <f t="shared" si="20"/>
        <v>0</v>
      </c>
      <c r="AW42" s="82">
        <f t="shared" si="21"/>
        <v>0</v>
      </c>
      <c r="AX42" s="85"/>
      <c r="AY42" s="82">
        <f t="shared" si="22"/>
        <v>0</v>
      </c>
      <c r="AZ42" s="82">
        <f t="shared" si="23"/>
        <v>0</v>
      </c>
      <c r="BA42" s="82">
        <f t="shared" si="24"/>
        <v>0</v>
      </c>
      <c r="BB42" s="83">
        <v>0</v>
      </c>
      <c r="BC42" s="83">
        <v>0</v>
      </c>
      <c r="BD42" s="83">
        <v>0</v>
      </c>
      <c r="BE42" s="84">
        <f>ROUND((IF(($AT42&lt;=700000),0,IF(((VLOOKUP($AR42,'Loyalty - Effec - 15July'!$B$5:$C$17,2,0)*$AT42)&lt;=120000),(VLOOKUP($AR42,'Loyalty - Effec - 15July'!$B$5:$C$17,2,0)*$AT42),120000))),0)</f>
        <v>0</v>
      </c>
      <c r="BF42" s="84">
        <f>ROUND(VLOOKUP($AR42,'Loyalty - Effec - 15July'!$B$5:$D$17,3,0)*$AT42,0)</f>
        <v>0</v>
      </c>
      <c r="BG42" s="85">
        <f t="shared" si="25"/>
        <v>0</v>
      </c>
      <c r="BH42" s="81">
        <f t="shared" si="26"/>
        <v>0</v>
      </c>
      <c r="BI42" s="85">
        <f t="shared" si="27"/>
        <v>0</v>
      </c>
      <c r="BJ42" s="85">
        <f t="shared" si="28"/>
        <v>0</v>
      </c>
      <c r="BK42" s="85">
        <f t="shared" si="29"/>
        <v>0</v>
      </c>
      <c r="BL42" s="85">
        <f t="shared" si="30"/>
        <v>0</v>
      </c>
      <c r="BM42" s="85">
        <f t="shared" si="31"/>
        <v>0</v>
      </c>
      <c r="BN42" s="85">
        <f t="shared" si="32"/>
        <v>0</v>
      </c>
      <c r="BO42" s="52" t="s">
        <v>86</v>
      </c>
      <c r="BP42" s="46">
        <v>3</v>
      </c>
      <c r="BQ42" s="46"/>
      <c r="BR42" s="47">
        <f t="shared" si="34"/>
        <v>0</v>
      </c>
      <c r="BU42" s="47">
        <f t="shared" si="33"/>
        <v>0</v>
      </c>
      <c r="BV42" s="53" t="s">
        <v>136</v>
      </c>
      <c r="BW42" s="53" t="s">
        <v>932</v>
      </c>
      <c r="BX42" s="53" t="s">
        <v>137</v>
      </c>
      <c r="BY42" s="53"/>
      <c r="BZ42" s="53"/>
    </row>
    <row r="43" spans="1:79">
      <c r="A43" s="42" t="s">
        <v>167</v>
      </c>
      <c r="B43" s="28" t="s">
        <v>79</v>
      </c>
      <c r="C43" s="28" t="s">
        <v>80</v>
      </c>
      <c r="D43" s="28" t="s">
        <v>932</v>
      </c>
      <c r="E43" s="43" t="s">
        <v>82</v>
      </c>
      <c r="F43" s="28" t="s">
        <v>901</v>
      </c>
      <c r="G43" s="44" t="s">
        <v>168</v>
      </c>
      <c r="H43" s="45">
        <v>43367</v>
      </c>
      <c r="I43" s="46" t="s">
        <v>1032</v>
      </c>
      <c r="J43" s="28">
        <v>0</v>
      </c>
      <c r="K43" s="28" t="s">
        <v>863</v>
      </c>
      <c r="L43" s="28" t="s">
        <v>879</v>
      </c>
      <c r="M43" s="28" t="s">
        <v>3</v>
      </c>
      <c r="N43" s="28" t="str">
        <f t="shared" si="2"/>
        <v>AE5</v>
      </c>
      <c r="O43" s="81"/>
      <c r="P43" s="81">
        <f t="shared" si="3"/>
        <v>0</v>
      </c>
      <c r="Q43" s="81">
        <f t="shared" si="4"/>
        <v>0</v>
      </c>
      <c r="R43" s="81">
        <f t="shared" si="5"/>
        <v>0</v>
      </c>
      <c r="S43" s="81"/>
      <c r="T43" s="82">
        <f t="shared" si="6"/>
        <v>0</v>
      </c>
      <c r="U43" s="82">
        <f t="shared" si="7"/>
        <v>0</v>
      </c>
      <c r="V43" s="82">
        <f t="shared" si="8"/>
        <v>0</v>
      </c>
      <c r="W43" s="83">
        <v>0</v>
      </c>
      <c r="X43" s="83">
        <v>0</v>
      </c>
      <c r="Y43" s="83">
        <v>0</v>
      </c>
      <c r="Z43" s="84">
        <f>ROUND((IF(($O43&lt;=700000),0,IF(((VLOOKUP($M43,'Loyalty - Effec - 15July'!$B$5:$C$17,2,0)*$O43)&lt;=120000),(VLOOKUP($M43,'Loyalty - Effec - 15July'!$B$5:$C$17,2,0)*$O43),120000))),0)</f>
        <v>0</v>
      </c>
      <c r="AA43" s="84">
        <f>ROUND(VLOOKUP($M43,'Loyalty - Effec - 15July'!$B$5:$D$17,3,0)*$O43,0)</f>
        <v>0</v>
      </c>
      <c r="AB43" s="85">
        <f t="shared" si="9"/>
        <v>0</v>
      </c>
      <c r="AC43" s="86">
        <f t="shared" si="10"/>
        <v>0</v>
      </c>
      <c r="AD43" s="87">
        <f t="shared" si="11"/>
        <v>0</v>
      </c>
      <c r="AE43" s="88">
        <f t="shared" si="12"/>
        <v>0</v>
      </c>
      <c r="AF43" s="88">
        <f t="shared" si="13"/>
        <v>0</v>
      </c>
      <c r="AG43" s="49" t="s">
        <v>120</v>
      </c>
      <c r="AH43" s="49" t="s">
        <v>774</v>
      </c>
      <c r="AI43" s="50"/>
      <c r="AJ43" s="46"/>
      <c r="AK43" s="46"/>
      <c r="AL43" s="46"/>
      <c r="AM43" s="51">
        <f>IF($AL43=4,VLOOKUP($AR43,'Loyalty Incentive v1'!$L$3:$Q$15,2,FALSE),
IF($AL43=3,VLOOKUP($AR43,'Loyalty Incentive v1'!$L$3:$Q$15,3,FALSE),
IF($AL43=2,VLOOKUP($AR43,'Loyalty Incentive v1'!$L$3:$Q$15,4,FALSE),
IF($AL43=1,VLOOKUP($AR43,'Loyalty Incentive v1'!$L$3:$Q$15,5,FALSE),
IF($AL43=0,VLOOKUP($AR43,'Loyalty Incentive v1'!$L$3:$Q$15,6,FALSE),0)))))</f>
        <v>0</v>
      </c>
      <c r="AN43" s="51">
        <f>IFERROR(IF(I43&gt;="1",AM43,VLOOKUP(VALUE(I43),'Loyalty - Effec - 15July'!$I$5:$J$16,2,0)*AM43),0)</f>
        <v>0</v>
      </c>
      <c r="AO43" s="51">
        <v>0</v>
      </c>
      <c r="AP43" s="51">
        <f t="shared" si="14"/>
        <v>0</v>
      </c>
      <c r="AQ43" s="46" t="str">
        <f t="shared" si="15"/>
        <v>No</v>
      </c>
      <c r="AR43" s="46" t="str">
        <f t="shared" si="16"/>
        <v>AE5</v>
      </c>
      <c r="AS43" s="46" t="b">
        <f t="shared" si="17"/>
        <v>1</v>
      </c>
      <c r="AT43" s="82">
        <f t="shared" si="18"/>
        <v>0</v>
      </c>
      <c r="AU43" s="82">
        <f t="shared" si="19"/>
        <v>0</v>
      </c>
      <c r="AV43" s="82">
        <f t="shared" si="20"/>
        <v>0</v>
      </c>
      <c r="AW43" s="82">
        <f t="shared" si="21"/>
        <v>0</v>
      </c>
      <c r="AX43" s="85"/>
      <c r="AY43" s="82">
        <f t="shared" si="22"/>
        <v>0</v>
      </c>
      <c r="AZ43" s="82">
        <f t="shared" si="23"/>
        <v>0</v>
      </c>
      <c r="BA43" s="82">
        <f t="shared" si="24"/>
        <v>0</v>
      </c>
      <c r="BB43" s="83">
        <v>0</v>
      </c>
      <c r="BC43" s="83">
        <v>0</v>
      </c>
      <c r="BD43" s="83">
        <v>0</v>
      </c>
      <c r="BE43" s="84">
        <f>ROUND((IF(($AT43&lt;=700000),0,IF(((VLOOKUP($AR43,'Loyalty - Effec - 15July'!$B$5:$C$17,2,0)*$AT43)&lt;=120000),(VLOOKUP($AR43,'Loyalty - Effec - 15July'!$B$5:$C$17,2,0)*$AT43),120000))),0)</f>
        <v>0</v>
      </c>
      <c r="BF43" s="84">
        <f>ROUND(VLOOKUP($AR43,'Loyalty - Effec - 15July'!$B$5:$D$17,3,0)*$AT43,0)</f>
        <v>0</v>
      </c>
      <c r="BG43" s="85">
        <f t="shared" si="25"/>
        <v>0</v>
      </c>
      <c r="BH43" s="81">
        <f t="shared" si="26"/>
        <v>0</v>
      </c>
      <c r="BI43" s="85">
        <f t="shared" si="27"/>
        <v>0</v>
      </c>
      <c r="BJ43" s="85">
        <f t="shared" si="28"/>
        <v>0</v>
      </c>
      <c r="BK43" s="85">
        <f t="shared" si="29"/>
        <v>0</v>
      </c>
      <c r="BL43" s="85">
        <f t="shared" si="30"/>
        <v>0</v>
      </c>
      <c r="BM43" s="85">
        <f t="shared" si="31"/>
        <v>0</v>
      </c>
      <c r="BN43" s="85">
        <f t="shared" si="32"/>
        <v>0</v>
      </c>
      <c r="BO43" s="52" t="s">
        <v>86</v>
      </c>
      <c r="BP43" s="46">
        <v>3</v>
      </c>
      <c r="BQ43" s="52" t="s">
        <v>121</v>
      </c>
      <c r="BR43" s="47">
        <f t="shared" ref="BR43:BR62" si="35">BG43-AT43</f>
        <v>0</v>
      </c>
      <c r="BU43" s="47">
        <f t="shared" si="33"/>
        <v>0</v>
      </c>
      <c r="BV43" s="53" t="s">
        <v>167</v>
      </c>
      <c r="BW43" s="53" t="s">
        <v>932</v>
      </c>
      <c r="BX43" s="53" t="s">
        <v>168</v>
      </c>
      <c r="BY43" s="53"/>
      <c r="BZ43" s="53"/>
    </row>
    <row r="44" spans="1:79">
      <c r="A44" s="42" t="s">
        <v>169</v>
      </c>
      <c r="B44" s="28" t="s">
        <v>79</v>
      </c>
      <c r="C44" s="28" t="s">
        <v>80</v>
      </c>
      <c r="D44" s="28" t="s">
        <v>932</v>
      </c>
      <c r="E44" s="43" t="s">
        <v>82</v>
      </c>
      <c r="F44" s="28" t="s">
        <v>901</v>
      </c>
      <c r="G44" s="44" t="s">
        <v>170</v>
      </c>
      <c r="H44" s="45">
        <v>43367</v>
      </c>
      <c r="I44" s="46" t="s">
        <v>1032</v>
      </c>
      <c r="J44" s="28">
        <v>0</v>
      </c>
      <c r="K44" s="28" t="s">
        <v>863</v>
      </c>
      <c r="L44" s="28" t="s">
        <v>879</v>
      </c>
      <c r="M44" s="28" t="s">
        <v>3</v>
      </c>
      <c r="N44" s="28" t="str">
        <f t="shared" si="2"/>
        <v>AE5</v>
      </c>
      <c r="O44" s="81"/>
      <c r="P44" s="81">
        <f t="shared" si="3"/>
        <v>0</v>
      </c>
      <c r="Q44" s="81">
        <f t="shared" si="4"/>
        <v>0</v>
      </c>
      <c r="R44" s="81">
        <f t="shared" si="5"/>
        <v>0</v>
      </c>
      <c r="S44" s="81"/>
      <c r="T44" s="82">
        <f t="shared" si="6"/>
        <v>0</v>
      </c>
      <c r="U44" s="82">
        <f t="shared" si="7"/>
        <v>0</v>
      </c>
      <c r="V44" s="82">
        <f t="shared" si="8"/>
        <v>0</v>
      </c>
      <c r="W44" s="83">
        <v>0</v>
      </c>
      <c r="X44" s="83">
        <v>0</v>
      </c>
      <c r="Y44" s="83">
        <v>0</v>
      </c>
      <c r="Z44" s="84">
        <f>ROUND((IF(($O44&lt;=700000),0,IF(((VLOOKUP($M44,'Loyalty - Effec - 15July'!$B$5:$C$17,2,0)*$O44)&lt;=120000),(VLOOKUP($M44,'Loyalty - Effec - 15July'!$B$5:$C$17,2,0)*$O44),120000))),0)</f>
        <v>0</v>
      </c>
      <c r="AA44" s="84">
        <f>ROUND(VLOOKUP($M44,'Loyalty - Effec - 15July'!$B$5:$D$17,3,0)*$O44,0)</f>
        <v>0</v>
      </c>
      <c r="AB44" s="85">
        <f t="shared" si="9"/>
        <v>0</v>
      </c>
      <c r="AC44" s="86">
        <f t="shared" si="10"/>
        <v>0</v>
      </c>
      <c r="AD44" s="87">
        <f t="shared" si="11"/>
        <v>0</v>
      </c>
      <c r="AE44" s="88">
        <f t="shared" si="12"/>
        <v>0</v>
      </c>
      <c r="AF44" s="88">
        <f t="shared" si="13"/>
        <v>0</v>
      </c>
      <c r="AG44" s="49" t="s">
        <v>909</v>
      </c>
      <c r="AH44" s="49" t="s">
        <v>809</v>
      </c>
      <c r="AI44" s="50"/>
      <c r="AJ44" s="46"/>
      <c r="AK44" s="46"/>
      <c r="AL44" s="46"/>
      <c r="AM44" s="51">
        <f>IF($AL44=4,VLOOKUP($AR44,'Loyalty Incentive v1'!$L$3:$Q$15,2,FALSE),
IF($AL44=3,VLOOKUP($AR44,'Loyalty Incentive v1'!$L$3:$Q$15,3,FALSE),
IF($AL44=2,VLOOKUP($AR44,'Loyalty Incentive v1'!$L$3:$Q$15,4,FALSE),
IF($AL44=1,VLOOKUP($AR44,'Loyalty Incentive v1'!$L$3:$Q$15,5,FALSE),
IF($AL44=0,VLOOKUP($AR44,'Loyalty Incentive v1'!$L$3:$Q$15,6,FALSE),0)))))</f>
        <v>0</v>
      </c>
      <c r="AN44" s="51">
        <f>IFERROR(IF(I44&gt;="1",AM44,VLOOKUP(VALUE(I44),'Loyalty - Effec - 15July'!$I$5:$J$16,2,0)*AM44),0)</f>
        <v>0</v>
      </c>
      <c r="AO44" s="51">
        <v>0</v>
      </c>
      <c r="AP44" s="51">
        <f t="shared" si="14"/>
        <v>0</v>
      </c>
      <c r="AQ44" s="46" t="str">
        <f t="shared" si="15"/>
        <v>No</v>
      </c>
      <c r="AR44" s="46" t="str">
        <f t="shared" si="16"/>
        <v>AE5</v>
      </c>
      <c r="AS44" s="46" t="b">
        <f t="shared" si="17"/>
        <v>1</v>
      </c>
      <c r="AT44" s="82">
        <f t="shared" si="18"/>
        <v>0</v>
      </c>
      <c r="AU44" s="82">
        <f t="shared" si="19"/>
        <v>0</v>
      </c>
      <c r="AV44" s="82">
        <f t="shared" si="20"/>
        <v>0</v>
      </c>
      <c r="AW44" s="82">
        <f t="shared" si="21"/>
        <v>0</v>
      </c>
      <c r="AX44" s="85"/>
      <c r="AY44" s="82">
        <f t="shared" si="22"/>
        <v>0</v>
      </c>
      <c r="AZ44" s="82">
        <f t="shared" si="23"/>
        <v>0</v>
      </c>
      <c r="BA44" s="82">
        <f t="shared" si="24"/>
        <v>0</v>
      </c>
      <c r="BB44" s="83">
        <v>0</v>
      </c>
      <c r="BC44" s="83">
        <v>0</v>
      </c>
      <c r="BD44" s="83">
        <v>0</v>
      </c>
      <c r="BE44" s="84">
        <f>ROUND((IF(($AT44&lt;=700000),0,IF(((VLOOKUP($AR44,'Loyalty - Effec - 15July'!$B$5:$C$17,2,0)*$AT44)&lt;=120000),(VLOOKUP($AR44,'Loyalty - Effec - 15July'!$B$5:$C$17,2,0)*$AT44),120000))),0)</f>
        <v>0</v>
      </c>
      <c r="BF44" s="84">
        <f>ROUND(VLOOKUP($AR44,'Loyalty - Effec - 15July'!$B$5:$D$17,3,0)*$AT44,0)</f>
        <v>0</v>
      </c>
      <c r="BG44" s="85">
        <f t="shared" si="25"/>
        <v>0</v>
      </c>
      <c r="BH44" s="81">
        <f t="shared" si="26"/>
        <v>0</v>
      </c>
      <c r="BI44" s="85">
        <f t="shared" si="27"/>
        <v>0</v>
      </c>
      <c r="BJ44" s="85">
        <f t="shared" si="28"/>
        <v>0</v>
      </c>
      <c r="BK44" s="85">
        <f t="shared" si="29"/>
        <v>0</v>
      </c>
      <c r="BL44" s="85">
        <f t="shared" si="30"/>
        <v>0</v>
      </c>
      <c r="BM44" s="85">
        <f t="shared" si="31"/>
        <v>0</v>
      </c>
      <c r="BN44" s="85">
        <f t="shared" si="32"/>
        <v>0</v>
      </c>
      <c r="BO44" s="52" t="s">
        <v>86</v>
      </c>
      <c r="BP44" s="46">
        <v>3</v>
      </c>
      <c r="BQ44" s="46"/>
      <c r="BR44" s="47">
        <f t="shared" si="35"/>
        <v>0</v>
      </c>
      <c r="BU44" s="47">
        <f t="shared" si="33"/>
        <v>0</v>
      </c>
      <c r="BV44" s="53" t="s">
        <v>169</v>
      </c>
      <c r="BW44" s="53" t="s">
        <v>932</v>
      </c>
      <c r="BX44" s="53" t="s">
        <v>170</v>
      </c>
      <c r="BY44" s="53"/>
      <c r="BZ44" s="53"/>
    </row>
    <row r="45" spans="1:79">
      <c r="A45" s="42" t="s">
        <v>262</v>
      </c>
      <c r="B45" s="28" t="s">
        <v>79</v>
      </c>
      <c r="C45" s="28" t="s">
        <v>80</v>
      </c>
      <c r="D45" s="28" t="s">
        <v>932</v>
      </c>
      <c r="E45" s="43" t="s">
        <v>82</v>
      </c>
      <c r="F45" s="28" t="s">
        <v>901</v>
      </c>
      <c r="G45" s="44" t="s">
        <v>263</v>
      </c>
      <c r="H45" s="45">
        <v>43423</v>
      </c>
      <c r="I45" s="46" t="s">
        <v>1033</v>
      </c>
      <c r="J45" s="28">
        <v>1.5</v>
      </c>
      <c r="K45" s="28" t="s">
        <v>93</v>
      </c>
      <c r="L45" s="28" t="s">
        <v>94</v>
      </c>
      <c r="M45" s="28" t="s">
        <v>1</v>
      </c>
      <c r="N45" s="28" t="str">
        <f t="shared" si="2"/>
        <v>AE3</v>
      </c>
      <c r="O45" s="81"/>
      <c r="P45" s="81">
        <f t="shared" si="3"/>
        <v>0</v>
      </c>
      <c r="Q45" s="81">
        <f t="shared" si="4"/>
        <v>0</v>
      </c>
      <c r="R45" s="81">
        <f t="shared" si="5"/>
        <v>0</v>
      </c>
      <c r="S45" s="81"/>
      <c r="T45" s="82">
        <f t="shared" si="6"/>
        <v>0</v>
      </c>
      <c r="U45" s="82">
        <f t="shared" si="7"/>
        <v>0</v>
      </c>
      <c r="V45" s="82">
        <f t="shared" si="8"/>
        <v>0</v>
      </c>
      <c r="W45" s="83">
        <v>0</v>
      </c>
      <c r="X45" s="83">
        <v>0</v>
      </c>
      <c r="Y45" s="83">
        <v>0</v>
      </c>
      <c r="Z45" s="84">
        <f>ROUND((IF(($O45&lt;=700000),0,IF(((VLOOKUP($M45,'Loyalty - Effec - 15July'!$B$5:$C$17,2,0)*$O45)&lt;=120000),(VLOOKUP($M45,'Loyalty - Effec - 15July'!$B$5:$C$17,2,0)*$O45),120000))),0)</f>
        <v>0</v>
      </c>
      <c r="AA45" s="84">
        <f>ROUND(VLOOKUP($M45,'Loyalty - Effec - 15July'!$B$5:$D$17,3,0)*$O45,0)</f>
        <v>0</v>
      </c>
      <c r="AB45" s="85">
        <f t="shared" si="9"/>
        <v>0</v>
      </c>
      <c r="AC45" s="86">
        <f t="shared" si="10"/>
        <v>0</v>
      </c>
      <c r="AD45" s="87">
        <f t="shared" si="11"/>
        <v>0</v>
      </c>
      <c r="AE45" s="88">
        <f t="shared" si="12"/>
        <v>0</v>
      </c>
      <c r="AF45" s="88">
        <f t="shared" si="13"/>
        <v>0</v>
      </c>
      <c r="AG45" s="49" t="s">
        <v>287</v>
      </c>
      <c r="AH45" s="49" t="s">
        <v>120</v>
      </c>
      <c r="AI45" s="50"/>
      <c r="AJ45" s="46"/>
      <c r="AK45" s="46"/>
      <c r="AL45" s="46"/>
      <c r="AM45" s="51">
        <f>IF($AL45=4,VLOOKUP($AR45,'Loyalty Incentive v1'!$L$3:$Q$15,2,FALSE),
IF($AL45=3,VLOOKUP($AR45,'Loyalty Incentive v1'!$L$3:$Q$15,3,FALSE),
IF($AL45=2,VLOOKUP($AR45,'Loyalty Incentive v1'!$L$3:$Q$15,4,FALSE),
IF($AL45=1,VLOOKUP($AR45,'Loyalty Incentive v1'!$L$3:$Q$15,5,FALSE),
IF($AL45=0,VLOOKUP($AR45,'Loyalty Incentive v1'!$L$3:$Q$15,6,FALSE),0)))))</f>
        <v>0</v>
      </c>
      <c r="AN45" s="51">
        <f>IFERROR(IF(I45&gt;="1",AM45,VLOOKUP(VALUE(I45),'Loyalty - Effec - 15July'!$I$5:$J$16,2,0)*AM45),0)</f>
        <v>0</v>
      </c>
      <c r="AO45" s="51">
        <v>0</v>
      </c>
      <c r="AP45" s="51">
        <f t="shared" si="14"/>
        <v>0</v>
      </c>
      <c r="AQ45" s="46" t="str">
        <f t="shared" si="15"/>
        <v>No</v>
      </c>
      <c r="AR45" s="46" t="str">
        <f t="shared" si="16"/>
        <v>AE3</v>
      </c>
      <c r="AS45" s="46" t="b">
        <f t="shared" si="17"/>
        <v>1</v>
      </c>
      <c r="AT45" s="82">
        <f t="shared" si="18"/>
        <v>0</v>
      </c>
      <c r="AU45" s="82">
        <f t="shared" si="19"/>
        <v>0</v>
      </c>
      <c r="AV45" s="82">
        <f t="shared" si="20"/>
        <v>0</v>
      </c>
      <c r="AW45" s="82">
        <f t="shared" si="21"/>
        <v>0</v>
      </c>
      <c r="AX45" s="85"/>
      <c r="AY45" s="82">
        <f t="shared" si="22"/>
        <v>0</v>
      </c>
      <c r="AZ45" s="82">
        <f t="shared" si="23"/>
        <v>0</v>
      </c>
      <c r="BA45" s="82">
        <f t="shared" si="24"/>
        <v>0</v>
      </c>
      <c r="BB45" s="83">
        <v>0</v>
      </c>
      <c r="BC45" s="83">
        <v>0</v>
      </c>
      <c r="BD45" s="83">
        <v>0</v>
      </c>
      <c r="BE45" s="84">
        <f>ROUND((IF(($AT45&lt;=700000),0,IF(((VLOOKUP($AR45,'Loyalty - Effec - 15July'!$B$5:$C$17,2,0)*$AT45)&lt;=120000),(VLOOKUP($AR45,'Loyalty - Effec - 15July'!$B$5:$C$17,2,0)*$AT45),120000))),0)</f>
        <v>0</v>
      </c>
      <c r="BF45" s="84">
        <f>ROUND(VLOOKUP($AR45,'Loyalty - Effec - 15July'!$B$5:$D$17,3,0)*$AT45,0)</f>
        <v>0</v>
      </c>
      <c r="BG45" s="85">
        <f t="shared" si="25"/>
        <v>0</v>
      </c>
      <c r="BH45" s="81">
        <f t="shared" si="26"/>
        <v>0</v>
      </c>
      <c r="BI45" s="85">
        <f t="shared" si="27"/>
        <v>0</v>
      </c>
      <c r="BJ45" s="85">
        <f t="shared" si="28"/>
        <v>0</v>
      </c>
      <c r="BK45" s="85">
        <f t="shared" si="29"/>
        <v>0</v>
      </c>
      <c r="BL45" s="85">
        <f t="shared" si="30"/>
        <v>0</v>
      </c>
      <c r="BM45" s="85">
        <f t="shared" si="31"/>
        <v>0</v>
      </c>
      <c r="BN45" s="85">
        <f t="shared" si="32"/>
        <v>0</v>
      </c>
      <c r="BO45" s="52" t="s">
        <v>86</v>
      </c>
      <c r="BP45" s="46">
        <v>3</v>
      </c>
      <c r="BQ45" s="46"/>
      <c r="BR45" s="47">
        <f t="shared" si="35"/>
        <v>0</v>
      </c>
      <c r="BU45" s="47">
        <f t="shared" si="33"/>
        <v>0</v>
      </c>
      <c r="BV45" s="53" t="s">
        <v>262</v>
      </c>
      <c r="BW45" s="53" t="s">
        <v>932</v>
      </c>
      <c r="BX45" s="53" t="s">
        <v>263</v>
      </c>
      <c r="BY45" s="53"/>
      <c r="BZ45" s="53"/>
    </row>
    <row r="46" spans="1:79">
      <c r="A46" s="42" t="s">
        <v>173</v>
      </c>
      <c r="B46" s="28" t="s">
        <v>79</v>
      </c>
      <c r="C46" s="28" t="s">
        <v>80</v>
      </c>
      <c r="D46" s="28" t="s">
        <v>932</v>
      </c>
      <c r="E46" s="43" t="s">
        <v>82</v>
      </c>
      <c r="F46" s="28" t="s">
        <v>901</v>
      </c>
      <c r="G46" s="44" t="s">
        <v>174</v>
      </c>
      <c r="H46" s="45">
        <v>43493</v>
      </c>
      <c r="I46" s="46" t="s">
        <v>974</v>
      </c>
      <c r="J46" s="28">
        <v>0</v>
      </c>
      <c r="K46" s="28" t="s">
        <v>863</v>
      </c>
      <c r="L46" s="28" t="s">
        <v>865</v>
      </c>
      <c r="M46" s="28" t="s">
        <v>4</v>
      </c>
      <c r="N46" s="28" t="str">
        <f t="shared" si="2"/>
        <v>AE6</v>
      </c>
      <c r="O46" s="81"/>
      <c r="P46" s="81">
        <f t="shared" si="3"/>
        <v>0</v>
      </c>
      <c r="Q46" s="81">
        <f t="shared" si="4"/>
        <v>0</v>
      </c>
      <c r="R46" s="81">
        <f t="shared" si="5"/>
        <v>0</v>
      </c>
      <c r="S46" s="81"/>
      <c r="T46" s="82">
        <f t="shared" si="6"/>
        <v>0</v>
      </c>
      <c r="U46" s="82">
        <f t="shared" si="7"/>
        <v>0</v>
      </c>
      <c r="V46" s="82">
        <f t="shared" si="8"/>
        <v>0</v>
      </c>
      <c r="W46" s="83">
        <v>0</v>
      </c>
      <c r="X46" s="83">
        <v>0</v>
      </c>
      <c r="Y46" s="83">
        <v>0</v>
      </c>
      <c r="Z46" s="84">
        <f>ROUND((IF(($O46&lt;=700000),0,IF(((VLOOKUP($M46,'Loyalty - Effec - 15July'!$B$5:$C$17,2,0)*$O46)&lt;=120000),(VLOOKUP($M46,'Loyalty - Effec - 15July'!$B$5:$C$17,2,0)*$O46),120000))),0)</f>
        <v>0</v>
      </c>
      <c r="AA46" s="84">
        <f>ROUND(VLOOKUP($M46,'Loyalty - Effec - 15July'!$B$5:$D$17,3,0)*$O46,0)</f>
        <v>0</v>
      </c>
      <c r="AB46" s="85">
        <f t="shared" si="9"/>
        <v>0</v>
      </c>
      <c r="AC46" s="86">
        <f t="shared" si="10"/>
        <v>0</v>
      </c>
      <c r="AD46" s="87">
        <f t="shared" si="11"/>
        <v>0</v>
      </c>
      <c r="AE46" s="88">
        <f t="shared" si="12"/>
        <v>0</v>
      </c>
      <c r="AF46" s="88">
        <f t="shared" si="13"/>
        <v>0</v>
      </c>
      <c r="AG46" s="49" t="s">
        <v>120</v>
      </c>
      <c r="AH46" s="49" t="s">
        <v>774</v>
      </c>
      <c r="AI46" s="50"/>
      <c r="AJ46" s="46"/>
      <c r="AK46" s="46"/>
      <c r="AL46" s="46"/>
      <c r="AM46" s="51">
        <f>IF($AL46=4,VLOOKUP($AR46,'Loyalty Incentive v1'!$L$3:$Q$15,2,FALSE),
IF($AL46=3,VLOOKUP($AR46,'Loyalty Incentive v1'!$L$3:$Q$15,3,FALSE),
IF($AL46=2,VLOOKUP($AR46,'Loyalty Incentive v1'!$L$3:$Q$15,4,FALSE),
IF($AL46=1,VLOOKUP($AR46,'Loyalty Incentive v1'!$L$3:$Q$15,5,FALSE),
IF($AL46=0,VLOOKUP($AR46,'Loyalty Incentive v1'!$L$3:$Q$15,6,FALSE),0)))))</f>
        <v>0</v>
      </c>
      <c r="AN46" s="51">
        <f>IFERROR(IF(I46&gt;="1",AM46,VLOOKUP(VALUE(I46),'Loyalty - Effec - 15July'!$I$5:$J$16,2,0)*AM46),0)</f>
        <v>0</v>
      </c>
      <c r="AO46" s="51">
        <v>0</v>
      </c>
      <c r="AP46" s="51">
        <f t="shared" si="14"/>
        <v>0</v>
      </c>
      <c r="AQ46" s="46" t="str">
        <f t="shared" si="15"/>
        <v>No</v>
      </c>
      <c r="AR46" s="46" t="str">
        <f t="shared" si="16"/>
        <v>AE6</v>
      </c>
      <c r="AS46" s="46" t="b">
        <f t="shared" si="17"/>
        <v>1</v>
      </c>
      <c r="AT46" s="82">
        <f t="shared" si="18"/>
        <v>0</v>
      </c>
      <c r="AU46" s="82">
        <f t="shared" si="19"/>
        <v>0</v>
      </c>
      <c r="AV46" s="82">
        <f t="shared" si="20"/>
        <v>0</v>
      </c>
      <c r="AW46" s="82">
        <f t="shared" si="21"/>
        <v>0</v>
      </c>
      <c r="AX46" s="85"/>
      <c r="AY46" s="82">
        <f t="shared" si="22"/>
        <v>0</v>
      </c>
      <c r="AZ46" s="82">
        <f t="shared" si="23"/>
        <v>0</v>
      </c>
      <c r="BA46" s="82">
        <f t="shared" si="24"/>
        <v>0</v>
      </c>
      <c r="BB46" s="83">
        <v>0</v>
      </c>
      <c r="BC46" s="83">
        <v>0</v>
      </c>
      <c r="BD46" s="83">
        <v>0</v>
      </c>
      <c r="BE46" s="84">
        <f>ROUND((IF(($AT46&lt;=700000),0,IF(((VLOOKUP($AR46,'Loyalty - Effec - 15July'!$B$5:$C$17,2,0)*$AT46)&lt;=120000),(VLOOKUP($AR46,'Loyalty - Effec - 15July'!$B$5:$C$17,2,0)*$AT46),120000))),0)</f>
        <v>0</v>
      </c>
      <c r="BF46" s="84">
        <f>ROUND(VLOOKUP($AR46,'Loyalty - Effec - 15July'!$B$5:$D$17,3,0)*$AT46,0)</f>
        <v>0</v>
      </c>
      <c r="BG46" s="85">
        <f t="shared" si="25"/>
        <v>0</v>
      </c>
      <c r="BH46" s="81">
        <f t="shared" si="26"/>
        <v>0</v>
      </c>
      <c r="BI46" s="85">
        <f t="shared" si="27"/>
        <v>0</v>
      </c>
      <c r="BJ46" s="85">
        <f t="shared" si="28"/>
        <v>0</v>
      </c>
      <c r="BK46" s="85">
        <f t="shared" si="29"/>
        <v>0</v>
      </c>
      <c r="BL46" s="85">
        <f t="shared" si="30"/>
        <v>0</v>
      </c>
      <c r="BM46" s="85">
        <f t="shared" si="31"/>
        <v>0</v>
      </c>
      <c r="BN46" s="85">
        <f t="shared" si="32"/>
        <v>0</v>
      </c>
      <c r="BO46" s="52" t="s">
        <v>86</v>
      </c>
      <c r="BP46" s="46">
        <v>4</v>
      </c>
      <c r="BQ46" s="46"/>
      <c r="BR46" s="47">
        <f t="shared" si="35"/>
        <v>0</v>
      </c>
      <c r="BU46" s="47">
        <f t="shared" si="33"/>
        <v>0</v>
      </c>
      <c r="BV46" s="53" t="s">
        <v>173</v>
      </c>
      <c r="BW46" s="53" t="s">
        <v>932</v>
      </c>
      <c r="BX46" s="53" t="s">
        <v>174</v>
      </c>
      <c r="BY46" s="53"/>
      <c r="BZ46" s="53"/>
    </row>
    <row r="47" spans="1:79">
      <c r="A47" s="42" t="s">
        <v>175</v>
      </c>
      <c r="B47" s="28" t="s">
        <v>79</v>
      </c>
      <c r="C47" s="28" t="s">
        <v>80</v>
      </c>
      <c r="D47" s="28" t="s">
        <v>932</v>
      </c>
      <c r="E47" s="43" t="s">
        <v>82</v>
      </c>
      <c r="F47" s="28" t="s">
        <v>901</v>
      </c>
      <c r="G47" s="44" t="s">
        <v>176</v>
      </c>
      <c r="H47" s="45">
        <v>43497</v>
      </c>
      <c r="I47" s="46" t="s">
        <v>974</v>
      </c>
      <c r="J47" s="28">
        <v>0</v>
      </c>
      <c r="K47" s="28" t="s">
        <v>863</v>
      </c>
      <c r="L47" s="28" t="s">
        <v>879</v>
      </c>
      <c r="M47" s="28" t="s">
        <v>4</v>
      </c>
      <c r="N47" s="28" t="str">
        <f t="shared" si="2"/>
        <v>AE6</v>
      </c>
      <c r="O47" s="81"/>
      <c r="P47" s="81">
        <f t="shared" si="3"/>
        <v>0</v>
      </c>
      <c r="Q47" s="81">
        <f t="shared" si="4"/>
        <v>0</v>
      </c>
      <c r="R47" s="81">
        <f t="shared" si="5"/>
        <v>0</v>
      </c>
      <c r="S47" s="81"/>
      <c r="T47" s="82">
        <f t="shared" si="6"/>
        <v>0</v>
      </c>
      <c r="U47" s="82">
        <f t="shared" si="7"/>
        <v>0</v>
      </c>
      <c r="V47" s="82">
        <f t="shared" si="8"/>
        <v>0</v>
      </c>
      <c r="W47" s="83">
        <v>0</v>
      </c>
      <c r="X47" s="83">
        <v>0</v>
      </c>
      <c r="Y47" s="83">
        <v>0</v>
      </c>
      <c r="Z47" s="84">
        <f>ROUND((IF(($O47&lt;=700000),0,IF(((VLOOKUP($M47,'Loyalty - Effec - 15July'!$B$5:$C$17,2,0)*$O47)&lt;=120000),(VLOOKUP($M47,'Loyalty - Effec - 15July'!$B$5:$C$17,2,0)*$O47),120000))),0)</f>
        <v>0</v>
      </c>
      <c r="AA47" s="84">
        <f>ROUND(VLOOKUP($M47,'Loyalty - Effec - 15July'!$B$5:$D$17,3,0)*$O47,0)</f>
        <v>0</v>
      </c>
      <c r="AB47" s="85">
        <f t="shared" si="9"/>
        <v>0</v>
      </c>
      <c r="AC47" s="86">
        <f t="shared" si="10"/>
        <v>0</v>
      </c>
      <c r="AD47" s="87">
        <f t="shared" si="11"/>
        <v>0</v>
      </c>
      <c r="AE47" s="88">
        <f t="shared" si="12"/>
        <v>0</v>
      </c>
      <c r="AF47" s="88">
        <f t="shared" si="13"/>
        <v>0</v>
      </c>
      <c r="AG47" s="49" t="s">
        <v>200</v>
      </c>
      <c r="AH47" s="49" t="s">
        <v>83</v>
      </c>
      <c r="AI47" s="50"/>
      <c r="AJ47" s="46"/>
      <c r="AK47" s="46"/>
      <c r="AL47" s="46"/>
      <c r="AM47" s="51">
        <f>IF($AL47=4,VLOOKUP($AR47,'Loyalty Incentive v1'!$L$3:$Q$15,2,FALSE),
IF($AL47=3,VLOOKUP($AR47,'Loyalty Incentive v1'!$L$3:$Q$15,3,FALSE),
IF($AL47=2,VLOOKUP($AR47,'Loyalty Incentive v1'!$L$3:$Q$15,4,FALSE),
IF($AL47=1,VLOOKUP($AR47,'Loyalty Incentive v1'!$L$3:$Q$15,5,FALSE),
IF($AL47=0,VLOOKUP($AR47,'Loyalty Incentive v1'!$L$3:$Q$15,6,FALSE),0)))))</f>
        <v>0</v>
      </c>
      <c r="AN47" s="51">
        <f>IFERROR(IF(I47&gt;="1",AM47,VLOOKUP(VALUE(I47),'Loyalty - Effec - 15July'!$I$5:$J$16,2,0)*AM47),0)</f>
        <v>0</v>
      </c>
      <c r="AO47" s="51">
        <v>0</v>
      </c>
      <c r="AP47" s="51">
        <f t="shared" si="14"/>
        <v>0</v>
      </c>
      <c r="AQ47" s="46" t="str">
        <f t="shared" si="15"/>
        <v>No</v>
      </c>
      <c r="AR47" s="46" t="str">
        <f t="shared" si="16"/>
        <v>AE6</v>
      </c>
      <c r="AS47" s="46" t="b">
        <f t="shared" si="17"/>
        <v>1</v>
      </c>
      <c r="AT47" s="82">
        <f t="shared" si="18"/>
        <v>0</v>
      </c>
      <c r="AU47" s="82">
        <f t="shared" si="19"/>
        <v>0</v>
      </c>
      <c r="AV47" s="82">
        <f t="shared" si="20"/>
        <v>0</v>
      </c>
      <c r="AW47" s="82">
        <f t="shared" si="21"/>
        <v>0</v>
      </c>
      <c r="AX47" s="85"/>
      <c r="AY47" s="82">
        <f t="shared" si="22"/>
        <v>0</v>
      </c>
      <c r="AZ47" s="82">
        <f t="shared" si="23"/>
        <v>0</v>
      </c>
      <c r="BA47" s="82">
        <f t="shared" si="24"/>
        <v>0</v>
      </c>
      <c r="BB47" s="83">
        <v>0</v>
      </c>
      <c r="BC47" s="83">
        <v>0</v>
      </c>
      <c r="BD47" s="83">
        <v>0</v>
      </c>
      <c r="BE47" s="84">
        <f>ROUND((IF(($AT47&lt;=700000),0,IF(((VLOOKUP($AR47,'Loyalty - Effec - 15July'!$B$5:$C$17,2,0)*$AT47)&lt;=120000),(VLOOKUP($AR47,'Loyalty - Effec - 15July'!$B$5:$C$17,2,0)*$AT47),120000))),0)</f>
        <v>0</v>
      </c>
      <c r="BF47" s="84">
        <f>ROUND(VLOOKUP($AR47,'Loyalty - Effec - 15July'!$B$5:$D$17,3,0)*$AT47,0)</f>
        <v>0</v>
      </c>
      <c r="BG47" s="85">
        <f t="shared" si="25"/>
        <v>0</v>
      </c>
      <c r="BH47" s="81">
        <f t="shared" si="26"/>
        <v>0</v>
      </c>
      <c r="BI47" s="85">
        <f t="shared" si="27"/>
        <v>0</v>
      </c>
      <c r="BJ47" s="85">
        <f t="shared" si="28"/>
        <v>0</v>
      </c>
      <c r="BK47" s="85">
        <f t="shared" si="29"/>
        <v>0</v>
      </c>
      <c r="BL47" s="85">
        <f t="shared" si="30"/>
        <v>0</v>
      </c>
      <c r="BM47" s="85">
        <f t="shared" si="31"/>
        <v>0</v>
      </c>
      <c r="BN47" s="85">
        <f t="shared" si="32"/>
        <v>0</v>
      </c>
      <c r="BO47" s="52" t="s">
        <v>86</v>
      </c>
      <c r="BP47" s="46">
        <v>3</v>
      </c>
      <c r="BQ47" s="46"/>
      <c r="BR47" s="47">
        <f t="shared" si="35"/>
        <v>0</v>
      </c>
      <c r="BU47" s="47">
        <f t="shared" si="33"/>
        <v>0</v>
      </c>
      <c r="BV47" s="53" t="s">
        <v>175</v>
      </c>
      <c r="BW47" s="53" t="s">
        <v>932</v>
      </c>
      <c r="BX47" s="53" t="s">
        <v>176</v>
      </c>
      <c r="BY47" s="53"/>
      <c r="BZ47" s="53"/>
    </row>
    <row r="48" spans="1:79">
      <c r="A48" s="42" t="s">
        <v>177</v>
      </c>
      <c r="B48" s="28" t="s">
        <v>79</v>
      </c>
      <c r="C48" s="28" t="s">
        <v>80</v>
      </c>
      <c r="D48" s="28" t="s">
        <v>932</v>
      </c>
      <c r="E48" s="43" t="s">
        <v>82</v>
      </c>
      <c r="F48" s="28" t="s">
        <v>901</v>
      </c>
      <c r="G48" s="44" t="s">
        <v>178</v>
      </c>
      <c r="H48" s="45">
        <v>43537</v>
      </c>
      <c r="I48" s="46" t="s">
        <v>975</v>
      </c>
      <c r="J48" s="28">
        <v>0</v>
      </c>
      <c r="K48" s="28" t="s">
        <v>863</v>
      </c>
      <c r="L48" s="28" t="s">
        <v>867</v>
      </c>
      <c r="M48" s="28" t="s">
        <v>2</v>
      </c>
      <c r="N48" s="28" t="str">
        <f t="shared" si="2"/>
        <v>AE4</v>
      </c>
      <c r="O48" s="81"/>
      <c r="P48" s="81">
        <f t="shared" si="3"/>
        <v>0</v>
      </c>
      <c r="Q48" s="81">
        <f t="shared" si="4"/>
        <v>0</v>
      </c>
      <c r="R48" s="81">
        <f t="shared" si="5"/>
        <v>0</v>
      </c>
      <c r="S48" s="81"/>
      <c r="T48" s="82">
        <f t="shared" si="6"/>
        <v>0</v>
      </c>
      <c r="U48" s="82">
        <f t="shared" si="7"/>
        <v>0</v>
      </c>
      <c r="V48" s="82">
        <f t="shared" si="8"/>
        <v>0</v>
      </c>
      <c r="W48" s="83">
        <v>0</v>
      </c>
      <c r="X48" s="83">
        <v>0</v>
      </c>
      <c r="Y48" s="83">
        <v>0</v>
      </c>
      <c r="Z48" s="84">
        <f>ROUND((IF(($O48&lt;=700000),0,IF(((VLOOKUP($M48,'Loyalty - Effec - 15July'!$B$5:$C$17,2,0)*$O48)&lt;=120000),(VLOOKUP($M48,'Loyalty - Effec - 15July'!$B$5:$C$17,2,0)*$O48),120000))),0)</f>
        <v>0</v>
      </c>
      <c r="AA48" s="84">
        <f>ROUND(VLOOKUP($M48,'Loyalty - Effec - 15July'!$B$5:$D$17,3,0)*$O48,0)</f>
        <v>0</v>
      </c>
      <c r="AB48" s="85">
        <f t="shared" si="9"/>
        <v>0</v>
      </c>
      <c r="AC48" s="86">
        <f t="shared" si="10"/>
        <v>0</v>
      </c>
      <c r="AD48" s="87">
        <f t="shared" si="11"/>
        <v>0</v>
      </c>
      <c r="AE48" s="88">
        <f t="shared" si="12"/>
        <v>0</v>
      </c>
      <c r="AF48" s="88">
        <f t="shared" si="13"/>
        <v>0</v>
      </c>
      <c r="AG48" s="49" t="s">
        <v>693</v>
      </c>
      <c r="AH48" s="49" t="s">
        <v>809</v>
      </c>
      <c r="AI48" s="50"/>
      <c r="AJ48" s="46"/>
      <c r="AK48" s="46"/>
      <c r="AL48" s="46"/>
      <c r="AM48" s="51">
        <f>IF($AL48=4,VLOOKUP($AR48,'Loyalty Incentive v1'!$L$3:$Q$15,2,FALSE),
IF($AL48=3,VLOOKUP($AR48,'Loyalty Incentive v1'!$L$3:$Q$15,3,FALSE),
IF($AL48=2,VLOOKUP($AR48,'Loyalty Incentive v1'!$L$3:$Q$15,4,FALSE),
IF($AL48=1,VLOOKUP($AR48,'Loyalty Incentive v1'!$L$3:$Q$15,5,FALSE),
IF($AL48=0,VLOOKUP($AR48,'Loyalty Incentive v1'!$L$3:$Q$15,6,FALSE),0)))))</f>
        <v>0</v>
      </c>
      <c r="AN48" s="51">
        <f>IFERROR(IF(I48&gt;="1",AM48,VLOOKUP(VALUE(I48),'Loyalty - Effec - 15July'!$I$5:$J$16,2,0)*AM48),0)</f>
        <v>0</v>
      </c>
      <c r="AO48" s="51">
        <v>0</v>
      </c>
      <c r="AP48" s="51">
        <f t="shared" si="14"/>
        <v>0</v>
      </c>
      <c r="AQ48" s="46" t="str">
        <f t="shared" si="15"/>
        <v>No</v>
      </c>
      <c r="AR48" s="46" t="str">
        <f t="shared" si="16"/>
        <v>AE4</v>
      </c>
      <c r="AS48" s="46" t="b">
        <f t="shared" si="17"/>
        <v>1</v>
      </c>
      <c r="AT48" s="82">
        <f t="shared" si="18"/>
        <v>0</v>
      </c>
      <c r="AU48" s="82">
        <f t="shared" si="19"/>
        <v>0</v>
      </c>
      <c r="AV48" s="82">
        <f t="shared" si="20"/>
        <v>0</v>
      </c>
      <c r="AW48" s="82">
        <f t="shared" si="21"/>
        <v>0</v>
      </c>
      <c r="AX48" s="85"/>
      <c r="AY48" s="82">
        <f t="shared" si="22"/>
        <v>0</v>
      </c>
      <c r="AZ48" s="82">
        <f t="shared" si="23"/>
        <v>0</v>
      </c>
      <c r="BA48" s="82">
        <f t="shared" si="24"/>
        <v>0</v>
      </c>
      <c r="BB48" s="83">
        <v>0</v>
      </c>
      <c r="BC48" s="83">
        <v>0</v>
      </c>
      <c r="BD48" s="83">
        <v>0</v>
      </c>
      <c r="BE48" s="84">
        <f>ROUND((IF(($AT48&lt;=700000),0,IF(((VLOOKUP($AR48,'Loyalty - Effec - 15July'!$B$5:$C$17,2,0)*$AT48)&lt;=120000),(VLOOKUP($AR48,'Loyalty - Effec - 15July'!$B$5:$C$17,2,0)*$AT48),120000))),0)</f>
        <v>0</v>
      </c>
      <c r="BF48" s="84">
        <f>ROUND(VLOOKUP($AR48,'Loyalty - Effec - 15July'!$B$5:$D$17,3,0)*$AT48,0)</f>
        <v>0</v>
      </c>
      <c r="BG48" s="85">
        <f t="shared" si="25"/>
        <v>0</v>
      </c>
      <c r="BH48" s="81">
        <f t="shared" si="26"/>
        <v>0</v>
      </c>
      <c r="BI48" s="85">
        <f t="shared" si="27"/>
        <v>0</v>
      </c>
      <c r="BJ48" s="85">
        <f t="shared" si="28"/>
        <v>0</v>
      </c>
      <c r="BK48" s="85">
        <f t="shared" si="29"/>
        <v>0</v>
      </c>
      <c r="BL48" s="85">
        <f t="shared" si="30"/>
        <v>0</v>
      </c>
      <c r="BM48" s="85">
        <f t="shared" si="31"/>
        <v>0</v>
      </c>
      <c r="BN48" s="85">
        <f t="shared" si="32"/>
        <v>0</v>
      </c>
      <c r="BO48" s="52" t="s">
        <v>85</v>
      </c>
      <c r="BP48" s="46">
        <v>3</v>
      </c>
      <c r="BQ48" s="52" t="s">
        <v>121</v>
      </c>
      <c r="BR48" s="47">
        <f t="shared" si="35"/>
        <v>0</v>
      </c>
      <c r="BU48" s="47">
        <f t="shared" si="33"/>
        <v>0</v>
      </c>
      <c r="BV48" s="53" t="s">
        <v>177</v>
      </c>
      <c r="BW48" s="53" t="s">
        <v>932</v>
      </c>
      <c r="BX48" s="53" t="s">
        <v>178</v>
      </c>
      <c r="BY48" s="53"/>
      <c r="BZ48" s="53"/>
    </row>
    <row r="49" spans="1:79">
      <c r="A49" s="42" t="s">
        <v>179</v>
      </c>
      <c r="B49" s="28" t="s">
        <v>79</v>
      </c>
      <c r="C49" s="28" t="s">
        <v>80</v>
      </c>
      <c r="D49" s="28" t="s">
        <v>932</v>
      </c>
      <c r="E49" s="43" t="s">
        <v>82</v>
      </c>
      <c r="F49" s="28" t="s">
        <v>901</v>
      </c>
      <c r="G49" s="44" t="s">
        <v>180</v>
      </c>
      <c r="H49" s="45">
        <v>43584</v>
      </c>
      <c r="I49" s="46" t="s">
        <v>976</v>
      </c>
      <c r="J49" s="28">
        <v>0</v>
      </c>
      <c r="K49" s="28" t="s">
        <v>403</v>
      </c>
      <c r="L49" s="28" t="s">
        <v>101</v>
      </c>
      <c r="M49" s="28" t="s">
        <v>1</v>
      </c>
      <c r="N49" s="28" t="str">
        <f t="shared" si="2"/>
        <v>AE3</v>
      </c>
      <c r="O49" s="81"/>
      <c r="P49" s="81">
        <f t="shared" si="3"/>
        <v>0</v>
      </c>
      <c r="Q49" s="81">
        <f t="shared" si="4"/>
        <v>0</v>
      </c>
      <c r="R49" s="81">
        <f t="shared" si="5"/>
        <v>0</v>
      </c>
      <c r="S49" s="81"/>
      <c r="T49" s="82">
        <f t="shared" si="6"/>
        <v>0</v>
      </c>
      <c r="U49" s="82">
        <f t="shared" si="7"/>
        <v>0</v>
      </c>
      <c r="V49" s="82">
        <f t="shared" si="8"/>
        <v>0</v>
      </c>
      <c r="W49" s="83">
        <v>0</v>
      </c>
      <c r="X49" s="83">
        <v>0</v>
      </c>
      <c r="Y49" s="83">
        <v>0</v>
      </c>
      <c r="Z49" s="84">
        <f>ROUND((IF(($O49&lt;=700000),0,IF(((VLOOKUP($M49,'Loyalty - Effec - 15July'!$B$5:$C$17,2,0)*$O49)&lt;=120000),(VLOOKUP($M49,'Loyalty - Effec - 15July'!$B$5:$C$17,2,0)*$O49),120000))),0)</f>
        <v>0</v>
      </c>
      <c r="AA49" s="84">
        <f>ROUND(VLOOKUP($M49,'Loyalty - Effec - 15July'!$B$5:$D$17,3,0)*$O49,0)</f>
        <v>0</v>
      </c>
      <c r="AB49" s="85">
        <f t="shared" si="9"/>
        <v>0</v>
      </c>
      <c r="AC49" s="86">
        <f t="shared" si="10"/>
        <v>0</v>
      </c>
      <c r="AD49" s="87">
        <f t="shared" si="11"/>
        <v>0</v>
      </c>
      <c r="AE49" s="88">
        <f t="shared" si="12"/>
        <v>0</v>
      </c>
      <c r="AF49" s="88">
        <f t="shared" si="13"/>
        <v>0</v>
      </c>
      <c r="AG49" s="49" t="s">
        <v>301</v>
      </c>
      <c r="AH49" s="49" t="s">
        <v>83</v>
      </c>
      <c r="AI49" s="50"/>
      <c r="AJ49" s="46"/>
      <c r="AK49" s="46"/>
      <c r="AL49" s="46"/>
      <c r="AM49" s="51">
        <f>IF($AL49=4,VLOOKUP($AR49,'Loyalty Incentive v1'!$L$3:$Q$15,2,FALSE),
IF($AL49=3,VLOOKUP($AR49,'Loyalty Incentive v1'!$L$3:$Q$15,3,FALSE),
IF($AL49=2,VLOOKUP($AR49,'Loyalty Incentive v1'!$L$3:$Q$15,4,FALSE),
IF($AL49=1,VLOOKUP($AR49,'Loyalty Incentive v1'!$L$3:$Q$15,5,FALSE),
IF($AL49=0,VLOOKUP($AR49,'Loyalty Incentive v1'!$L$3:$Q$15,6,FALSE),0)))))</f>
        <v>0</v>
      </c>
      <c r="AN49" s="51">
        <f>IFERROR(IF(I49&gt;="1",AM49,VLOOKUP(VALUE(I49),'Loyalty - Effec - 15July'!$I$5:$J$16,2,0)*AM49),0)</f>
        <v>0</v>
      </c>
      <c r="AO49" s="51">
        <v>0</v>
      </c>
      <c r="AP49" s="51">
        <f t="shared" si="14"/>
        <v>0</v>
      </c>
      <c r="AQ49" s="46" t="str">
        <f t="shared" si="15"/>
        <v>No</v>
      </c>
      <c r="AR49" s="46" t="str">
        <f t="shared" si="16"/>
        <v>AE3</v>
      </c>
      <c r="AS49" s="46" t="b">
        <f t="shared" si="17"/>
        <v>1</v>
      </c>
      <c r="AT49" s="82">
        <f t="shared" si="18"/>
        <v>0</v>
      </c>
      <c r="AU49" s="82">
        <f t="shared" si="19"/>
        <v>0</v>
      </c>
      <c r="AV49" s="82">
        <f t="shared" si="20"/>
        <v>0</v>
      </c>
      <c r="AW49" s="82">
        <f t="shared" si="21"/>
        <v>0</v>
      </c>
      <c r="AX49" s="85"/>
      <c r="AY49" s="82">
        <f t="shared" si="22"/>
        <v>0</v>
      </c>
      <c r="AZ49" s="82">
        <f t="shared" si="23"/>
        <v>0</v>
      </c>
      <c r="BA49" s="82">
        <f t="shared" si="24"/>
        <v>0</v>
      </c>
      <c r="BB49" s="83">
        <v>0</v>
      </c>
      <c r="BC49" s="83">
        <v>0</v>
      </c>
      <c r="BD49" s="83">
        <v>0</v>
      </c>
      <c r="BE49" s="84">
        <f>ROUND((IF(($AT49&lt;=700000),0,IF(((VLOOKUP($AR49,'Loyalty - Effec - 15July'!$B$5:$C$17,2,0)*$AT49)&lt;=120000),(VLOOKUP($AR49,'Loyalty - Effec - 15July'!$B$5:$C$17,2,0)*$AT49),120000))),0)</f>
        <v>0</v>
      </c>
      <c r="BF49" s="84">
        <f>ROUND(VLOOKUP($AR49,'Loyalty - Effec - 15July'!$B$5:$D$17,3,0)*$AT49,0)</f>
        <v>0</v>
      </c>
      <c r="BG49" s="85">
        <f t="shared" si="25"/>
        <v>0</v>
      </c>
      <c r="BH49" s="81">
        <f t="shared" si="26"/>
        <v>0</v>
      </c>
      <c r="BI49" s="85">
        <f t="shared" si="27"/>
        <v>0</v>
      </c>
      <c r="BJ49" s="85">
        <f t="shared" si="28"/>
        <v>0</v>
      </c>
      <c r="BK49" s="85">
        <f t="shared" si="29"/>
        <v>0</v>
      </c>
      <c r="BL49" s="85">
        <f t="shared" si="30"/>
        <v>0</v>
      </c>
      <c r="BM49" s="85">
        <f t="shared" si="31"/>
        <v>0</v>
      </c>
      <c r="BN49" s="85">
        <f t="shared" si="32"/>
        <v>0</v>
      </c>
      <c r="BO49" s="52" t="s">
        <v>86</v>
      </c>
      <c r="BP49" s="46">
        <v>3</v>
      </c>
      <c r="BQ49" s="46"/>
      <c r="BR49" s="47">
        <f t="shared" si="35"/>
        <v>0</v>
      </c>
      <c r="BU49" s="47">
        <f t="shared" si="33"/>
        <v>0</v>
      </c>
      <c r="BV49" s="53" t="s">
        <v>179</v>
      </c>
      <c r="BW49" s="53" t="s">
        <v>932</v>
      </c>
      <c r="BX49" s="53" t="s">
        <v>180</v>
      </c>
      <c r="BY49" s="53"/>
      <c r="BZ49" s="53"/>
    </row>
    <row r="50" spans="1:79">
      <c r="A50" s="42" t="s">
        <v>91</v>
      </c>
      <c r="B50" s="28" t="s">
        <v>79</v>
      </c>
      <c r="C50" s="28" t="s">
        <v>80</v>
      </c>
      <c r="D50" s="28" t="s">
        <v>932</v>
      </c>
      <c r="E50" s="43" t="s">
        <v>82</v>
      </c>
      <c r="F50" s="28" t="s">
        <v>902</v>
      </c>
      <c r="G50" s="44" t="s">
        <v>92</v>
      </c>
      <c r="H50" s="45">
        <v>43584</v>
      </c>
      <c r="I50" s="46" t="s">
        <v>976</v>
      </c>
      <c r="J50" s="28">
        <v>0</v>
      </c>
      <c r="K50" s="28" t="s">
        <v>93</v>
      </c>
      <c r="L50" s="28" t="s">
        <v>94</v>
      </c>
      <c r="M50" s="28" t="s">
        <v>1</v>
      </c>
      <c r="N50" s="28" t="str">
        <f t="shared" si="2"/>
        <v>AE3</v>
      </c>
      <c r="O50" s="81"/>
      <c r="P50" s="81">
        <f t="shared" si="3"/>
        <v>0</v>
      </c>
      <c r="Q50" s="81">
        <f t="shared" si="4"/>
        <v>0</v>
      </c>
      <c r="R50" s="81">
        <f t="shared" si="5"/>
        <v>0</v>
      </c>
      <c r="S50" s="81"/>
      <c r="T50" s="82">
        <f t="shared" si="6"/>
        <v>0</v>
      </c>
      <c r="U50" s="82">
        <f t="shared" si="7"/>
        <v>0</v>
      </c>
      <c r="V50" s="82">
        <f t="shared" si="8"/>
        <v>0</v>
      </c>
      <c r="W50" s="83">
        <v>0</v>
      </c>
      <c r="X50" s="83">
        <v>0</v>
      </c>
      <c r="Y50" s="83">
        <v>0</v>
      </c>
      <c r="Z50" s="84">
        <f>ROUND((IF(($O50&lt;=700000),0,IF(((VLOOKUP($M50,'Loyalty - Effec - 15July'!$B$5:$C$17,2,0)*$O50)&lt;=120000),(VLOOKUP($M50,'Loyalty - Effec - 15July'!$B$5:$C$17,2,0)*$O50),120000))),0)</f>
        <v>0</v>
      </c>
      <c r="AA50" s="84">
        <f>ROUND(VLOOKUP($M50,'Loyalty - Effec - 15July'!$B$5:$D$17,3,0)*$O50,0)</f>
        <v>0</v>
      </c>
      <c r="AB50" s="85">
        <f t="shared" si="9"/>
        <v>0</v>
      </c>
      <c r="AC50" s="86">
        <f t="shared" si="10"/>
        <v>0</v>
      </c>
      <c r="AD50" s="87">
        <f t="shared" si="11"/>
        <v>0</v>
      </c>
      <c r="AE50" s="88">
        <f t="shared" si="12"/>
        <v>0</v>
      </c>
      <c r="AF50" s="88">
        <f t="shared" si="13"/>
        <v>0</v>
      </c>
      <c r="AG50" s="49" t="s">
        <v>278</v>
      </c>
      <c r="AH50" s="49" t="s">
        <v>811</v>
      </c>
      <c r="AI50" s="50"/>
      <c r="AJ50" s="46"/>
      <c r="AK50" s="46"/>
      <c r="AL50" s="46"/>
      <c r="AM50" s="51">
        <f>IF($AL50=4,VLOOKUP($AR50,'Loyalty Incentive v1'!$L$3:$Q$15,2,FALSE),
IF($AL50=3,VLOOKUP($AR50,'Loyalty Incentive v1'!$L$3:$Q$15,3,FALSE),
IF($AL50=2,VLOOKUP($AR50,'Loyalty Incentive v1'!$L$3:$Q$15,4,FALSE),
IF($AL50=1,VLOOKUP($AR50,'Loyalty Incentive v1'!$L$3:$Q$15,5,FALSE),
IF($AL50=0,VLOOKUP($AR50,'Loyalty Incentive v1'!$L$3:$Q$15,6,FALSE),0)))))</f>
        <v>0</v>
      </c>
      <c r="AN50" s="51">
        <f>IFERROR(IF(I50&gt;="1",AM50,VLOOKUP(VALUE(I50),'Loyalty - Effec - 15July'!$I$5:$J$16,2,0)*AM50),0)</f>
        <v>0</v>
      </c>
      <c r="AO50" s="51">
        <v>0</v>
      </c>
      <c r="AP50" s="51">
        <f t="shared" si="14"/>
        <v>0</v>
      </c>
      <c r="AQ50" s="46" t="str">
        <f t="shared" si="15"/>
        <v>No</v>
      </c>
      <c r="AR50" s="46" t="str">
        <f t="shared" si="16"/>
        <v>AE3</v>
      </c>
      <c r="AS50" s="46" t="b">
        <f t="shared" si="17"/>
        <v>1</v>
      </c>
      <c r="AT50" s="82">
        <f t="shared" si="18"/>
        <v>0</v>
      </c>
      <c r="AU50" s="82">
        <f t="shared" si="19"/>
        <v>0</v>
      </c>
      <c r="AV50" s="82">
        <f t="shared" si="20"/>
        <v>0</v>
      </c>
      <c r="AW50" s="82">
        <f t="shared" si="21"/>
        <v>0</v>
      </c>
      <c r="AX50" s="85"/>
      <c r="AY50" s="82">
        <f t="shared" si="22"/>
        <v>0</v>
      </c>
      <c r="AZ50" s="82">
        <f t="shared" si="23"/>
        <v>0</v>
      </c>
      <c r="BA50" s="82">
        <f t="shared" si="24"/>
        <v>0</v>
      </c>
      <c r="BB50" s="83">
        <v>0</v>
      </c>
      <c r="BC50" s="83">
        <v>0</v>
      </c>
      <c r="BD50" s="83">
        <v>0</v>
      </c>
      <c r="BE50" s="84">
        <f>ROUND((IF(($AT50&lt;=700000),0,IF(((VLOOKUP($AR50,'Loyalty - Effec - 15July'!$B$5:$C$17,2,0)*$AT50)&lt;=120000),(VLOOKUP($AR50,'Loyalty - Effec - 15July'!$B$5:$C$17,2,0)*$AT50),120000))),0)</f>
        <v>0</v>
      </c>
      <c r="BF50" s="84">
        <f>ROUND(VLOOKUP($AR50,'Loyalty - Effec - 15July'!$B$5:$D$17,3,0)*$AT50,0)</f>
        <v>0</v>
      </c>
      <c r="BG50" s="85">
        <f t="shared" si="25"/>
        <v>0</v>
      </c>
      <c r="BH50" s="81">
        <f t="shared" si="26"/>
        <v>0</v>
      </c>
      <c r="BI50" s="85">
        <f t="shared" si="27"/>
        <v>0</v>
      </c>
      <c r="BJ50" s="85">
        <f t="shared" si="28"/>
        <v>0</v>
      </c>
      <c r="BK50" s="85">
        <f t="shared" si="29"/>
        <v>0</v>
      </c>
      <c r="BL50" s="85">
        <f t="shared" si="30"/>
        <v>0</v>
      </c>
      <c r="BM50" s="85">
        <f t="shared" si="31"/>
        <v>0</v>
      </c>
      <c r="BN50" s="85">
        <f t="shared" si="32"/>
        <v>0</v>
      </c>
      <c r="BO50" s="52" t="s">
        <v>86</v>
      </c>
      <c r="BP50" s="46">
        <v>2</v>
      </c>
      <c r="BQ50" s="52" t="s">
        <v>121</v>
      </c>
      <c r="BR50" s="47">
        <f t="shared" si="35"/>
        <v>0</v>
      </c>
      <c r="BU50" s="47">
        <f t="shared" si="33"/>
        <v>0</v>
      </c>
      <c r="BV50" s="53" t="s">
        <v>91</v>
      </c>
      <c r="BW50" s="53" t="s">
        <v>932</v>
      </c>
      <c r="BX50" s="53" t="s">
        <v>92</v>
      </c>
      <c r="BY50" s="53"/>
      <c r="BZ50" s="53"/>
    </row>
    <row r="51" spans="1:79">
      <c r="A51" s="42" t="s">
        <v>95</v>
      </c>
      <c r="B51" s="28" t="s">
        <v>79</v>
      </c>
      <c r="C51" s="28" t="s">
        <v>80</v>
      </c>
      <c r="D51" s="28" t="s">
        <v>932</v>
      </c>
      <c r="E51" s="43" t="s">
        <v>82</v>
      </c>
      <c r="F51" s="28" t="s">
        <v>901</v>
      </c>
      <c r="G51" s="44" t="s">
        <v>96</v>
      </c>
      <c r="H51" s="45">
        <v>43584</v>
      </c>
      <c r="I51" s="46" t="s">
        <v>976</v>
      </c>
      <c r="J51" s="28">
        <v>0</v>
      </c>
      <c r="K51" s="28" t="s">
        <v>93</v>
      </c>
      <c r="L51" s="28" t="s">
        <v>873</v>
      </c>
      <c r="M51" s="28" t="s">
        <v>1</v>
      </c>
      <c r="N51" s="28" t="str">
        <f t="shared" si="2"/>
        <v>AE3</v>
      </c>
      <c r="O51" s="81"/>
      <c r="P51" s="81">
        <f t="shared" si="3"/>
        <v>0</v>
      </c>
      <c r="Q51" s="81">
        <f t="shared" si="4"/>
        <v>0</v>
      </c>
      <c r="R51" s="81">
        <f t="shared" si="5"/>
        <v>0</v>
      </c>
      <c r="S51" s="81"/>
      <c r="T51" s="82">
        <f t="shared" si="6"/>
        <v>0</v>
      </c>
      <c r="U51" s="82">
        <f t="shared" si="7"/>
        <v>0</v>
      </c>
      <c r="V51" s="82">
        <f t="shared" si="8"/>
        <v>0</v>
      </c>
      <c r="W51" s="83">
        <v>0</v>
      </c>
      <c r="X51" s="83">
        <v>0</v>
      </c>
      <c r="Y51" s="83">
        <v>0</v>
      </c>
      <c r="Z51" s="84">
        <f>ROUND((IF(($O51&lt;=700000),0,IF(((VLOOKUP($M51,'Loyalty - Effec - 15July'!$B$5:$C$17,2,0)*$O51)&lt;=120000),(VLOOKUP($M51,'Loyalty - Effec - 15July'!$B$5:$C$17,2,0)*$O51),120000))),0)</f>
        <v>0</v>
      </c>
      <c r="AA51" s="84">
        <f>ROUND(VLOOKUP($M51,'Loyalty - Effec - 15July'!$B$5:$D$17,3,0)*$O51,0)</f>
        <v>0</v>
      </c>
      <c r="AB51" s="85">
        <f t="shared" si="9"/>
        <v>0</v>
      </c>
      <c r="AC51" s="86">
        <f t="shared" si="10"/>
        <v>0</v>
      </c>
      <c r="AD51" s="87">
        <f t="shared" si="11"/>
        <v>0</v>
      </c>
      <c r="AE51" s="88">
        <f t="shared" si="12"/>
        <v>0</v>
      </c>
      <c r="AF51" s="88">
        <f t="shared" si="13"/>
        <v>0</v>
      </c>
      <c r="AG51" s="49" t="s">
        <v>913</v>
      </c>
      <c r="AH51" s="49" t="s">
        <v>909</v>
      </c>
      <c r="AI51" s="50"/>
      <c r="AJ51" s="46"/>
      <c r="AK51" s="46"/>
      <c r="AL51" s="46"/>
      <c r="AM51" s="51">
        <f>IF($AL51=4,VLOOKUP($AR51,'Loyalty Incentive v1'!$L$3:$Q$15,2,FALSE),
IF($AL51=3,VLOOKUP($AR51,'Loyalty Incentive v1'!$L$3:$Q$15,3,FALSE),
IF($AL51=2,VLOOKUP($AR51,'Loyalty Incentive v1'!$L$3:$Q$15,4,FALSE),
IF($AL51=1,VLOOKUP($AR51,'Loyalty Incentive v1'!$L$3:$Q$15,5,FALSE),
IF($AL51=0,VLOOKUP($AR51,'Loyalty Incentive v1'!$L$3:$Q$15,6,FALSE),0)))))</f>
        <v>0</v>
      </c>
      <c r="AN51" s="51">
        <f>IFERROR(IF(I51&gt;="1",AM51,VLOOKUP(VALUE(I51),'Loyalty - Effec - 15July'!$I$5:$J$16,2,0)*AM51),0)</f>
        <v>0</v>
      </c>
      <c r="AO51" s="51">
        <v>0</v>
      </c>
      <c r="AP51" s="51">
        <f t="shared" si="14"/>
        <v>0</v>
      </c>
      <c r="AQ51" s="46" t="str">
        <f t="shared" si="15"/>
        <v>No</v>
      </c>
      <c r="AR51" s="46" t="str">
        <f t="shared" si="16"/>
        <v>AE3</v>
      </c>
      <c r="AS51" s="46" t="b">
        <f t="shared" si="17"/>
        <v>1</v>
      </c>
      <c r="AT51" s="82">
        <f t="shared" si="18"/>
        <v>0</v>
      </c>
      <c r="AU51" s="82">
        <f t="shared" si="19"/>
        <v>0</v>
      </c>
      <c r="AV51" s="82">
        <f t="shared" si="20"/>
        <v>0</v>
      </c>
      <c r="AW51" s="82">
        <f t="shared" si="21"/>
        <v>0</v>
      </c>
      <c r="AX51" s="85"/>
      <c r="AY51" s="82">
        <f t="shared" si="22"/>
        <v>0</v>
      </c>
      <c r="AZ51" s="82">
        <f t="shared" si="23"/>
        <v>0</v>
      </c>
      <c r="BA51" s="82">
        <f t="shared" si="24"/>
        <v>0</v>
      </c>
      <c r="BB51" s="83">
        <v>0</v>
      </c>
      <c r="BC51" s="83">
        <v>0</v>
      </c>
      <c r="BD51" s="83">
        <v>0</v>
      </c>
      <c r="BE51" s="84">
        <f>ROUND((IF(($AT51&lt;=700000),0,IF(((VLOOKUP($AR51,'Loyalty - Effec - 15July'!$B$5:$C$17,2,0)*$AT51)&lt;=120000),(VLOOKUP($AR51,'Loyalty - Effec - 15July'!$B$5:$C$17,2,0)*$AT51),120000))),0)</f>
        <v>0</v>
      </c>
      <c r="BF51" s="84">
        <f>ROUND(VLOOKUP($AR51,'Loyalty - Effec - 15July'!$B$5:$D$17,3,0)*$AT51,0)</f>
        <v>0</v>
      </c>
      <c r="BG51" s="85">
        <f t="shared" si="25"/>
        <v>0</v>
      </c>
      <c r="BH51" s="81">
        <f t="shared" si="26"/>
        <v>0</v>
      </c>
      <c r="BI51" s="85">
        <f t="shared" si="27"/>
        <v>0</v>
      </c>
      <c r="BJ51" s="85">
        <f t="shared" si="28"/>
        <v>0</v>
      </c>
      <c r="BK51" s="85">
        <f t="shared" si="29"/>
        <v>0</v>
      </c>
      <c r="BL51" s="85">
        <f t="shared" si="30"/>
        <v>0</v>
      </c>
      <c r="BM51" s="85">
        <f t="shared" si="31"/>
        <v>0</v>
      </c>
      <c r="BN51" s="85">
        <f t="shared" si="32"/>
        <v>0</v>
      </c>
      <c r="BO51" s="52" t="s">
        <v>86</v>
      </c>
      <c r="BP51" s="46">
        <v>4</v>
      </c>
      <c r="BQ51" s="46"/>
      <c r="BR51" s="47">
        <f t="shared" si="35"/>
        <v>0</v>
      </c>
      <c r="BU51" s="47">
        <f t="shared" si="33"/>
        <v>0</v>
      </c>
      <c r="BV51" s="53" t="s">
        <v>95</v>
      </c>
      <c r="BW51" s="53" t="s">
        <v>932</v>
      </c>
      <c r="BX51" s="53" t="s">
        <v>96</v>
      </c>
      <c r="BY51" s="53"/>
      <c r="BZ51" s="53"/>
    </row>
    <row r="52" spans="1:79">
      <c r="A52" s="42" t="s">
        <v>138</v>
      </c>
      <c r="B52" s="28" t="s">
        <v>79</v>
      </c>
      <c r="C52" s="28" t="s">
        <v>80</v>
      </c>
      <c r="D52" s="28" t="s">
        <v>932</v>
      </c>
      <c r="E52" s="43" t="s">
        <v>82</v>
      </c>
      <c r="F52" s="28" t="s">
        <v>902</v>
      </c>
      <c r="G52" s="44" t="s">
        <v>139</v>
      </c>
      <c r="H52" s="45">
        <v>43584</v>
      </c>
      <c r="I52" s="46" t="s">
        <v>976</v>
      </c>
      <c r="J52" s="28">
        <v>0</v>
      </c>
      <c r="K52" s="28" t="s">
        <v>413</v>
      </c>
      <c r="L52" s="28" t="s">
        <v>880</v>
      </c>
      <c r="M52" s="28" t="s">
        <v>2</v>
      </c>
      <c r="N52" s="28" t="str">
        <f t="shared" si="2"/>
        <v>AE4</v>
      </c>
      <c r="O52" s="81"/>
      <c r="P52" s="81">
        <f t="shared" si="3"/>
        <v>0</v>
      </c>
      <c r="Q52" s="81">
        <f t="shared" si="4"/>
        <v>0</v>
      </c>
      <c r="R52" s="81">
        <f t="shared" si="5"/>
        <v>0</v>
      </c>
      <c r="S52" s="81"/>
      <c r="T52" s="82">
        <f t="shared" si="6"/>
        <v>0</v>
      </c>
      <c r="U52" s="82">
        <f t="shared" si="7"/>
        <v>0</v>
      </c>
      <c r="V52" s="82">
        <f t="shared" si="8"/>
        <v>0</v>
      </c>
      <c r="W52" s="83">
        <v>0</v>
      </c>
      <c r="X52" s="83">
        <v>0</v>
      </c>
      <c r="Y52" s="83">
        <v>0</v>
      </c>
      <c r="Z52" s="84">
        <f>ROUND((IF(($O52&lt;=700000),0,IF(((VLOOKUP($M52,'Loyalty - Effec - 15July'!$B$5:$C$17,2,0)*$O52)&lt;=120000),(VLOOKUP($M52,'Loyalty - Effec - 15July'!$B$5:$C$17,2,0)*$O52),120000))),0)</f>
        <v>0</v>
      </c>
      <c r="AA52" s="84">
        <f>ROUND(VLOOKUP($M52,'Loyalty - Effec - 15July'!$B$5:$D$17,3,0)*$O52,0)</f>
        <v>0</v>
      </c>
      <c r="AB52" s="85">
        <f t="shared" si="9"/>
        <v>0</v>
      </c>
      <c r="AC52" s="86">
        <f t="shared" si="10"/>
        <v>0</v>
      </c>
      <c r="AD52" s="87">
        <f t="shared" si="11"/>
        <v>0</v>
      </c>
      <c r="AE52" s="88">
        <f t="shared" si="12"/>
        <v>0</v>
      </c>
      <c r="AF52" s="88">
        <f t="shared" si="13"/>
        <v>0</v>
      </c>
      <c r="AG52" s="49" t="s">
        <v>170</v>
      </c>
      <c r="AH52" s="49" t="s">
        <v>909</v>
      </c>
      <c r="AI52" s="50"/>
      <c r="AJ52" s="46"/>
      <c r="AK52" s="46"/>
      <c r="AL52" s="46"/>
      <c r="AM52" s="51">
        <f>IF($AL52=4,VLOOKUP($AR52,'Loyalty Incentive v1'!$L$3:$Q$15,2,FALSE),
IF($AL52=3,VLOOKUP($AR52,'Loyalty Incentive v1'!$L$3:$Q$15,3,FALSE),
IF($AL52=2,VLOOKUP($AR52,'Loyalty Incentive v1'!$L$3:$Q$15,4,FALSE),
IF($AL52=1,VLOOKUP($AR52,'Loyalty Incentive v1'!$L$3:$Q$15,5,FALSE),
IF($AL52=0,VLOOKUP($AR52,'Loyalty Incentive v1'!$L$3:$Q$15,6,FALSE),0)))))</f>
        <v>0</v>
      </c>
      <c r="AN52" s="51">
        <f>IFERROR(IF(I52&gt;="1",AM52,VLOOKUP(VALUE(I52),'Loyalty - Effec - 15July'!$I$5:$J$16,2,0)*AM52),0)</f>
        <v>0</v>
      </c>
      <c r="AO52" s="51">
        <v>0</v>
      </c>
      <c r="AP52" s="51">
        <f t="shared" si="14"/>
        <v>0</v>
      </c>
      <c r="AQ52" s="46" t="str">
        <f t="shared" si="15"/>
        <v>No</v>
      </c>
      <c r="AR52" s="46" t="str">
        <f t="shared" si="16"/>
        <v>AE4</v>
      </c>
      <c r="AS52" s="46" t="b">
        <f t="shared" si="17"/>
        <v>1</v>
      </c>
      <c r="AT52" s="82">
        <f t="shared" si="18"/>
        <v>0</v>
      </c>
      <c r="AU52" s="82">
        <f t="shared" si="19"/>
        <v>0</v>
      </c>
      <c r="AV52" s="82">
        <f t="shared" si="20"/>
        <v>0</v>
      </c>
      <c r="AW52" s="82">
        <f t="shared" si="21"/>
        <v>0</v>
      </c>
      <c r="AX52" s="85"/>
      <c r="AY52" s="82">
        <f t="shared" si="22"/>
        <v>0</v>
      </c>
      <c r="AZ52" s="82">
        <f t="shared" si="23"/>
        <v>0</v>
      </c>
      <c r="BA52" s="82">
        <f t="shared" si="24"/>
        <v>0</v>
      </c>
      <c r="BB52" s="83">
        <v>0</v>
      </c>
      <c r="BC52" s="83">
        <v>0</v>
      </c>
      <c r="BD52" s="83">
        <v>0</v>
      </c>
      <c r="BE52" s="84">
        <f>ROUND((IF(($AT52&lt;=700000),0,IF(((VLOOKUP($AR52,'Loyalty - Effec - 15July'!$B$5:$C$17,2,0)*$AT52)&lt;=120000),(VLOOKUP($AR52,'Loyalty - Effec - 15July'!$B$5:$C$17,2,0)*$AT52),120000))),0)</f>
        <v>0</v>
      </c>
      <c r="BF52" s="84">
        <f>ROUND(VLOOKUP($AR52,'Loyalty - Effec - 15July'!$B$5:$D$17,3,0)*$AT52,0)</f>
        <v>0</v>
      </c>
      <c r="BG52" s="85">
        <f t="shared" si="25"/>
        <v>0</v>
      </c>
      <c r="BH52" s="81">
        <f t="shared" si="26"/>
        <v>0</v>
      </c>
      <c r="BI52" s="85">
        <f t="shared" si="27"/>
        <v>0</v>
      </c>
      <c r="BJ52" s="85">
        <f t="shared" si="28"/>
        <v>0</v>
      </c>
      <c r="BK52" s="85">
        <f t="shared" si="29"/>
        <v>0</v>
      </c>
      <c r="BL52" s="85">
        <f t="shared" si="30"/>
        <v>0</v>
      </c>
      <c r="BM52" s="85">
        <f t="shared" si="31"/>
        <v>0</v>
      </c>
      <c r="BN52" s="85">
        <f t="shared" si="32"/>
        <v>0</v>
      </c>
      <c r="BO52" s="52" t="s">
        <v>86</v>
      </c>
      <c r="BP52" s="46">
        <v>3</v>
      </c>
      <c r="BQ52" s="46"/>
      <c r="BR52" s="47">
        <f t="shared" si="35"/>
        <v>0</v>
      </c>
      <c r="BU52" s="47">
        <f t="shared" si="33"/>
        <v>0</v>
      </c>
      <c r="BV52" s="53" t="s">
        <v>138</v>
      </c>
      <c r="BW52" s="53" t="s">
        <v>932</v>
      </c>
      <c r="BX52" s="53" t="s">
        <v>139</v>
      </c>
      <c r="BY52" s="53"/>
      <c r="BZ52" s="53"/>
    </row>
    <row r="53" spans="1:79">
      <c r="A53" s="42" t="s">
        <v>102</v>
      </c>
      <c r="B53" s="28" t="s">
        <v>79</v>
      </c>
      <c r="C53" s="28" t="s">
        <v>80</v>
      </c>
      <c r="D53" s="28" t="s">
        <v>932</v>
      </c>
      <c r="E53" s="43" t="s">
        <v>82</v>
      </c>
      <c r="F53" s="28" t="s">
        <v>901</v>
      </c>
      <c r="G53" s="44" t="s">
        <v>103</v>
      </c>
      <c r="H53" s="45">
        <v>43607</v>
      </c>
      <c r="I53" s="46" t="s">
        <v>1034</v>
      </c>
      <c r="J53" s="28">
        <v>5</v>
      </c>
      <c r="K53" s="28" t="s">
        <v>863</v>
      </c>
      <c r="L53" s="28" t="s">
        <v>878</v>
      </c>
      <c r="M53" s="28" t="s">
        <v>2</v>
      </c>
      <c r="N53" s="28" t="str">
        <f t="shared" si="2"/>
        <v>AE4</v>
      </c>
      <c r="O53" s="81"/>
      <c r="P53" s="81">
        <f t="shared" si="3"/>
        <v>0</v>
      </c>
      <c r="Q53" s="81">
        <f t="shared" si="4"/>
        <v>0</v>
      </c>
      <c r="R53" s="81">
        <f t="shared" si="5"/>
        <v>0</v>
      </c>
      <c r="S53" s="81"/>
      <c r="T53" s="82">
        <f t="shared" si="6"/>
        <v>0</v>
      </c>
      <c r="U53" s="82">
        <f t="shared" si="7"/>
        <v>0</v>
      </c>
      <c r="V53" s="82">
        <f t="shared" si="8"/>
        <v>0</v>
      </c>
      <c r="W53" s="83">
        <v>0</v>
      </c>
      <c r="X53" s="83">
        <v>0</v>
      </c>
      <c r="Y53" s="83">
        <v>0</v>
      </c>
      <c r="Z53" s="84">
        <f>ROUND((IF(($O53&lt;=700000),0,IF(((VLOOKUP($M53,'Loyalty - Effec - 15July'!$B$5:$C$17,2,0)*$O53)&lt;=120000),(VLOOKUP($M53,'Loyalty - Effec - 15July'!$B$5:$C$17,2,0)*$O53),120000))),0)</f>
        <v>0</v>
      </c>
      <c r="AA53" s="84">
        <f>ROUND(VLOOKUP($M53,'Loyalty - Effec - 15July'!$B$5:$D$17,3,0)*$O53,0)</f>
        <v>0</v>
      </c>
      <c r="AB53" s="85">
        <f t="shared" si="9"/>
        <v>0</v>
      </c>
      <c r="AC53" s="86">
        <f t="shared" si="10"/>
        <v>0</v>
      </c>
      <c r="AD53" s="87">
        <f t="shared" si="11"/>
        <v>0</v>
      </c>
      <c r="AE53" s="88">
        <f t="shared" si="12"/>
        <v>0</v>
      </c>
      <c r="AF53" s="88">
        <f t="shared" si="13"/>
        <v>0</v>
      </c>
      <c r="AG53" s="49" t="s">
        <v>349</v>
      </c>
      <c r="AH53" s="49" t="s">
        <v>774</v>
      </c>
      <c r="AI53" s="50"/>
      <c r="AJ53" s="46"/>
      <c r="AK53" s="46"/>
      <c r="AL53" s="46"/>
      <c r="AM53" s="51">
        <f>IF($AL53=4,VLOOKUP($AR53,'Loyalty Incentive v1'!$L$3:$Q$15,2,FALSE),
IF($AL53=3,VLOOKUP($AR53,'Loyalty Incentive v1'!$L$3:$Q$15,3,FALSE),
IF($AL53=2,VLOOKUP($AR53,'Loyalty Incentive v1'!$L$3:$Q$15,4,FALSE),
IF($AL53=1,VLOOKUP($AR53,'Loyalty Incentive v1'!$L$3:$Q$15,5,FALSE),
IF($AL53=0,VLOOKUP($AR53,'Loyalty Incentive v1'!$L$3:$Q$15,6,FALSE),0)))))</f>
        <v>0</v>
      </c>
      <c r="AN53" s="51">
        <f>IFERROR(IF(I53&gt;="1",AM53,VLOOKUP(VALUE(I53),'Loyalty - Effec - 15July'!$I$5:$J$16,2,0)*AM53),0)</f>
        <v>0</v>
      </c>
      <c r="AO53" s="51">
        <v>0</v>
      </c>
      <c r="AP53" s="51">
        <f t="shared" si="14"/>
        <v>0</v>
      </c>
      <c r="AQ53" s="46" t="str">
        <f t="shared" si="15"/>
        <v>No</v>
      </c>
      <c r="AR53" s="46" t="str">
        <f t="shared" si="16"/>
        <v>AE4</v>
      </c>
      <c r="AS53" s="46" t="b">
        <f t="shared" si="17"/>
        <v>1</v>
      </c>
      <c r="AT53" s="82">
        <f t="shared" si="18"/>
        <v>0</v>
      </c>
      <c r="AU53" s="82">
        <f t="shared" si="19"/>
        <v>0</v>
      </c>
      <c r="AV53" s="82">
        <f t="shared" si="20"/>
        <v>0</v>
      </c>
      <c r="AW53" s="82">
        <f t="shared" si="21"/>
        <v>0</v>
      </c>
      <c r="AX53" s="85"/>
      <c r="AY53" s="82">
        <f t="shared" si="22"/>
        <v>0</v>
      </c>
      <c r="AZ53" s="82">
        <f t="shared" si="23"/>
        <v>0</v>
      </c>
      <c r="BA53" s="82">
        <f t="shared" si="24"/>
        <v>0</v>
      </c>
      <c r="BB53" s="83">
        <v>0</v>
      </c>
      <c r="BC53" s="83">
        <v>0</v>
      </c>
      <c r="BD53" s="83">
        <v>0</v>
      </c>
      <c r="BE53" s="84">
        <f>ROUND((IF(($AT53&lt;=700000),0,IF(((VLOOKUP($AR53,'Loyalty - Effec - 15July'!$B$5:$C$17,2,0)*$AT53)&lt;=120000),(VLOOKUP($AR53,'Loyalty - Effec - 15July'!$B$5:$C$17,2,0)*$AT53),120000))),0)</f>
        <v>0</v>
      </c>
      <c r="BF53" s="84">
        <f>ROUND(VLOOKUP($AR53,'Loyalty - Effec - 15July'!$B$5:$D$17,3,0)*$AT53,0)</f>
        <v>0</v>
      </c>
      <c r="BG53" s="85">
        <f t="shared" si="25"/>
        <v>0</v>
      </c>
      <c r="BH53" s="81">
        <f t="shared" si="26"/>
        <v>0</v>
      </c>
      <c r="BI53" s="85">
        <f t="shared" si="27"/>
        <v>0</v>
      </c>
      <c r="BJ53" s="85">
        <f t="shared" si="28"/>
        <v>0</v>
      </c>
      <c r="BK53" s="85">
        <f t="shared" si="29"/>
        <v>0</v>
      </c>
      <c r="BL53" s="85">
        <f t="shared" si="30"/>
        <v>0</v>
      </c>
      <c r="BM53" s="85">
        <f t="shared" si="31"/>
        <v>0</v>
      </c>
      <c r="BN53" s="85">
        <f t="shared" si="32"/>
        <v>0</v>
      </c>
      <c r="BO53" s="52" t="s">
        <v>86</v>
      </c>
      <c r="BP53" s="46">
        <v>3</v>
      </c>
      <c r="BQ53" s="46"/>
      <c r="BR53" s="47">
        <f t="shared" si="35"/>
        <v>0</v>
      </c>
      <c r="BU53" s="47">
        <f t="shared" si="33"/>
        <v>0</v>
      </c>
      <c r="BV53" s="53" t="s">
        <v>102</v>
      </c>
      <c r="BW53" s="53" t="s">
        <v>932</v>
      </c>
      <c r="BX53" s="53" t="s">
        <v>103</v>
      </c>
      <c r="BY53" s="53"/>
      <c r="BZ53" s="53"/>
    </row>
    <row r="54" spans="1:79">
      <c r="A54" s="42" t="s">
        <v>207</v>
      </c>
      <c r="B54" s="28" t="s">
        <v>79</v>
      </c>
      <c r="C54" s="28" t="s">
        <v>80</v>
      </c>
      <c r="D54" s="28" t="s">
        <v>81</v>
      </c>
      <c r="E54" s="43" t="s">
        <v>82</v>
      </c>
      <c r="F54" s="28" t="s">
        <v>901</v>
      </c>
      <c r="G54" s="44" t="s">
        <v>208</v>
      </c>
      <c r="H54" s="45">
        <v>43794</v>
      </c>
      <c r="I54" s="28" t="s">
        <v>1035</v>
      </c>
      <c r="J54" s="28">
        <v>3</v>
      </c>
      <c r="K54" s="28" t="s">
        <v>863</v>
      </c>
      <c r="L54" s="28" t="s">
        <v>879</v>
      </c>
      <c r="M54" s="28" t="s">
        <v>2</v>
      </c>
      <c r="N54" s="28" t="str">
        <f t="shared" si="2"/>
        <v>AE4</v>
      </c>
      <c r="O54" s="81"/>
      <c r="P54" s="81">
        <f t="shared" si="3"/>
        <v>0</v>
      </c>
      <c r="Q54" s="81">
        <f t="shared" si="4"/>
        <v>0</v>
      </c>
      <c r="R54" s="81">
        <f t="shared" si="5"/>
        <v>0</v>
      </c>
      <c r="S54" s="81"/>
      <c r="T54" s="82">
        <f t="shared" si="6"/>
        <v>0</v>
      </c>
      <c r="U54" s="82">
        <f t="shared" si="7"/>
        <v>0</v>
      </c>
      <c r="V54" s="82">
        <f t="shared" si="8"/>
        <v>0</v>
      </c>
      <c r="W54" s="83">
        <v>0</v>
      </c>
      <c r="X54" s="83">
        <v>0</v>
      </c>
      <c r="Y54" s="83">
        <v>0</v>
      </c>
      <c r="Z54" s="84">
        <f>ROUND((IF(($O54&lt;=700000),0,IF(((VLOOKUP($M54,'Loyalty - Effec - 15July'!$B$5:$C$17,2,0)*$O54)&lt;=120000),(VLOOKUP($M54,'Loyalty - Effec - 15July'!$B$5:$C$17,2,0)*$O54),120000))),0)</f>
        <v>0</v>
      </c>
      <c r="AA54" s="84">
        <f>ROUND(VLOOKUP($M54,'Loyalty - Effec - 15July'!$B$5:$D$17,3,0)*$O54,0)</f>
        <v>0</v>
      </c>
      <c r="AB54" s="85">
        <f t="shared" si="9"/>
        <v>0</v>
      </c>
      <c r="AC54" s="86">
        <f t="shared" si="10"/>
        <v>0</v>
      </c>
      <c r="AD54" s="87">
        <f t="shared" si="11"/>
        <v>0</v>
      </c>
      <c r="AE54" s="88">
        <f t="shared" si="12"/>
        <v>0</v>
      </c>
      <c r="AF54" s="88">
        <f t="shared" si="13"/>
        <v>0</v>
      </c>
      <c r="AG54" s="49" t="s">
        <v>911</v>
      </c>
      <c r="AH54" s="49" t="s">
        <v>774</v>
      </c>
      <c r="AI54" s="50"/>
      <c r="AJ54" s="50"/>
      <c r="AK54" s="50"/>
      <c r="AL54" s="46"/>
      <c r="AM54" s="51">
        <f>IF($AL54=4,VLOOKUP($AR54,'Loyalty Incentive v1'!$L$3:$Q$15,2,FALSE),
IF($AL54=3,VLOOKUP($AR54,'Loyalty Incentive v1'!$L$3:$Q$15,3,FALSE),
IF($AL54=2,VLOOKUP($AR54,'Loyalty Incentive v1'!$L$3:$Q$15,4,FALSE),
IF($AL54=1,VLOOKUP($AR54,'Loyalty Incentive v1'!$L$3:$Q$15,5,FALSE),
IF($AL54=0,VLOOKUP($AR54,'Loyalty Incentive v1'!$L$3:$Q$15,6,FALSE),0)))))</f>
        <v>0</v>
      </c>
      <c r="AN54" s="51">
        <f>IFERROR(IF(I54&gt;="1",AM54,VLOOKUP(VALUE(I54),'Loyalty - Effec - 15July'!$I$5:$J$16,2,0)*AM54),0)</f>
        <v>0</v>
      </c>
      <c r="AO54" s="51">
        <v>0</v>
      </c>
      <c r="AP54" s="51">
        <f t="shared" si="14"/>
        <v>0</v>
      </c>
      <c r="AQ54" s="46" t="str">
        <f t="shared" si="15"/>
        <v>Yes</v>
      </c>
      <c r="AR54" s="57" t="s">
        <v>3</v>
      </c>
      <c r="AS54" s="46" t="b">
        <f t="shared" si="17"/>
        <v>0</v>
      </c>
      <c r="AT54" s="82">
        <f t="shared" si="18"/>
        <v>0</v>
      </c>
      <c r="AU54" s="82">
        <f t="shared" si="19"/>
        <v>0</v>
      </c>
      <c r="AV54" s="82">
        <f t="shared" si="20"/>
        <v>0</v>
      </c>
      <c r="AW54" s="82">
        <f t="shared" si="21"/>
        <v>0</v>
      </c>
      <c r="AX54" s="85"/>
      <c r="AY54" s="82">
        <f t="shared" si="22"/>
        <v>0</v>
      </c>
      <c r="AZ54" s="82">
        <f t="shared" si="23"/>
        <v>0</v>
      </c>
      <c r="BA54" s="82">
        <f t="shared" si="24"/>
        <v>0</v>
      </c>
      <c r="BB54" s="83">
        <v>0</v>
      </c>
      <c r="BC54" s="83">
        <v>0</v>
      </c>
      <c r="BD54" s="83">
        <v>0</v>
      </c>
      <c r="BE54" s="84">
        <f>ROUND((IF(($AT54&lt;=700000),0,IF(((VLOOKUP($AR54,'Loyalty - Effec - 15July'!$B$5:$C$17,2,0)*$AT54)&lt;=120000),(VLOOKUP($AR54,'Loyalty - Effec - 15July'!$B$5:$C$17,2,0)*$AT54),120000))),0)</f>
        <v>0</v>
      </c>
      <c r="BF54" s="84">
        <f>ROUND(VLOOKUP($AR54,'Loyalty - Effec - 15July'!$B$5:$D$17,3,0)*$AT54,0)</f>
        <v>0</v>
      </c>
      <c r="BG54" s="85">
        <f t="shared" si="25"/>
        <v>0</v>
      </c>
      <c r="BH54" s="81">
        <f t="shared" si="26"/>
        <v>0</v>
      </c>
      <c r="BI54" s="85">
        <f t="shared" si="27"/>
        <v>0</v>
      </c>
      <c r="BJ54" s="85">
        <f t="shared" si="28"/>
        <v>0</v>
      </c>
      <c r="BK54" s="85">
        <f t="shared" si="29"/>
        <v>0</v>
      </c>
      <c r="BL54" s="85">
        <f t="shared" si="30"/>
        <v>0</v>
      </c>
      <c r="BM54" s="85">
        <f t="shared" si="31"/>
        <v>0</v>
      </c>
      <c r="BN54" s="85">
        <f t="shared" si="32"/>
        <v>0</v>
      </c>
      <c r="BO54" s="52" t="s">
        <v>86</v>
      </c>
      <c r="BP54" s="46">
        <v>4</v>
      </c>
      <c r="BQ54" s="46"/>
      <c r="BR54" s="47">
        <f t="shared" si="35"/>
        <v>0</v>
      </c>
      <c r="BS54" s="46">
        <v>4</v>
      </c>
      <c r="BT54" s="54">
        <v>0.27100000000000002</v>
      </c>
      <c r="BU54" s="47">
        <f t="shared" si="33"/>
        <v>0</v>
      </c>
      <c r="BV54" s="53" t="s">
        <v>207</v>
      </c>
      <c r="BW54" s="53" t="s">
        <v>81</v>
      </c>
      <c r="BX54" s="53" t="s">
        <v>208</v>
      </c>
      <c r="BY54" s="53"/>
      <c r="BZ54" s="53"/>
      <c r="CA54" s="55"/>
    </row>
    <row r="55" spans="1:79">
      <c r="A55" s="42" t="s">
        <v>223</v>
      </c>
      <c r="B55" s="28" t="s">
        <v>79</v>
      </c>
      <c r="C55" s="28" t="s">
        <v>80</v>
      </c>
      <c r="D55" s="28" t="s">
        <v>932</v>
      </c>
      <c r="E55" s="43" t="s">
        <v>82</v>
      </c>
      <c r="F55" s="28" t="s">
        <v>901</v>
      </c>
      <c r="G55" s="44" t="s">
        <v>224</v>
      </c>
      <c r="H55" s="45">
        <v>43801</v>
      </c>
      <c r="I55" s="46" t="s">
        <v>977</v>
      </c>
      <c r="J55" s="28">
        <v>4</v>
      </c>
      <c r="K55" s="28" t="s">
        <v>93</v>
      </c>
      <c r="L55" s="28" t="s">
        <v>94</v>
      </c>
      <c r="M55" s="28" t="s">
        <v>1</v>
      </c>
      <c r="N55" s="28" t="str">
        <f t="shared" si="2"/>
        <v>AE3</v>
      </c>
      <c r="O55" s="81"/>
      <c r="P55" s="81">
        <f t="shared" si="3"/>
        <v>0</v>
      </c>
      <c r="Q55" s="81">
        <f t="shared" si="4"/>
        <v>0</v>
      </c>
      <c r="R55" s="81">
        <f t="shared" si="5"/>
        <v>0</v>
      </c>
      <c r="S55" s="81"/>
      <c r="T55" s="82">
        <f t="shared" si="6"/>
        <v>0</v>
      </c>
      <c r="U55" s="82">
        <f t="shared" si="7"/>
        <v>0</v>
      </c>
      <c r="V55" s="82">
        <f t="shared" si="8"/>
        <v>0</v>
      </c>
      <c r="W55" s="83">
        <v>0</v>
      </c>
      <c r="X55" s="83">
        <v>0</v>
      </c>
      <c r="Y55" s="83">
        <v>0</v>
      </c>
      <c r="Z55" s="84">
        <f>ROUND((IF(($O55&lt;=700000),0,IF(((VLOOKUP($M55,'Loyalty - Effec - 15July'!$B$5:$C$17,2,0)*$O55)&lt;=120000),(VLOOKUP($M55,'Loyalty - Effec - 15July'!$B$5:$C$17,2,0)*$O55),120000))),0)</f>
        <v>0</v>
      </c>
      <c r="AA55" s="84">
        <f>ROUND(VLOOKUP($M55,'Loyalty - Effec - 15July'!$B$5:$D$17,3,0)*$O55,0)</f>
        <v>0</v>
      </c>
      <c r="AB55" s="85">
        <f t="shared" si="9"/>
        <v>0</v>
      </c>
      <c r="AC55" s="86">
        <f t="shared" si="10"/>
        <v>0</v>
      </c>
      <c r="AD55" s="87">
        <f t="shared" si="11"/>
        <v>0</v>
      </c>
      <c r="AE55" s="88">
        <f t="shared" si="12"/>
        <v>0</v>
      </c>
      <c r="AF55" s="88">
        <f t="shared" si="13"/>
        <v>0</v>
      </c>
      <c r="AG55" s="49" t="s">
        <v>135</v>
      </c>
      <c r="AH55" s="49" t="s">
        <v>910</v>
      </c>
      <c r="AI55" s="50"/>
      <c r="AJ55" s="46"/>
      <c r="AK55" s="46"/>
      <c r="AL55" s="46"/>
      <c r="AM55" s="51">
        <f>IF($AL55=4,VLOOKUP($AR55,'Loyalty Incentive v1'!$L$3:$Q$15,2,FALSE),
IF($AL55=3,VLOOKUP($AR55,'Loyalty Incentive v1'!$L$3:$Q$15,3,FALSE),
IF($AL55=2,VLOOKUP($AR55,'Loyalty Incentive v1'!$L$3:$Q$15,4,FALSE),
IF($AL55=1,VLOOKUP($AR55,'Loyalty Incentive v1'!$L$3:$Q$15,5,FALSE),
IF($AL55=0,VLOOKUP($AR55,'Loyalty Incentive v1'!$L$3:$Q$15,6,FALSE),0)))))</f>
        <v>0</v>
      </c>
      <c r="AN55" s="51">
        <f>IFERROR(IF(I55&gt;="1",AM55,VLOOKUP(VALUE(I55),'Loyalty - Effec - 15July'!$I$5:$J$16,2,0)*AM55),0)</f>
        <v>0</v>
      </c>
      <c r="AO55" s="51">
        <v>0</v>
      </c>
      <c r="AP55" s="51">
        <f t="shared" si="14"/>
        <v>0</v>
      </c>
      <c r="AQ55" s="46" t="str">
        <f t="shared" si="15"/>
        <v>No</v>
      </c>
      <c r="AR55" s="46" t="str">
        <f t="shared" si="16"/>
        <v>AE3</v>
      </c>
      <c r="AS55" s="46" t="b">
        <f t="shared" si="17"/>
        <v>1</v>
      </c>
      <c r="AT55" s="82">
        <f t="shared" si="18"/>
        <v>0</v>
      </c>
      <c r="AU55" s="82">
        <f t="shared" si="19"/>
        <v>0</v>
      </c>
      <c r="AV55" s="82">
        <f t="shared" si="20"/>
        <v>0</v>
      </c>
      <c r="AW55" s="82">
        <f t="shared" si="21"/>
        <v>0</v>
      </c>
      <c r="AX55" s="85"/>
      <c r="AY55" s="82">
        <f t="shared" si="22"/>
        <v>0</v>
      </c>
      <c r="AZ55" s="82">
        <f t="shared" si="23"/>
        <v>0</v>
      </c>
      <c r="BA55" s="82">
        <f t="shared" si="24"/>
        <v>0</v>
      </c>
      <c r="BB55" s="83">
        <v>0</v>
      </c>
      <c r="BC55" s="83">
        <v>0</v>
      </c>
      <c r="BD55" s="83">
        <v>0</v>
      </c>
      <c r="BE55" s="84">
        <f>ROUND((IF(($AT55&lt;=700000),0,IF(((VLOOKUP($AR55,'Loyalty - Effec - 15July'!$B$5:$C$17,2,0)*$AT55)&lt;=120000),(VLOOKUP($AR55,'Loyalty - Effec - 15July'!$B$5:$C$17,2,0)*$AT55),120000))),0)</f>
        <v>0</v>
      </c>
      <c r="BF55" s="84">
        <f>ROUND(VLOOKUP($AR55,'Loyalty - Effec - 15July'!$B$5:$D$17,3,0)*$AT55,0)</f>
        <v>0</v>
      </c>
      <c r="BG55" s="85">
        <f t="shared" si="25"/>
        <v>0</v>
      </c>
      <c r="BH55" s="81">
        <f t="shared" si="26"/>
        <v>0</v>
      </c>
      <c r="BI55" s="85">
        <f t="shared" si="27"/>
        <v>0</v>
      </c>
      <c r="BJ55" s="85">
        <f t="shared" si="28"/>
        <v>0</v>
      </c>
      <c r="BK55" s="85">
        <f t="shared" si="29"/>
        <v>0</v>
      </c>
      <c r="BL55" s="85">
        <f t="shared" si="30"/>
        <v>0</v>
      </c>
      <c r="BM55" s="85">
        <f t="shared" si="31"/>
        <v>0</v>
      </c>
      <c r="BN55" s="85">
        <f t="shared" si="32"/>
        <v>0</v>
      </c>
      <c r="BO55" s="52" t="s">
        <v>85</v>
      </c>
      <c r="BP55" s="46">
        <v>2</v>
      </c>
      <c r="BQ55" s="46"/>
      <c r="BR55" s="47">
        <f t="shared" si="35"/>
        <v>0</v>
      </c>
      <c r="BU55" s="47">
        <f t="shared" si="33"/>
        <v>0</v>
      </c>
      <c r="BV55" s="53" t="s">
        <v>223</v>
      </c>
      <c r="BW55" s="53" t="s">
        <v>932</v>
      </c>
      <c r="BX55" s="53" t="s">
        <v>224</v>
      </c>
      <c r="BY55" s="53"/>
      <c r="BZ55" s="53"/>
    </row>
    <row r="56" spans="1:79">
      <c r="A56" s="42" t="s">
        <v>191</v>
      </c>
      <c r="B56" s="28" t="s">
        <v>963</v>
      </c>
      <c r="C56" s="28" t="s">
        <v>80</v>
      </c>
      <c r="D56" s="28" t="s">
        <v>932</v>
      </c>
      <c r="E56" s="43" t="s">
        <v>82</v>
      </c>
      <c r="F56" s="28" t="s">
        <v>901</v>
      </c>
      <c r="G56" s="44" t="s">
        <v>192</v>
      </c>
      <c r="H56" s="45">
        <v>43817</v>
      </c>
      <c r="I56" s="46" t="s">
        <v>977</v>
      </c>
      <c r="J56" s="28">
        <v>0</v>
      </c>
      <c r="K56" s="28" t="s">
        <v>415</v>
      </c>
      <c r="L56" s="28" t="s">
        <v>193</v>
      </c>
      <c r="M56" s="28" t="s">
        <v>1</v>
      </c>
      <c r="N56" s="28" t="str">
        <f t="shared" si="2"/>
        <v>AE3</v>
      </c>
      <c r="O56" s="81"/>
      <c r="P56" s="81">
        <f t="shared" si="3"/>
        <v>0</v>
      </c>
      <c r="Q56" s="81">
        <f t="shared" si="4"/>
        <v>0</v>
      </c>
      <c r="R56" s="81">
        <f t="shared" si="5"/>
        <v>0</v>
      </c>
      <c r="S56" s="81"/>
      <c r="T56" s="82">
        <f t="shared" si="6"/>
        <v>0</v>
      </c>
      <c r="U56" s="82">
        <f t="shared" si="7"/>
        <v>0</v>
      </c>
      <c r="V56" s="82">
        <f t="shared" si="8"/>
        <v>0</v>
      </c>
      <c r="W56" s="83">
        <v>0</v>
      </c>
      <c r="X56" s="83">
        <v>0</v>
      </c>
      <c r="Y56" s="83">
        <v>0</v>
      </c>
      <c r="Z56" s="84">
        <f>ROUND((IF(($O56&lt;=700000),0,IF(((VLOOKUP($M56,'Loyalty - Effec - 15July'!$B$5:$C$17,2,0)*$O56)&lt;=120000),(VLOOKUP($M56,'Loyalty - Effec - 15July'!$B$5:$C$17,2,0)*$O56),120000))),0)</f>
        <v>0</v>
      </c>
      <c r="AA56" s="84">
        <f>ROUND(VLOOKUP($M56,'Loyalty - Effec - 15July'!$B$5:$D$17,3,0)*$O56,0)</f>
        <v>0</v>
      </c>
      <c r="AB56" s="85">
        <f t="shared" si="9"/>
        <v>0</v>
      </c>
      <c r="AC56" s="86">
        <f t="shared" si="10"/>
        <v>0</v>
      </c>
      <c r="AD56" s="87">
        <f t="shared" si="11"/>
        <v>0</v>
      </c>
      <c r="AE56" s="88">
        <f t="shared" si="12"/>
        <v>0</v>
      </c>
      <c r="AF56" s="88">
        <f t="shared" si="13"/>
        <v>0</v>
      </c>
      <c r="AG56" s="49" t="s">
        <v>914</v>
      </c>
      <c r="AH56" s="49" t="s">
        <v>908</v>
      </c>
      <c r="AI56" s="50"/>
      <c r="AJ56" s="46"/>
      <c r="AK56" s="46"/>
      <c r="AL56" s="46"/>
      <c r="AM56" s="51">
        <f>IF($AL56=4,VLOOKUP($AR56,'Loyalty Incentive v1'!$L$3:$Q$15,2,FALSE),
IF($AL56=3,VLOOKUP($AR56,'Loyalty Incentive v1'!$L$3:$Q$15,3,FALSE),
IF($AL56=2,VLOOKUP($AR56,'Loyalty Incentive v1'!$L$3:$Q$15,4,FALSE),
IF($AL56=1,VLOOKUP($AR56,'Loyalty Incentive v1'!$L$3:$Q$15,5,FALSE),
IF($AL56=0,VLOOKUP($AR56,'Loyalty Incentive v1'!$L$3:$Q$15,6,FALSE),0)))))</f>
        <v>0</v>
      </c>
      <c r="AN56" s="51">
        <f>IFERROR(IF(I56&gt;="1",AM56,VLOOKUP(VALUE(I56),'Loyalty - Effec - 15July'!$I$5:$J$16,2,0)*AM56),0)</f>
        <v>0</v>
      </c>
      <c r="AO56" s="58">
        <v>0</v>
      </c>
      <c r="AP56" s="51">
        <f t="shared" si="14"/>
        <v>0</v>
      </c>
      <c r="AQ56" s="46" t="str">
        <f t="shared" si="15"/>
        <v>No</v>
      </c>
      <c r="AR56" s="46" t="str">
        <f t="shared" si="16"/>
        <v>AE3</v>
      </c>
      <c r="AS56" s="46" t="b">
        <f t="shared" si="17"/>
        <v>1</v>
      </c>
      <c r="AT56" s="82">
        <f t="shared" si="18"/>
        <v>0</v>
      </c>
      <c r="AU56" s="82">
        <f t="shared" si="19"/>
        <v>0</v>
      </c>
      <c r="AV56" s="82">
        <f t="shared" si="20"/>
        <v>0</v>
      </c>
      <c r="AW56" s="82">
        <f t="shared" si="21"/>
        <v>0</v>
      </c>
      <c r="AX56" s="85"/>
      <c r="AY56" s="82">
        <f t="shared" si="22"/>
        <v>0</v>
      </c>
      <c r="AZ56" s="82">
        <f t="shared" si="23"/>
        <v>0</v>
      </c>
      <c r="BA56" s="82">
        <f t="shared" si="24"/>
        <v>0</v>
      </c>
      <c r="BB56" s="83">
        <v>0</v>
      </c>
      <c r="BC56" s="83">
        <v>0</v>
      </c>
      <c r="BD56" s="83">
        <v>0</v>
      </c>
      <c r="BE56" s="84">
        <f>ROUND((IF(($AT56&lt;=700000),0,IF(((VLOOKUP($AR56,'Loyalty - Effec - 15July'!$B$5:$C$17,2,0)*$AT56)&lt;=120000),(VLOOKUP($AR56,'Loyalty - Effec - 15July'!$B$5:$C$17,2,0)*$AT56),120000))),0)</f>
        <v>0</v>
      </c>
      <c r="BF56" s="84">
        <f>ROUND(VLOOKUP($AR56,'Loyalty - Effec - 15July'!$B$5:$D$17,3,0)*$AT56,0)</f>
        <v>0</v>
      </c>
      <c r="BG56" s="85">
        <f t="shared" si="25"/>
        <v>0</v>
      </c>
      <c r="BH56" s="81">
        <f t="shared" si="26"/>
        <v>0</v>
      </c>
      <c r="BI56" s="85">
        <f t="shared" si="27"/>
        <v>0</v>
      </c>
      <c r="BJ56" s="85">
        <f t="shared" si="28"/>
        <v>0</v>
      </c>
      <c r="BK56" s="85">
        <f t="shared" si="29"/>
        <v>0</v>
      </c>
      <c r="BL56" s="85">
        <f t="shared" si="30"/>
        <v>0</v>
      </c>
      <c r="BM56" s="85">
        <f t="shared" si="31"/>
        <v>0</v>
      </c>
      <c r="BN56" s="85">
        <f t="shared" si="32"/>
        <v>0</v>
      </c>
      <c r="BO56" s="52" t="s">
        <v>85</v>
      </c>
      <c r="BP56" s="46">
        <v>3</v>
      </c>
      <c r="BQ56" s="46"/>
      <c r="BR56" s="47">
        <f t="shared" si="35"/>
        <v>0</v>
      </c>
      <c r="BS56" s="46">
        <v>3</v>
      </c>
      <c r="BT56" s="54">
        <v>9.9999999999999992E-2</v>
      </c>
      <c r="BU56" s="47">
        <f t="shared" si="33"/>
        <v>0</v>
      </c>
      <c r="BV56" s="53" t="s">
        <v>191</v>
      </c>
      <c r="BW56" s="53" t="s">
        <v>932</v>
      </c>
      <c r="BX56" s="53" t="s">
        <v>192</v>
      </c>
      <c r="BY56" s="53"/>
      <c r="BZ56" s="53"/>
    </row>
    <row r="57" spans="1:79">
      <c r="A57" s="42" t="s">
        <v>194</v>
      </c>
      <c r="B57" s="28" t="s">
        <v>79</v>
      </c>
      <c r="C57" s="28" t="s">
        <v>80</v>
      </c>
      <c r="D57" s="28" t="s">
        <v>932</v>
      </c>
      <c r="E57" s="43" t="s">
        <v>82</v>
      </c>
      <c r="F57" s="28" t="s">
        <v>902</v>
      </c>
      <c r="G57" s="44" t="s">
        <v>195</v>
      </c>
      <c r="H57" s="45">
        <v>43822</v>
      </c>
      <c r="I57" s="46" t="s">
        <v>977</v>
      </c>
      <c r="J57" s="28">
        <v>0</v>
      </c>
      <c r="K57" s="28" t="s">
        <v>413</v>
      </c>
      <c r="L57" s="28" t="s">
        <v>880</v>
      </c>
      <c r="M57" s="28" t="s">
        <v>2</v>
      </c>
      <c r="N57" s="28" t="str">
        <f t="shared" si="2"/>
        <v>AE4</v>
      </c>
      <c r="O57" s="81"/>
      <c r="P57" s="81">
        <f t="shared" si="3"/>
        <v>0</v>
      </c>
      <c r="Q57" s="81">
        <f t="shared" si="4"/>
        <v>0</v>
      </c>
      <c r="R57" s="81">
        <f t="shared" si="5"/>
        <v>0</v>
      </c>
      <c r="S57" s="81"/>
      <c r="T57" s="82">
        <f t="shared" si="6"/>
        <v>0</v>
      </c>
      <c r="U57" s="82">
        <f t="shared" si="7"/>
        <v>0</v>
      </c>
      <c r="V57" s="82">
        <f t="shared" si="8"/>
        <v>0</v>
      </c>
      <c r="W57" s="83">
        <v>0</v>
      </c>
      <c r="X57" s="83">
        <v>0</v>
      </c>
      <c r="Y57" s="83">
        <v>0</v>
      </c>
      <c r="Z57" s="84">
        <f>ROUND((IF(($O57&lt;=700000),0,IF(((VLOOKUP($M57,'Loyalty - Effec - 15July'!$B$5:$C$17,2,0)*$O57)&lt;=120000),(VLOOKUP($M57,'Loyalty - Effec - 15July'!$B$5:$C$17,2,0)*$O57),120000))),0)</f>
        <v>0</v>
      </c>
      <c r="AA57" s="84">
        <f>ROUND(VLOOKUP($M57,'Loyalty - Effec - 15July'!$B$5:$D$17,3,0)*$O57,0)</f>
        <v>0</v>
      </c>
      <c r="AB57" s="85">
        <f t="shared" si="9"/>
        <v>0</v>
      </c>
      <c r="AC57" s="86">
        <f t="shared" si="10"/>
        <v>0</v>
      </c>
      <c r="AD57" s="87">
        <f t="shared" si="11"/>
        <v>0</v>
      </c>
      <c r="AE57" s="88">
        <f t="shared" si="12"/>
        <v>0</v>
      </c>
      <c r="AF57" s="88">
        <f t="shared" si="13"/>
        <v>0</v>
      </c>
      <c r="AG57" s="49" t="s">
        <v>170</v>
      </c>
      <c r="AH57" s="49" t="s">
        <v>909</v>
      </c>
      <c r="AI57" s="50"/>
      <c r="AJ57" s="46"/>
      <c r="AK57" s="46"/>
      <c r="AL57" s="46"/>
      <c r="AM57" s="51">
        <f>IF($AL57=4,VLOOKUP($AR57,'Loyalty Incentive v1'!$L$3:$Q$15,2,FALSE),
IF($AL57=3,VLOOKUP($AR57,'Loyalty Incentive v1'!$L$3:$Q$15,3,FALSE),
IF($AL57=2,VLOOKUP($AR57,'Loyalty Incentive v1'!$L$3:$Q$15,4,FALSE),
IF($AL57=1,VLOOKUP($AR57,'Loyalty Incentive v1'!$L$3:$Q$15,5,FALSE),
IF($AL57=0,VLOOKUP($AR57,'Loyalty Incentive v1'!$L$3:$Q$15,6,FALSE),0)))))</f>
        <v>0</v>
      </c>
      <c r="AN57" s="51">
        <f>IFERROR(IF(I57&gt;="1",AM57,VLOOKUP(VALUE(I57),'Loyalty - Effec - 15July'!$I$5:$J$16,2,0)*AM57),0)</f>
        <v>0</v>
      </c>
      <c r="AO57" s="51">
        <v>0</v>
      </c>
      <c r="AP57" s="51">
        <f t="shared" si="14"/>
        <v>0</v>
      </c>
      <c r="AQ57" s="46" t="str">
        <f t="shared" si="15"/>
        <v>No</v>
      </c>
      <c r="AR57" s="46" t="str">
        <f t="shared" si="16"/>
        <v>AE4</v>
      </c>
      <c r="AS57" s="46" t="b">
        <f t="shared" si="17"/>
        <v>1</v>
      </c>
      <c r="AT57" s="82">
        <f t="shared" si="18"/>
        <v>0</v>
      </c>
      <c r="AU57" s="82">
        <f t="shared" si="19"/>
        <v>0</v>
      </c>
      <c r="AV57" s="82">
        <f t="shared" si="20"/>
        <v>0</v>
      </c>
      <c r="AW57" s="82">
        <f t="shared" si="21"/>
        <v>0</v>
      </c>
      <c r="AX57" s="85"/>
      <c r="AY57" s="82">
        <f t="shared" si="22"/>
        <v>0</v>
      </c>
      <c r="AZ57" s="82">
        <f t="shared" si="23"/>
        <v>0</v>
      </c>
      <c r="BA57" s="82">
        <f t="shared" si="24"/>
        <v>0</v>
      </c>
      <c r="BB57" s="83">
        <v>0</v>
      </c>
      <c r="BC57" s="83">
        <v>0</v>
      </c>
      <c r="BD57" s="83">
        <v>0</v>
      </c>
      <c r="BE57" s="84">
        <f>ROUND((IF(($AT57&lt;=700000),0,IF(((VLOOKUP($AR57,'Loyalty - Effec - 15July'!$B$5:$C$17,2,0)*$AT57)&lt;=120000),(VLOOKUP($AR57,'Loyalty - Effec - 15July'!$B$5:$C$17,2,0)*$AT57),120000))),0)</f>
        <v>0</v>
      </c>
      <c r="BF57" s="84">
        <f>ROUND(VLOOKUP($AR57,'Loyalty - Effec - 15July'!$B$5:$D$17,3,0)*$AT57,0)</f>
        <v>0</v>
      </c>
      <c r="BG57" s="85">
        <f t="shared" si="25"/>
        <v>0</v>
      </c>
      <c r="BH57" s="81">
        <f t="shared" si="26"/>
        <v>0</v>
      </c>
      <c r="BI57" s="85">
        <f t="shared" si="27"/>
        <v>0</v>
      </c>
      <c r="BJ57" s="85">
        <f t="shared" si="28"/>
        <v>0</v>
      </c>
      <c r="BK57" s="85">
        <f t="shared" si="29"/>
        <v>0</v>
      </c>
      <c r="BL57" s="85">
        <f t="shared" si="30"/>
        <v>0</v>
      </c>
      <c r="BM57" s="85">
        <f t="shared" si="31"/>
        <v>0</v>
      </c>
      <c r="BN57" s="85">
        <f t="shared" si="32"/>
        <v>0</v>
      </c>
      <c r="BO57" s="52" t="s">
        <v>86</v>
      </c>
      <c r="BP57" s="46">
        <v>2</v>
      </c>
      <c r="BQ57" s="46"/>
      <c r="BR57" s="47">
        <f t="shared" si="35"/>
        <v>0</v>
      </c>
      <c r="BU57" s="47">
        <f t="shared" si="33"/>
        <v>0</v>
      </c>
      <c r="BV57" s="53" t="s">
        <v>194</v>
      </c>
      <c r="BW57" s="53" t="s">
        <v>932</v>
      </c>
      <c r="BX57" s="53" t="s">
        <v>195</v>
      </c>
      <c r="BY57" s="53"/>
      <c r="BZ57" s="53"/>
    </row>
    <row r="58" spans="1:79">
      <c r="A58" s="42" t="s">
        <v>217</v>
      </c>
      <c r="B58" s="28" t="s">
        <v>79</v>
      </c>
      <c r="C58" s="28" t="s">
        <v>80</v>
      </c>
      <c r="D58" s="28" t="s">
        <v>932</v>
      </c>
      <c r="E58" s="43" t="s">
        <v>82</v>
      </c>
      <c r="F58" s="28" t="s">
        <v>901</v>
      </c>
      <c r="G58" s="44" t="s">
        <v>218</v>
      </c>
      <c r="H58" s="45">
        <v>43838</v>
      </c>
      <c r="I58" s="46" t="s">
        <v>978</v>
      </c>
      <c r="J58" s="28">
        <v>0</v>
      </c>
      <c r="K58" s="28" t="s">
        <v>413</v>
      </c>
      <c r="L58" s="28" t="s">
        <v>875</v>
      </c>
      <c r="M58" s="28" t="s">
        <v>1</v>
      </c>
      <c r="N58" s="28" t="str">
        <f t="shared" si="2"/>
        <v>AE3</v>
      </c>
      <c r="O58" s="81"/>
      <c r="P58" s="81">
        <f t="shared" si="3"/>
        <v>0</v>
      </c>
      <c r="Q58" s="81">
        <f t="shared" si="4"/>
        <v>0</v>
      </c>
      <c r="R58" s="81">
        <f t="shared" si="5"/>
        <v>0</v>
      </c>
      <c r="S58" s="81"/>
      <c r="T58" s="82">
        <f t="shared" si="6"/>
        <v>0</v>
      </c>
      <c r="U58" s="82">
        <f t="shared" si="7"/>
        <v>0</v>
      </c>
      <c r="V58" s="82">
        <f t="shared" si="8"/>
        <v>0</v>
      </c>
      <c r="W58" s="83">
        <v>0</v>
      </c>
      <c r="X58" s="83">
        <v>0</v>
      </c>
      <c r="Y58" s="83">
        <v>0</v>
      </c>
      <c r="Z58" s="84">
        <f>ROUND((IF(($O58&lt;=700000),0,IF(((VLOOKUP($M58,'Loyalty - Effec - 15July'!$B$5:$C$17,2,0)*$O58)&lt;=120000),(VLOOKUP($M58,'Loyalty - Effec - 15July'!$B$5:$C$17,2,0)*$O58),120000))),0)</f>
        <v>0</v>
      </c>
      <c r="AA58" s="84">
        <f>ROUND(VLOOKUP($M58,'Loyalty - Effec - 15July'!$B$5:$D$17,3,0)*$O58,0)</f>
        <v>0</v>
      </c>
      <c r="AB58" s="85">
        <f t="shared" si="9"/>
        <v>0</v>
      </c>
      <c r="AC58" s="86">
        <f t="shared" si="10"/>
        <v>0</v>
      </c>
      <c r="AD58" s="87">
        <f t="shared" si="11"/>
        <v>0</v>
      </c>
      <c r="AE58" s="88">
        <f t="shared" si="12"/>
        <v>0</v>
      </c>
      <c r="AF58" s="88">
        <f t="shared" si="13"/>
        <v>0</v>
      </c>
      <c r="AG58" s="49" t="s">
        <v>228</v>
      </c>
      <c r="AH58" s="49" t="s">
        <v>126</v>
      </c>
      <c r="AI58" s="50"/>
      <c r="AJ58" s="46"/>
      <c r="AK58" s="46"/>
      <c r="AL58" s="46"/>
      <c r="AM58" s="51">
        <f>IF($AL58=4,VLOOKUP($AR58,'Loyalty Incentive v1'!$L$3:$Q$15,2,FALSE),
IF($AL58=3,VLOOKUP($AR58,'Loyalty Incentive v1'!$L$3:$Q$15,3,FALSE),
IF($AL58=2,VLOOKUP($AR58,'Loyalty Incentive v1'!$L$3:$Q$15,4,FALSE),
IF($AL58=1,VLOOKUP($AR58,'Loyalty Incentive v1'!$L$3:$Q$15,5,FALSE),
IF($AL58=0,VLOOKUP($AR58,'Loyalty Incentive v1'!$L$3:$Q$15,6,FALSE),0)))))</f>
        <v>0</v>
      </c>
      <c r="AN58" s="51">
        <f>IFERROR(IF(I58&gt;="1",AM58,VLOOKUP(VALUE(I58),'Loyalty - Effec - 15July'!$I$5:$J$16,2,0)*AM58),0)</f>
        <v>0</v>
      </c>
      <c r="AO58" s="51">
        <v>0</v>
      </c>
      <c r="AP58" s="51">
        <f t="shared" si="14"/>
        <v>0</v>
      </c>
      <c r="AQ58" s="46" t="str">
        <f t="shared" si="15"/>
        <v>No</v>
      </c>
      <c r="AR58" s="46" t="str">
        <f t="shared" si="16"/>
        <v>AE3</v>
      </c>
      <c r="AS58" s="46" t="b">
        <f t="shared" si="17"/>
        <v>1</v>
      </c>
      <c r="AT58" s="82">
        <f t="shared" si="18"/>
        <v>0</v>
      </c>
      <c r="AU58" s="82">
        <f t="shared" si="19"/>
        <v>0</v>
      </c>
      <c r="AV58" s="82">
        <f t="shared" si="20"/>
        <v>0</v>
      </c>
      <c r="AW58" s="82">
        <f t="shared" si="21"/>
        <v>0</v>
      </c>
      <c r="AX58" s="85"/>
      <c r="AY58" s="82">
        <f t="shared" si="22"/>
        <v>0</v>
      </c>
      <c r="AZ58" s="82">
        <f t="shared" si="23"/>
        <v>0</v>
      </c>
      <c r="BA58" s="82">
        <f t="shared" si="24"/>
        <v>0</v>
      </c>
      <c r="BB58" s="83">
        <v>0</v>
      </c>
      <c r="BC58" s="83">
        <v>0</v>
      </c>
      <c r="BD58" s="83">
        <v>0</v>
      </c>
      <c r="BE58" s="84">
        <f>ROUND((IF(($AT58&lt;=700000),0,IF(((VLOOKUP($AR58,'Loyalty - Effec - 15July'!$B$5:$C$17,2,0)*$AT58)&lt;=120000),(VLOOKUP($AR58,'Loyalty - Effec - 15July'!$B$5:$C$17,2,0)*$AT58),120000))),0)</f>
        <v>0</v>
      </c>
      <c r="BF58" s="84">
        <f>ROUND(VLOOKUP($AR58,'Loyalty - Effec - 15July'!$B$5:$D$17,3,0)*$AT58,0)</f>
        <v>0</v>
      </c>
      <c r="BG58" s="85">
        <f t="shared" si="25"/>
        <v>0</v>
      </c>
      <c r="BH58" s="81">
        <f t="shared" si="26"/>
        <v>0</v>
      </c>
      <c r="BI58" s="85">
        <f t="shared" si="27"/>
        <v>0</v>
      </c>
      <c r="BJ58" s="85">
        <f t="shared" si="28"/>
        <v>0</v>
      </c>
      <c r="BK58" s="85">
        <f t="shared" si="29"/>
        <v>0</v>
      </c>
      <c r="BL58" s="85">
        <f t="shared" si="30"/>
        <v>0</v>
      </c>
      <c r="BM58" s="85">
        <f t="shared" si="31"/>
        <v>0</v>
      </c>
      <c r="BN58" s="85">
        <f t="shared" si="32"/>
        <v>0</v>
      </c>
      <c r="BO58" s="52" t="s">
        <v>85</v>
      </c>
      <c r="BP58" s="46">
        <v>2</v>
      </c>
      <c r="BQ58" s="46"/>
      <c r="BR58" s="47">
        <f t="shared" si="35"/>
        <v>0</v>
      </c>
      <c r="BU58" s="47">
        <f t="shared" si="33"/>
        <v>0</v>
      </c>
      <c r="BV58" s="53" t="s">
        <v>217</v>
      </c>
      <c r="BW58" s="53" t="s">
        <v>932</v>
      </c>
      <c r="BX58" s="53" t="s">
        <v>218</v>
      </c>
      <c r="BY58" s="53"/>
      <c r="BZ58" s="53"/>
    </row>
    <row r="59" spans="1:79">
      <c r="A59" s="42" t="s">
        <v>197</v>
      </c>
      <c r="B59" s="28" t="s">
        <v>79</v>
      </c>
      <c r="C59" s="28" t="s">
        <v>80</v>
      </c>
      <c r="D59" s="28" t="s">
        <v>932</v>
      </c>
      <c r="E59" s="43" t="s">
        <v>82</v>
      </c>
      <c r="F59" s="28" t="s">
        <v>901</v>
      </c>
      <c r="G59" s="44" t="s">
        <v>198</v>
      </c>
      <c r="H59" s="45">
        <v>43850</v>
      </c>
      <c r="I59" s="46" t="s">
        <v>978</v>
      </c>
      <c r="J59" s="28">
        <v>0</v>
      </c>
      <c r="K59" s="28" t="s">
        <v>863</v>
      </c>
      <c r="L59" s="28" t="s">
        <v>865</v>
      </c>
      <c r="M59" s="28" t="s">
        <v>4</v>
      </c>
      <c r="N59" s="28" t="str">
        <f t="shared" si="2"/>
        <v>AE6</v>
      </c>
      <c r="O59" s="81"/>
      <c r="P59" s="81">
        <f t="shared" si="3"/>
        <v>0</v>
      </c>
      <c r="Q59" s="81">
        <f t="shared" si="4"/>
        <v>0</v>
      </c>
      <c r="R59" s="81">
        <f t="shared" si="5"/>
        <v>0</v>
      </c>
      <c r="S59" s="81"/>
      <c r="T59" s="82">
        <f t="shared" si="6"/>
        <v>0</v>
      </c>
      <c r="U59" s="82">
        <f t="shared" si="7"/>
        <v>0</v>
      </c>
      <c r="V59" s="82">
        <f t="shared" si="8"/>
        <v>0</v>
      </c>
      <c r="W59" s="83">
        <v>0</v>
      </c>
      <c r="X59" s="83">
        <v>0</v>
      </c>
      <c r="Y59" s="83">
        <v>0</v>
      </c>
      <c r="Z59" s="84">
        <f>ROUND((IF(($O59&lt;=700000),0,IF(((VLOOKUP($M59,'Loyalty - Effec - 15July'!$B$5:$C$17,2,0)*$O59)&lt;=120000),(VLOOKUP($M59,'Loyalty - Effec - 15July'!$B$5:$C$17,2,0)*$O59),120000))),0)</f>
        <v>0</v>
      </c>
      <c r="AA59" s="84">
        <f>ROUND(VLOOKUP($M59,'Loyalty - Effec - 15July'!$B$5:$D$17,3,0)*$O59,0)</f>
        <v>0</v>
      </c>
      <c r="AB59" s="85">
        <f t="shared" si="9"/>
        <v>0</v>
      </c>
      <c r="AC59" s="86">
        <f t="shared" si="10"/>
        <v>0</v>
      </c>
      <c r="AD59" s="87">
        <f t="shared" si="11"/>
        <v>0</v>
      </c>
      <c r="AE59" s="88">
        <f t="shared" si="12"/>
        <v>0</v>
      </c>
      <c r="AF59" s="88">
        <f t="shared" si="13"/>
        <v>0</v>
      </c>
      <c r="AG59" s="49" t="s">
        <v>909</v>
      </c>
      <c r="AH59" s="49" t="s">
        <v>809</v>
      </c>
      <c r="AI59" s="50"/>
      <c r="AJ59" s="46"/>
      <c r="AK59" s="46"/>
      <c r="AL59" s="46"/>
      <c r="AM59" s="51">
        <f>IF($AL59=4,VLOOKUP($AR59,'Loyalty Incentive v1'!$L$3:$Q$15,2,FALSE),
IF($AL59=3,VLOOKUP($AR59,'Loyalty Incentive v1'!$L$3:$Q$15,3,FALSE),
IF($AL59=2,VLOOKUP($AR59,'Loyalty Incentive v1'!$L$3:$Q$15,4,FALSE),
IF($AL59=1,VLOOKUP($AR59,'Loyalty Incentive v1'!$L$3:$Q$15,5,FALSE),
IF($AL59=0,VLOOKUP($AR59,'Loyalty Incentive v1'!$L$3:$Q$15,6,FALSE),0)))))</f>
        <v>0</v>
      </c>
      <c r="AN59" s="51">
        <f>IFERROR(IF(I59&gt;="1",AM59,VLOOKUP(VALUE(I59),'Loyalty - Effec - 15July'!$I$5:$J$16,2,0)*AM59),0)</f>
        <v>0</v>
      </c>
      <c r="AO59" s="51">
        <v>0</v>
      </c>
      <c r="AP59" s="51">
        <f t="shared" si="14"/>
        <v>0</v>
      </c>
      <c r="AQ59" s="46" t="str">
        <f t="shared" si="15"/>
        <v>No</v>
      </c>
      <c r="AR59" s="46" t="str">
        <f t="shared" si="16"/>
        <v>AE6</v>
      </c>
      <c r="AS59" s="46" t="b">
        <f t="shared" si="17"/>
        <v>1</v>
      </c>
      <c r="AT59" s="82">
        <f t="shared" si="18"/>
        <v>0</v>
      </c>
      <c r="AU59" s="82">
        <f t="shared" si="19"/>
        <v>0</v>
      </c>
      <c r="AV59" s="82">
        <f t="shared" si="20"/>
        <v>0</v>
      </c>
      <c r="AW59" s="82">
        <f t="shared" si="21"/>
        <v>0</v>
      </c>
      <c r="AX59" s="85"/>
      <c r="AY59" s="82">
        <f t="shared" si="22"/>
        <v>0</v>
      </c>
      <c r="AZ59" s="82">
        <f t="shared" si="23"/>
        <v>0</v>
      </c>
      <c r="BA59" s="82">
        <f t="shared" si="24"/>
        <v>0</v>
      </c>
      <c r="BB59" s="83">
        <v>0</v>
      </c>
      <c r="BC59" s="83">
        <v>0</v>
      </c>
      <c r="BD59" s="83">
        <v>0</v>
      </c>
      <c r="BE59" s="84">
        <f>ROUND((IF(($AT59&lt;=700000),0,IF(((VLOOKUP($AR59,'Loyalty - Effec - 15July'!$B$5:$C$17,2,0)*$AT59)&lt;=120000),(VLOOKUP($AR59,'Loyalty - Effec - 15July'!$B$5:$C$17,2,0)*$AT59),120000))),0)</f>
        <v>0</v>
      </c>
      <c r="BF59" s="84">
        <f>ROUND(VLOOKUP($AR59,'Loyalty - Effec - 15July'!$B$5:$D$17,3,0)*$AT59,0)</f>
        <v>0</v>
      </c>
      <c r="BG59" s="85">
        <f t="shared" si="25"/>
        <v>0</v>
      </c>
      <c r="BH59" s="81">
        <f t="shared" si="26"/>
        <v>0</v>
      </c>
      <c r="BI59" s="85">
        <f t="shared" si="27"/>
        <v>0</v>
      </c>
      <c r="BJ59" s="85">
        <f t="shared" si="28"/>
        <v>0</v>
      </c>
      <c r="BK59" s="85">
        <f t="shared" si="29"/>
        <v>0</v>
      </c>
      <c r="BL59" s="85">
        <f t="shared" si="30"/>
        <v>0</v>
      </c>
      <c r="BM59" s="85">
        <f t="shared" si="31"/>
        <v>0</v>
      </c>
      <c r="BN59" s="85">
        <f t="shared" si="32"/>
        <v>0</v>
      </c>
      <c r="BO59" s="52" t="s">
        <v>85</v>
      </c>
      <c r="BP59" s="46">
        <v>2</v>
      </c>
      <c r="BQ59" s="46"/>
      <c r="BR59" s="47">
        <f t="shared" si="35"/>
        <v>0</v>
      </c>
      <c r="BU59" s="47">
        <f t="shared" si="33"/>
        <v>0</v>
      </c>
      <c r="BV59" s="53" t="s">
        <v>197</v>
      </c>
      <c r="BW59" s="53" t="s">
        <v>932</v>
      </c>
      <c r="BX59" s="53" t="s">
        <v>198</v>
      </c>
      <c r="BY59" s="53"/>
      <c r="BZ59" s="53"/>
    </row>
    <row r="60" spans="1:79">
      <c r="A60" s="42" t="s">
        <v>199</v>
      </c>
      <c r="B60" s="28" t="s">
        <v>79</v>
      </c>
      <c r="C60" s="28" t="s">
        <v>80</v>
      </c>
      <c r="D60" s="28" t="s">
        <v>932</v>
      </c>
      <c r="E60" s="43" t="s">
        <v>82</v>
      </c>
      <c r="F60" s="28" t="s">
        <v>901</v>
      </c>
      <c r="G60" s="44" t="s">
        <v>200</v>
      </c>
      <c r="H60" s="45">
        <v>43858</v>
      </c>
      <c r="I60" s="46" t="s">
        <v>978</v>
      </c>
      <c r="J60" s="28">
        <v>0</v>
      </c>
      <c r="K60" s="28" t="s">
        <v>418</v>
      </c>
      <c r="L60" s="28" t="s">
        <v>416</v>
      </c>
      <c r="M60" s="28" t="s">
        <v>5</v>
      </c>
      <c r="N60" s="28" t="str">
        <f t="shared" si="2"/>
        <v>E1</v>
      </c>
      <c r="O60" s="81"/>
      <c r="P60" s="81">
        <f t="shared" si="3"/>
        <v>0</v>
      </c>
      <c r="Q60" s="81">
        <f t="shared" si="4"/>
        <v>0</v>
      </c>
      <c r="R60" s="81">
        <f t="shared" si="5"/>
        <v>0</v>
      </c>
      <c r="S60" s="81"/>
      <c r="T60" s="82">
        <f t="shared" si="6"/>
        <v>0</v>
      </c>
      <c r="U60" s="82">
        <f t="shared" si="7"/>
        <v>0</v>
      </c>
      <c r="V60" s="82">
        <f t="shared" si="8"/>
        <v>0</v>
      </c>
      <c r="W60" s="83">
        <v>0</v>
      </c>
      <c r="X60" s="83">
        <v>0</v>
      </c>
      <c r="Y60" s="83">
        <v>0</v>
      </c>
      <c r="Z60" s="84">
        <f>ROUND((IF(($O60&lt;=700000),0,IF(((VLOOKUP($M60,'Loyalty - Effec - 15July'!$B$5:$C$17,2,0)*$O60)&lt;=120000),(VLOOKUP($M60,'Loyalty - Effec - 15July'!$B$5:$C$17,2,0)*$O60),120000))),0)</f>
        <v>0</v>
      </c>
      <c r="AA60" s="84">
        <f>ROUND(VLOOKUP($M60,'Loyalty - Effec - 15July'!$B$5:$D$17,3,0)*$O60,0)</f>
        <v>0</v>
      </c>
      <c r="AB60" s="85">
        <f t="shared" si="9"/>
        <v>0</v>
      </c>
      <c r="AC60" s="86">
        <f t="shared" si="10"/>
        <v>0</v>
      </c>
      <c r="AD60" s="87">
        <f t="shared" si="11"/>
        <v>0</v>
      </c>
      <c r="AE60" s="88">
        <f t="shared" si="12"/>
        <v>0</v>
      </c>
      <c r="AF60" s="88">
        <f t="shared" si="13"/>
        <v>0</v>
      </c>
      <c r="AG60" s="49" t="s">
        <v>381</v>
      </c>
      <c r="AH60" s="49" t="s">
        <v>904</v>
      </c>
      <c r="AI60" s="50"/>
      <c r="AJ60" s="46"/>
      <c r="AK60" s="46"/>
      <c r="AL60" s="46"/>
      <c r="AM60" s="51">
        <f>IF($AL60=4,VLOOKUP($AR60,'Loyalty Incentive v1'!$L$3:$Q$15,2,FALSE),
IF($AL60=3,VLOOKUP($AR60,'Loyalty Incentive v1'!$L$3:$Q$15,3,FALSE),
IF($AL60=2,VLOOKUP($AR60,'Loyalty Incentive v1'!$L$3:$Q$15,4,FALSE),
IF($AL60=1,VLOOKUP($AR60,'Loyalty Incentive v1'!$L$3:$Q$15,5,FALSE),
IF($AL60=0,VLOOKUP($AR60,'Loyalty Incentive v1'!$L$3:$Q$15,6,FALSE),0)))))</f>
        <v>0</v>
      </c>
      <c r="AN60" s="51">
        <f>IFERROR(IF(I60&gt;="1",AM60,VLOOKUP(VALUE(I60),'Loyalty - Effec - 15July'!$I$5:$J$16,2,0)*AM60),0)</f>
        <v>0</v>
      </c>
      <c r="AO60" s="51">
        <v>0</v>
      </c>
      <c r="AP60" s="51">
        <f t="shared" si="14"/>
        <v>0</v>
      </c>
      <c r="AQ60" s="46" t="str">
        <f t="shared" si="15"/>
        <v>No</v>
      </c>
      <c r="AR60" s="46" t="str">
        <f t="shared" si="16"/>
        <v>E1</v>
      </c>
      <c r="AS60" s="46" t="b">
        <f t="shared" si="17"/>
        <v>1</v>
      </c>
      <c r="AT60" s="82">
        <f t="shared" si="18"/>
        <v>0</v>
      </c>
      <c r="AU60" s="82">
        <f t="shared" si="19"/>
        <v>0</v>
      </c>
      <c r="AV60" s="82">
        <f t="shared" si="20"/>
        <v>0</v>
      </c>
      <c r="AW60" s="82">
        <f t="shared" si="21"/>
        <v>0</v>
      </c>
      <c r="AX60" s="85"/>
      <c r="AY60" s="82">
        <f t="shared" si="22"/>
        <v>0</v>
      </c>
      <c r="AZ60" s="82">
        <f t="shared" si="23"/>
        <v>0</v>
      </c>
      <c r="BA60" s="82">
        <f t="shared" si="24"/>
        <v>0</v>
      </c>
      <c r="BB60" s="83">
        <v>0</v>
      </c>
      <c r="BC60" s="83">
        <v>0</v>
      </c>
      <c r="BD60" s="83">
        <v>0</v>
      </c>
      <c r="BE60" s="84">
        <f>ROUND((IF(($AT60&lt;=700000),0,IF(((VLOOKUP($AR60,'Loyalty - Effec - 15July'!$B$5:$C$17,2,0)*$AT60)&lt;=120000),(VLOOKUP($AR60,'Loyalty - Effec - 15July'!$B$5:$C$17,2,0)*$AT60),120000))),0)</f>
        <v>0</v>
      </c>
      <c r="BF60" s="84">
        <f>ROUND(VLOOKUP($AR60,'Loyalty - Effec - 15July'!$B$5:$D$17,3,0)*$AT60,0)</f>
        <v>0</v>
      </c>
      <c r="BG60" s="85">
        <f t="shared" si="25"/>
        <v>0</v>
      </c>
      <c r="BH60" s="81">
        <f t="shared" si="26"/>
        <v>0</v>
      </c>
      <c r="BI60" s="85">
        <f t="shared" si="27"/>
        <v>0</v>
      </c>
      <c r="BJ60" s="85">
        <f t="shared" si="28"/>
        <v>0</v>
      </c>
      <c r="BK60" s="85">
        <f t="shared" si="29"/>
        <v>0</v>
      </c>
      <c r="BL60" s="85">
        <f t="shared" si="30"/>
        <v>0</v>
      </c>
      <c r="BM60" s="85">
        <f t="shared" si="31"/>
        <v>0</v>
      </c>
      <c r="BN60" s="85">
        <f t="shared" si="32"/>
        <v>0</v>
      </c>
      <c r="BO60" s="52" t="s">
        <v>85</v>
      </c>
      <c r="BP60" s="46">
        <v>4</v>
      </c>
      <c r="BQ60" s="46"/>
      <c r="BR60" s="47">
        <f t="shared" si="35"/>
        <v>0</v>
      </c>
      <c r="BU60" s="47">
        <f t="shared" si="33"/>
        <v>0</v>
      </c>
      <c r="BV60" s="53" t="s">
        <v>199</v>
      </c>
      <c r="BW60" s="53" t="s">
        <v>932</v>
      </c>
      <c r="BX60" s="53" t="s">
        <v>200</v>
      </c>
      <c r="BY60" s="53"/>
      <c r="BZ60" s="53"/>
    </row>
    <row r="61" spans="1:79">
      <c r="A61" s="42" t="s">
        <v>117</v>
      </c>
      <c r="B61" s="28" t="s">
        <v>79</v>
      </c>
      <c r="C61" s="28" t="s">
        <v>80</v>
      </c>
      <c r="D61" s="28" t="s">
        <v>81</v>
      </c>
      <c r="E61" s="43" t="s">
        <v>82</v>
      </c>
      <c r="F61" s="28" t="s">
        <v>902</v>
      </c>
      <c r="G61" s="44" t="s">
        <v>118</v>
      </c>
      <c r="H61" s="45">
        <v>43864</v>
      </c>
      <c r="I61" s="28" t="s">
        <v>979</v>
      </c>
      <c r="J61" s="28">
        <v>3</v>
      </c>
      <c r="K61" s="28" t="s">
        <v>417</v>
      </c>
      <c r="L61" s="28" t="s">
        <v>872</v>
      </c>
      <c r="M61" s="28" t="s">
        <v>2</v>
      </c>
      <c r="N61" s="28" t="str">
        <f t="shared" si="2"/>
        <v>AE4</v>
      </c>
      <c r="O61" s="81"/>
      <c r="P61" s="81">
        <f t="shared" si="3"/>
        <v>0</v>
      </c>
      <c r="Q61" s="81">
        <f t="shared" si="4"/>
        <v>0</v>
      </c>
      <c r="R61" s="81">
        <f t="shared" si="5"/>
        <v>0</v>
      </c>
      <c r="S61" s="81"/>
      <c r="T61" s="82">
        <f t="shared" si="6"/>
        <v>0</v>
      </c>
      <c r="U61" s="82">
        <f t="shared" si="7"/>
        <v>0</v>
      </c>
      <c r="V61" s="82">
        <f t="shared" si="8"/>
        <v>0</v>
      </c>
      <c r="W61" s="83">
        <v>0</v>
      </c>
      <c r="X61" s="83">
        <v>0</v>
      </c>
      <c r="Y61" s="83">
        <v>0</v>
      </c>
      <c r="Z61" s="84">
        <f>ROUND((IF(($O61&lt;=700000),0,IF(((VLOOKUP($M61,'Loyalty - Effec - 15July'!$B$5:$C$17,2,0)*$O61)&lt;=120000),(VLOOKUP($M61,'Loyalty - Effec - 15July'!$B$5:$C$17,2,0)*$O61),120000))),0)</f>
        <v>0</v>
      </c>
      <c r="AA61" s="84">
        <f>ROUND(VLOOKUP($M61,'Loyalty - Effec - 15July'!$B$5:$D$17,3,0)*$O61,0)</f>
        <v>0</v>
      </c>
      <c r="AB61" s="85">
        <f t="shared" si="9"/>
        <v>0</v>
      </c>
      <c r="AC61" s="86">
        <f t="shared" si="10"/>
        <v>0</v>
      </c>
      <c r="AD61" s="87">
        <f t="shared" si="11"/>
        <v>0</v>
      </c>
      <c r="AE61" s="88">
        <f t="shared" si="12"/>
        <v>0</v>
      </c>
      <c r="AF61" s="88">
        <f t="shared" si="13"/>
        <v>0</v>
      </c>
      <c r="AG61" s="49" t="s">
        <v>165</v>
      </c>
      <c r="AH61" s="49" t="s">
        <v>928</v>
      </c>
      <c r="AI61" s="50"/>
      <c r="AJ61" s="50"/>
      <c r="AK61" s="50"/>
      <c r="AL61" s="46"/>
      <c r="AM61" s="51">
        <f>IF($AL61=4,VLOOKUP($AR61,'Loyalty Incentive v1'!$L$3:$Q$15,2,FALSE),
IF($AL61=3,VLOOKUP($AR61,'Loyalty Incentive v1'!$L$3:$Q$15,3,FALSE),
IF($AL61=2,VLOOKUP($AR61,'Loyalty Incentive v1'!$L$3:$Q$15,4,FALSE),
IF($AL61=1,VLOOKUP($AR61,'Loyalty Incentive v1'!$L$3:$Q$15,5,FALSE),
IF($AL61=0,VLOOKUP($AR61,'Loyalty Incentive v1'!$L$3:$Q$15,6,FALSE),0)))))</f>
        <v>0</v>
      </c>
      <c r="AN61" s="51">
        <f>IFERROR(IF(I61&gt;="1",AM61,VLOOKUP(VALUE(I61),'Loyalty - Effec - 15July'!$I$5:$J$16,2,0)*AM61),0)</f>
        <v>0</v>
      </c>
      <c r="AO61" s="51">
        <v>-7.0000000000000007E-2</v>
      </c>
      <c r="AP61" s="51">
        <f t="shared" si="14"/>
        <v>-7.0000000000000007E-2</v>
      </c>
      <c r="AQ61" s="46" t="str">
        <f t="shared" si="15"/>
        <v>Yes</v>
      </c>
      <c r="AR61" s="57" t="s">
        <v>3</v>
      </c>
      <c r="AS61" s="46" t="b">
        <f t="shared" si="17"/>
        <v>0</v>
      </c>
      <c r="AT61" s="82">
        <f t="shared" si="18"/>
        <v>0</v>
      </c>
      <c r="AU61" s="82">
        <f t="shared" si="19"/>
        <v>0</v>
      </c>
      <c r="AV61" s="82">
        <f t="shared" si="20"/>
        <v>0</v>
      </c>
      <c r="AW61" s="82">
        <f t="shared" si="21"/>
        <v>0</v>
      </c>
      <c r="AX61" s="85"/>
      <c r="AY61" s="82">
        <f t="shared" si="22"/>
        <v>0</v>
      </c>
      <c r="AZ61" s="82">
        <f t="shared" si="23"/>
        <v>0</v>
      </c>
      <c r="BA61" s="82">
        <f t="shared" si="24"/>
        <v>0</v>
      </c>
      <c r="BB61" s="83">
        <v>0</v>
      </c>
      <c r="BC61" s="83">
        <v>0</v>
      </c>
      <c r="BD61" s="83">
        <v>0</v>
      </c>
      <c r="BE61" s="84">
        <f>ROUND((IF(($AT61&lt;=700000),0,IF(((VLOOKUP($AR61,'Loyalty - Effec - 15July'!$B$5:$C$17,2,0)*$AT61)&lt;=120000),(VLOOKUP($AR61,'Loyalty - Effec - 15July'!$B$5:$C$17,2,0)*$AT61),120000))),0)</f>
        <v>0</v>
      </c>
      <c r="BF61" s="84">
        <f>ROUND(VLOOKUP($AR61,'Loyalty - Effec - 15July'!$B$5:$D$17,3,0)*$AT61,0)</f>
        <v>0</v>
      </c>
      <c r="BG61" s="85">
        <f t="shared" si="25"/>
        <v>0</v>
      </c>
      <c r="BH61" s="81">
        <f t="shared" si="26"/>
        <v>0</v>
      </c>
      <c r="BI61" s="85">
        <f t="shared" si="27"/>
        <v>0</v>
      </c>
      <c r="BJ61" s="85">
        <f t="shared" si="28"/>
        <v>0</v>
      </c>
      <c r="BK61" s="85">
        <f t="shared" si="29"/>
        <v>0</v>
      </c>
      <c r="BL61" s="85">
        <f t="shared" si="30"/>
        <v>0</v>
      </c>
      <c r="BM61" s="85">
        <f t="shared" si="31"/>
        <v>0</v>
      </c>
      <c r="BN61" s="85">
        <f t="shared" si="32"/>
        <v>0</v>
      </c>
      <c r="BO61" s="52" t="s">
        <v>86</v>
      </c>
      <c r="BP61" s="46">
        <v>3</v>
      </c>
      <c r="BQ61" s="46"/>
      <c r="BR61" s="47">
        <f t="shared" si="35"/>
        <v>0</v>
      </c>
      <c r="BS61" s="46">
        <v>3</v>
      </c>
      <c r="BT61" s="54">
        <v>0.20099999999999998</v>
      </c>
      <c r="BU61" s="47">
        <f t="shared" si="33"/>
        <v>0</v>
      </c>
      <c r="BV61" s="53" t="s">
        <v>117</v>
      </c>
      <c r="BW61" s="53" t="s">
        <v>81</v>
      </c>
      <c r="BX61" s="53" t="s">
        <v>118</v>
      </c>
      <c r="BY61" s="53"/>
      <c r="BZ61" s="53"/>
      <c r="CA61" s="55"/>
    </row>
    <row r="62" spans="1:79">
      <c r="A62" s="42" t="s">
        <v>225</v>
      </c>
      <c r="B62" s="28" t="s">
        <v>79</v>
      </c>
      <c r="C62" s="28" t="s">
        <v>80</v>
      </c>
      <c r="D62" s="28" t="s">
        <v>81</v>
      </c>
      <c r="E62" s="43" t="s">
        <v>82</v>
      </c>
      <c r="F62" s="28" t="s">
        <v>901</v>
      </c>
      <c r="G62" s="44" t="s">
        <v>226</v>
      </c>
      <c r="H62" s="45">
        <v>43865</v>
      </c>
      <c r="I62" s="28" t="s">
        <v>979</v>
      </c>
      <c r="J62" s="28">
        <v>0</v>
      </c>
      <c r="K62" s="28" t="s">
        <v>93</v>
      </c>
      <c r="L62" s="28" t="s">
        <v>873</v>
      </c>
      <c r="M62" s="28" t="s">
        <v>1</v>
      </c>
      <c r="N62" s="28" t="str">
        <f t="shared" si="2"/>
        <v>AE3</v>
      </c>
      <c r="O62" s="81"/>
      <c r="P62" s="81">
        <f t="shared" si="3"/>
        <v>0</v>
      </c>
      <c r="Q62" s="81">
        <f t="shared" si="4"/>
        <v>0</v>
      </c>
      <c r="R62" s="81">
        <f t="shared" si="5"/>
        <v>0</v>
      </c>
      <c r="S62" s="81"/>
      <c r="T62" s="82">
        <f t="shared" si="6"/>
        <v>0</v>
      </c>
      <c r="U62" s="82">
        <f t="shared" si="7"/>
        <v>0</v>
      </c>
      <c r="V62" s="82">
        <f t="shared" si="8"/>
        <v>0</v>
      </c>
      <c r="W62" s="83">
        <v>0</v>
      </c>
      <c r="X62" s="83">
        <v>0</v>
      </c>
      <c r="Y62" s="83">
        <v>0</v>
      </c>
      <c r="Z62" s="84">
        <f>ROUND((IF(($O62&lt;=700000),0,IF(((VLOOKUP($M62,'Loyalty - Effec - 15July'!$B$5:$C$17,2,0)*$O62)&lt;=120000),(VLOOKUP($M62,'Loyalty - Effec - 15July'!$B$5:$C$17,2,0)*$O62),120000))),0)</f>
        <v>0</v>
      </c>
      <c r="AA62" s="84">
        <f>ROUND(VLOOKUP($M62,'Loyalty - Effec - 15July'!$B$5:$D$17,3,0)*$O62,0)</f>
        <v>0</v>
      </c>
      <c r="AB62" s="85">
        <f t="shared" si="9"/>
        <v>0</v>
      </c>
      <c r="AC62" s="86">
        <f t="shared" si="10"/>
        <v>0</v>
      </c>
      <c r="AD62" s="87">
        <f t="shared" si="11"/>
        <v>0</v>
      </c>
      <c r="AE62" s="88">
        <f t="shared" si="12"/>
        <v>0</v>
      </c>
      <c r="AF62" s="88">
        <f t="shared" si="13"/>
        <v>0</v>
      </c>
      <c r="AG62" s="49" t="s">
        <v>135</v>
      </c>
      <c r="AH62" s="49" t="s">
        <v>910</v>
      </c>
      <c r="AI62" s="50"/>
      <c r="AJ62" s="50"/>
      <c r="AK62" s="50"/>
      <c r="AL62" s="46"/>
      <c r="AM62" s="51">
        <f>IF($AL62=4,VLOOKUP($AR62,'Loyalty Incentive v1'!$L$3:$Q$15,2,FALSE),
IF($AL62=3,VLOOKUP($AR62,'Loyalty Incentive v1'!$L$3:$Q$15,3,FALSE),
IF($AL62=2,VLOOKUP($AR62,'Loyalty Incentive v1'!$L$3:$Q$15,4,FALSE),
IF($AL62=1,VLOOKUP($AR62,'Loyalty Incentive v1'!$L$3:$Q$15,5,FALSE),
IF($AL62=0,VLOOKUP($AR62,'Loyalty Incentive v1'!$L$3:$Q$15,6,FALSE),0)))))</f>
        <v>0</v>
      </c>
      <c r="AN62" s="51">
        <f>IFERROR(IF(I62&gt;="1",AM62,VLOOKUP(VALUE(I62),'Loyalty - Effec - 15July'!$I$5:$J$16,2,0)*AM62),0)</f>
        <v>0</v>
      </c>
      <c r="AO62" s="51">
        <v>-0.05</v>
      </c>
      <c r="AP62" s="51">
        <f t="shared" si="14"/>
        <v>-0.05</v>
      </c>
      <c r="AQ62" s="46" t="str">
        <f t="shared" si="15"/>
        <v>No</v>
      </c>
      <c r="AR62" s="46" t="str">
        <f t="shared" si="16"/>
        <v>AE3</v>
      </c>
      <c r="AS62" s="46" t="b">
        <f t="shared" si="17"/>
        <v>1</v>
      </c>
      <c r="AT62" s="82">
        <f t="shared" si="18"/>
        <v>0</v>
      </c>
      <c r="AU62" s="82">
        <f t="shared" si="19"/>
        <v>0</v>
      </c>
      <c r="AV62" s="82">
        <f t="shared" si="20"/>
        <v>0</v>
      </c>
      <c r="AW62" s="82">
        <f t="shared" si="21"/>
        <v>0</v>
      </c>
      <c r="AX62" s="85"/>
      <c r="AY62" s="82">
        <f t="shared" si="22"/>
        <v>0</v>
      </c>
      <c r="AZ62" s="82">
        <f t="shared" si="23"/>
        <v>0</v>
      </c>
      <c r="BA62" s="82">
        <f t="shared" si="24"/>
        <v>0</v>
      </c>
      <c r="BB62" s="83">
        <v>0</v>
      </c>
      <c r="BC62" s="83">
        <v>0</v>
      </c>
      <c r="BD62" s="83">
        <v>0</v>
      </c>
      <c r="BE62" s="84">
        <f>ROUND((IF(($AT62&lt;=700000),0,IF(((VLOOKUP($AR62,'Loyalty - Effec - 15July'!$B$5:$C$17,2,0)*$AT62)&lt;=120000),(VLOOKUP($AR62,'Loyalty - Effec - 15July'!$B$5:$C$17,2,0)*$AT62),120000))),0)</f>
        <v>0</v>
      </c>
      <c r="BF62" s="84">
        <f>ROUND(VLOOKUP($AR62,'Loyalty - Effec - 15July'!$B$5:$D$17,3,0)*$AT62,0)</f>
        <v>0</v>
      </c>
      <c r="BG62" s="85">
        <f t="shared" si="25"/>
        <v>0</v>
      </c>
      <c r="BH62" s="81">
        <f t="shared" si="26"/>
        <v>0</v>
      </c>
      <c r="BI62" s="85">
        <f t="shared" si="27"/>
        <v>0</v>
      </c>
      <c r="BJ62" s="85">
        <f t="shared" si="28"/>
        <v>0</v>
      </c>
      <c r="BK62" s="85">
        <f t="shared" si="29"/>
        <v>0</v>
      </c>
      <c r="BL62" s="85">
        <f t="shared" si="30"/>
        <v>0</v>
      </c>
      <c r="BM62" s="85">
        <f t="shared" si="31"/>
        <v>0</v>
      </c>
      <c r="BN62" s="85">
        <f t="shared" si="32"/>
        <v>0</v>
      </c>
      <c r="BO62" s="52" t="s">
        <v>86</v>
      </c>
      <c r="BP62" s="46">
        <v>3</v>
      </c>
      <c r="BQ62" s="46"/>
      <c r="BR62" s="47">
        <f t="shared" si="35"/>
        <v>0</v>
      </c>
      <c r="BS62" s="46">
        <v>2</v>
      </c>
      <c r="BT62" s="54">
        <v>0.18099999999999999</v>
      </c>
      <c r="BU62" s="47">
        <f t="shared" si="33"/>
        <v>0</v>
      </c>
      <c r="BV62" s="53" t="s">
        <v>225</v>
      </c>
      <c r="BW62" s="53" t="s">
        <v>81</v>
      </c>
      <c r="BX62" s="53" t="s">
        <v>226</v>
      </c>
      <c r="BY62" s="53"/>
      <c r="BZ62" s="53"/>
      <c r="CA62" s="55"/>
    </row>
    <row r="63" spans="1:79">
      <c r="A63" s="42" t="s">
        <v>196</v>
      </c>
      <c r="B63" s="28" t="s">
        <v>79</v>
      </c>
      <c r="C63" s="28" t="s">
        <v>80</v>
      </c>
      <c r="D63" s="28" t="s">
        <v>932</v>
      </c>
      <c r="E63" s="43" t="s">
        <v>82</v>
      </c>
      <c r="F63" s="28" t="s">
        <v>902</v>
      </c>
      <c r="G63" s="44" t="s">
        <v>645</v>
      </c>
      <c r="H63" s="45">
        <v>44022</v>
      </c>
      <c r="I63" s="46" t="s">
        <v>1036</v>
      </c>
      <c r="J63" s="28">
        <v>4.0999999999999996</v>
      </c>
      <c r="K63" s="28" t="s">
        <v>93</v>
      </c>
      <c r="L63" s="28" t="s">
        <v>873</v>
      </c>
      <c r="M63" s="28" t="s">
        <v>2</v>
      </c>
      <c r="N63" s="28" t="str">
        <f t="shared" si="2"/>
        <v>AE4</v>
      </c>
      <c r="O63" s="81"/>
      <c r="P63" s="81">
        <f t="shared" si="3"/>
        <v>0</v>
      </c>
      <c r="Q63" s="81">
        <f t="shared" si="4"/>
        <v>0</v>
      </c>
      <c r="R63" s="81">
        <f t="shared" si="5"/>
        <v>0</v>
      </c>
      <c r="S63" s="81"/>
      <c r="T63" s="82">
        <f t="shared" si="6"/>
        <v>0</v>
      </c>
      <c r="U63" s="82">
        <f t="shared" si="7"/>
        <v>0</v>
      </c>
      <c r="V63" s="82">
        <f t="shared" si="8"/>
        <v>0</v>
      </c>
      <c r="W63" s="83">
        <v>0</v>
      </c>
      <c r="X63" s="83">
        <v>0</v>
      </c>
      <c r="Y63" s="83">
        <v>0</v>
      </c>
      <c r="Z63" s="84">
        <f>ROUND((IF(($O63&lt;=700000),0,IF(((VLOOKUP($M63,'Loyalty - Effec - 15July'!$B$5:$C$17,2,0)*$O63)&lt;=120000),(VLOOKUP($M63,'Loyalty - Effec - 15July'!$B$5:$C$17,2,0)*$O63),120000))),0)</f>
        <v>0</v>
      </c>
      <c r="AA63" s="84">
        <f>ROUND(VLOOKUP($M63,'Loyalty - Effec - 15July'!$B$5:$D$17,3,0)*$O63,0)</f>
        <v>0</v>
      </c>
      <c r="AB63" s="85">
        <f t="shared" si="9"/>
        <v>0</v>
      </c>
      <c r="AC63" s="86">
        <f t="shared" si="10"/>
        <v>0</v>
      </c>
      <c r="AD63" s="87">
        <f t="shared" si="11"/>
        <v>0</v>
      </c>
      <c r="AE63" s="88">
        <f t="shared" si="12"/>
        <v>0</v>
      </c>
      <c r="AF63" s="88">
        <f t="shared" si="13"/>
        <v>0</v>
      </c>
      <c r="AG63" s="49" t="s">
        <v>206</v>
      </c>
      <c r="AH63" s="49" t="s">
        <v>126</v>
      </c>
      <c r="AI63" s="50"/>
      <c r="AJ63" s="46"/>
      <c r="AK63" s="46"/>
      <c r="AL63" s="46"/>
      <c r="AM63" s="51">
        <f>IF($AL63=4,VLOOKUP($AR63,'Loyalty Incentive v1'!$L$3:$Q$15,2,FALSE),
IF($AL63=3,VLOOKUP($AR63,'Loyalty Incentive v1'!$L$3:$Q$15,3,FALSE),
IF($AL63=2,VLOOKUP($AR63,'Loyalty Incentive v1'!$L$3:$Q$15,4,FALSE),
IF($AL63=1,VLOOKUP($AR63,'Loyalty Incentive v1'!$L$3:$Q$15,5,FALSE),
IF($AL63=0,VLOOKUP($AR63,'Loyalty Incentive v1'!$L$3:$Q$15,6,FALSE),0)))))</f>
        <v>0</v>
      </c>
      <c r="AN63" s="51">
        <f>IFERROR(IF(I63&gt;="1",AM63,VLOOKUP(VALUE(I63),'Loyalty - Effec - 15July'!$I$5:$J$16,2,0)*AM63),0)</f>
        <v>0</v>
      </c>
      <c r="AO63" s="51">
        <v>0</v>
      </c>
      <c r="AP63" s="51">
        <f t="shared" si="14"/>
        <v>0</v>
      </c>
      <c r="AQ63" s="46" t="str">
        <f t="shared" si="15"/>
        <v>No</v>
      </c>
      <c r="AR63" s="46" t="str">
        <f t="shared" si="16"/>
        <v>AE4</v>
      </c>
      <c r="AS63" s="46" t="b">
        <f t="shared" si="17"/>
        <v>1</v>
      </c>
      <c r="AT63" s="82">
        <f t="shared" si="18"/>
        <v>0</v>
      </c>
      <c r="AU63" s="82">
        <f t="shared" si="19"/>
        <v>0</v>
      </c>
      <c r="AV63" s="82">
        <f t="shared" si="20"/>
        <v>0</v>
      </c>
      <c r="AW63" s="82">
        <f t="shared" si="21"/>
        <v>0</v>
      </c>
      <c r="AX63" s="85"/>
      <c r="AY63" s="82">
        <f t="shared" si="22"/>
        <v>0</v>
      </c>
      <c r="AZ63" s="82">
        <f t="shared" si="23"/>
        <v>0</v>
      </c>
      <c r="BA63" s="82">
        <f t="shared" si="24"/>
        <v>0</v>
      </c>
      <c r="BB63" s="83">
        <v>0</v>
      </c>
      <c r="BC63" s="83">
        <v>0</v>
      </c>
      <c r="BD63" s="83">
        <v>0</v>
      </c>
      <c r="BE63" s="84">
        <f>ROUND((IF(($AT63&lt;=700000),0,IF(((VLOOKUP($AR63,'Loyalty - Effec - 15July'!$B$5:$C$17,2,0)*$AT63)&lt;=120000),(VLOOKUP($AR63,'Loyalty - Effec - 15July'!$B$5:$C$17,2,0)*$AT63),120000))),0)</f>
        <v>0</v>
      </c>
      <c r="BF63" s="84">
        <f>ROUND(VLOOKUP($AR63,'Loyalty - Effec - 15July'!$B$5:$D$17,3,0)*$AT63,0)</f>
        <v>0</v>
      </c>
      <c r="BG63" s="85">
        <f t="shared" si="25"/>
        <v>0</v>
      </c>
      <c r="BH63" s="81">
        <f t="shared" si="26"/>
        <v>0</v>
      </c>
      <c r="BI63" s="85">
        <f t="shared" si="27"/>
        <v>0</v>
      </c>
      <c r="BJ63" s="85">
        <f t="shared" si="28"/>
        <v>0</v>
      </c>
      <c r="BK63" s="85">
        <f t="shared" si="29"/>
        <v>0</v>
      </c>
      <c r="BL63" s="85">
        <f t="shared" si="30"/>
        <v>0</v>
      </c>
      <c r="BM63" s="85">
        <f t="shared" si="31"/>
        <v>0</v>
      </c>
      <c r="BN63" s="85">
        <f t="shared" si="32"/>
        <v>0</v>
      </c>
      <c r="BO63" s="52" t="s">
        <v>86</v>
      </c>
      <c r="BP63" s="46">
        <v>3</v>
      </c>
      <c r="BQ63" s="46"/>
      <c r="BR63" s="47">
        <f>BG63-AB63</f>
        <v>0</v>
      </c>
      <c r="BU63" s="47">
        <f t="shared" si="33"/>
        <v>0</v>
      </c>
      <c r="BV63" s="53" t="s">
        <v>196</v>
      </c>
      <c r="BW63" s="53" t="s">
        <v>932</v>
      </c>
      <c r="BX63" s="53" t="s">
        <v>645</v>
      </c>
      <c r="BY63" s="53"/>
      <c r="BZ63" s="53"/>
    </row>
    <row r="64" spans="1:79">
      <c r="A64" s="42" t="s">
        <v>110</v>
      </c>
      <c r="B64" s="28" t="s">
        <v>79</v>
      </c>
      <c r="C64" s="28" t="s">
        <v>80</v>
      </c>
      <c r="D64" s="28" t="s">
        <v>932</v>
      </c>
      <c r="E64" s="43" t="s">
        <v>82</v>
      </c>
      <c r="F64" s="28" t="s">
        <v>902</v>
      </c>
      <c r="G64" s="44" t="s">
        <v>111</v>
      </c>
      <c r="H64" s="45">
        <v>44029</v>
      </c>
      <c r="I64" s="46" t="s">
        <v>1036</v>
      </c>
      <c r="J64" s="28">
        <v>4</v>
      </c>
      <c r="K64" s="28" t="s">
        <v>93</v>
      </c>
      <c r="L64" s="28" t="s">
        <v>873</v>
      </c>
      <c r="M64" s="28" t="s">
        <v>2</v>
      </c>
      <c r="N64" s="28" t="str">
        <f t="shared" si="2"/>
        <v>AE4</v>
      </c>
      <c r="O64" s="81"/>
      <c r="P64" s="81">
        <f t="shared" si="3"/>
        <v>0</v>
      </c>
      <c r="Q64" s="81">
        <f t="shared" si="4"/>
        <v>0</v>
      </c>
      <c r="R64" s="81">
        <f t="shared" si="5"/>
        <v>0</v>
      </c>
      <c r="S64" s="81"/>
      <c r="T64" s="82">
        <f t="shared" si="6"/>
        <v>0</v>
      </c>
      <c r="U64" s="82">
        <f t="shared" si="7"/>
        <v>0</v>
      </c>
      <c r="V64" s="82">
        <f t="shared" si="8"/>
        <v>0</v>
      </c>
      <c r="W64" s="83">
        <v>0</v>
      </c>
      <c r="X64" s="83">
        <v>0</v>
      </c>
      <c r="Y64" s="83">
        <v>0</v>
      </c>
      <c r="Z64" s="84">
        <f>ROUND((IF(($O64&lt;=700000),0,IF(((VLOOKUP($M64,'Loyalty - Effec - 15July'!$B$5:$C$17,2,0)*$O64)&lt;=120000),(VLOOKUP($M64,'Loyalty - Effec - 15July'!$B$5:$C$17,2,0)*$O64),120000))),0)</f>
        <v>0</v>
      </c>
      <c r="AA64" s="84">
        <f>ROUND(VLOOKUP($M64,'Loyalty - Effec - 15July'!$B$5:$D$17,3,0)*$O64,0)</f>
        <v>0</v>
      </c>
      <c r="AB64" s="85">
        <f t="shared" si="9"/>
        <v>0</v>
      </c>
      <c r="AC64" s="86">
        <f t="shared" si="10"/>
        <v>0</v>
      </c>
      <c r="AD64" s="87">
        <f t="shared" si="11"/>
        <v>0</v>
      </c>
      <c r="AE64" s="88">
        <f t="shared" si="12"/>
        <v>0</v>
      </c>
      <c r="AF64" s="88">
        <f t="shared" si="13"/>
        <v>0</v>
      </c>
      <c r="AG64" s="49" t="s">
        <v>913</v>
      </c>
      <c r="AH64" s="49" t="s">
        <v>909</v>
      </c>
      <c r="AI64" s="50"/>
      <c r="AJ64" s="46"/>
      <c r="AK64" s="46"/>
      <c r="AL64" s="46"/>
      <c r="AM64" s="51">
        <f>IF($AL64=4,VLOOKUP($AR64,'Loyalty Incentive v1'!$L$3:$Q$15,2,FALSE),
IF($AL64=3,VLOOKUP($AR64,'Loyalty Incentive v1'!$L$3:$Q$15,3,FALSE),
IF($AL64=2,VLOOKUP($AR64,'Loyalty Incentive v1'!$L$3:$Q$15,4,FALSE),
IF($AL64=1,VLOOKUP($AR64,'Loyalty Incentive v1'!$L$3:$Q$15,5,FALSE),
IF($AL64=0,VLOOKUP($AR64,'Loyalty Incentive v1'!$L$3:$Q$15,6,FALSE),0)))))</f>
        <v>0</v>
      </c>
      <c r="AN64" s="51">
        <f>IFERROR(IF(I64&gt;="1",AM64,VLOOKUP(VALUE(I64),'Loyalty - Effec - 15July'!$I$5:$J$16,2,0)*AM64),0)</f>
        <v>0</v>
      </c>
      <c r="AO64" s="51">
        <v>0</v>
      </c>
      <c r="AP64" s="51">
        <f t="shared" si="14"/>
        <v>0</v>
      </c>
      <c r="AQ64" s="46" t="str">
        <f t="shared" si="15"/>
        <v>No</v>
      </c>
      <c r="AR64" s="46" t="str">
        <f t="shared" si="16"/>
        <v>AE4</v>
      </c>
      <c r="AS64" s="46" t="b">
        <f t="shared" si="17"/>
        <v>1</v>
      </c>
      <c r="AT64" s="82">
        <f t="shared" si="18"/>
        <v>0</v>
      </c>
      <c r="AU64" s="82">
        <f t="shared" si="19"/>
        <v>0</v>
      </c>
      <c r="AV64" s="82">
        <f t="shared" si="20"/>
        <v>0</v>
      </c>
      <c r="AW64" s="82">
        <f t="shared" si="21"/>
        <v>0</v>
      </c>
      <c r="AX64" s="85"/>
      <c r="AY64" s="82">
        <f t="shared" si="22"/>
        <v>0</v>
      </c>
      <c r="AZ64" s="82">
        <f t="shared" si="23"/>
        <v>0</v>
      </c>
      <c r="BA64" s="82">
        <f t="shared" si="24"/>
        <v>0</v>
      </c>
      <c r="BB64" s="83">
        <v>0</v>
      </c>
      <c r="BC64" s="83">
        <v>0</v>
      </c>
      <c r="BD64" s="83">
        <v>0</v>
      </c>
      <c r="BE64" s="84">
        <f>ROUND((IF(($AT64&lt;=700000),0,IF(((VLOOKUP($AR64,'Loyalty - Effec - 15July'!$B$5:$C$17,2,0)*$AT64)&lt;=120000),(VLOOKUP($AR64,'Loyalty - Effec - 15July'!$B$5:$C$17,2,0)*$AT64),120000))),0)</f>
        <v>0</v>
      </c>
      <c r="BF64" s="84">
        <f>ROUND(VLOOKUP($AR64,'Loyalty - Effec - 15July'!$B$5:$D$17,3,0)*$AT64,0)</f>
        <v>0</v>
      </c>
      <c r="BG64" s="85">
        <f t="shared" si="25"/>
        <v>0</v>
      </c>
      <c r="BH64" s="81">
        <f t="shared" si="26"/>
        <v>0</v>
      </c>
      <c r="BI64" s="85">
        <f t="shared" si="27"/>
        <v>0</v>
      </c>
      <c r="BJ64" s="85">
        <f t="shared" si="28"/>
        <v>0</v>
      </c>
      <c r="BK64" s="85">
        <f t="shared" si="29"/>
        <v>0</v>
      </c>
      <c r="BL64" s="85">
        <f t="shared" si="30"/>
        <v>0</v>
      </c>
      <c r="BM64" s="85">
        <f t="shared" si="31"/>
        <v>0</v>
      </c>
      <c r="BN64" s="85">
        <f t="shared" si="32"/>
        <v>0</v>
      </c>
      <c r="BO64" s="52" t="s">
        <v>85</v>
      </c>
      <c r="BP64" s="46">
        <v>3</v>
      </c>
      <c r="BQ64" s="46"/>
      <c r="BR64" s="47">
        <f>BG64-AB64</f>
        <v>0</v>
      </c>
      <c r="BU64" s="47">
        <f t="shared" si="33"/>
        <v>0</v>
      </c>
      <c r="BV64" s="53" t="s">
        <v>110</v>
      </c>
      <c r="BW64" s="53" t="s">
        <v>932</v>
      </c>
      <c r="BX64" s="53" t="s">
        <v>111</v>
      </c>
      <c r="BY64" s="53"/>
      <c r="BZ64" s="53"/>
    </row>
    <row r="65" spans="1:79">
      <c r="A65" s="42" t="s">
        <v>147</v>
      </c>
      <c r="B65" s="28" t="s">
        <v>79</v>
      </c>
      <c r="C65" s="28" t="s">
        <v>80</v>
      </c>
      <c r="D65" s="28" t="s">
        <v>81</v>
      </c>
      <c r="E65" s="43" t="s">
        <v>82</v>
      </c>
      <c r="F65" s="28" t="s">
        <v>901</v>
      </c>
      <c r="G65" s="44" t="s">
        <v>148</v>
      </c>
      <c r="H65" s="45">
        <v>44033</v>
      </c>
      <c r="I65" s="28" t="s">
        <v>1036</v>
      </c>
      <c r="J65" s="28">
        <v>0</v>
      </c>
      <c r="K65" s="28" t="s">
        <v>93</v>
      </c>
      <c r="L65" s="28" t="s">
        <v>873</v>
      </c>
      <c r="M65" s="28" t="s">
        <v>3</v>
      </c>
      <c r="N65" s="28" t="str">
        <f t="shared" ref="N65:N119" si="36">M65</f>
        <v>AE5</v>
      </c>
      <c r="O65" s="81"/>
      <c r="P65" s="81">
        <f t="shared" ref="P65:P119" si="37">CEILING(ROUND(($O65*50%),2),10)</f>
        <v>0</v>
      </c>
      <c r="Q65" s="81">
        <f t="shared" ref="Q65:Q119" si="38">ROUND((P65*25%),2)</f>
        <v>0</v>
      </c>
      <c r="R65" s="81">
        <f t="shared" ref="R65:R119" si="39">ROUND((P65*10%),2)</f>
        <v>0</v>
      </c>
      <c r="S65" s="81"/>
      <c r="T65" s="82">
        <f t="shared" ref="T65:T119" si="40">SUM(P65:S65)</f>
        <v>0</v>
      </c>
      <c r="U65" s="82">
        <f t="shared" ref="U65:U119" si="41">ROUND(IF(($T65-$Q65)&lt;=180000,($T65-$Q65)*12%,(180000*12%)),2)</f>
        <v>0</v>
      </c>
      <c r="V65" s="82">
        <f t="shared" ref="V65:V119" si="42">ROUND(IF(($T65&lt;=252000),($T65*3.25%),0),2)</f>
        <v>0</v>
      </c>
      <c r="W65" s="83">
        <v>0</v>
      </c>
      <c r="X65" s="83">
        <v>0</v>
      </c>
      <c r="Y65" s="83">
        <v>0</v>
      </c>
      <c r="Z65" s="84">
        <f>ROUND((IF(($O65&lt;=700000),0,IF(((VLOOKUP($M65,'Loyalty - Effec - 15July'!$B$5:$C$17,2,0)*$O65)&lt;=120000),(VLOOKUP($M65,'Loyalty - Effec - 15July'!$B$5:$C$17,2,0)*$O65),120000))),0)</f>
        <v>0</v>
      </c>
      <c r="AA65" s="84">
        <f>ROUND(VLOOKUP($M65,'Loyalty - Effec - 15July'!$B$5:$D$17,3,0)*$O65,0)</f>
        <v>0</v>
      </c>
      <c r="AB65" s="85">
        <f t="shared" ref="AB65:AB119" si="43">SUM(T65:AA65)</f>
        <v>0</v>
      </c>
      <c r="AC65" s="86">
        <f t="shared" ref="AC65:AC119" si="44">ROUND(IF(($T65&lt;=252000),($T65*0.75%),0),2)</f>
        <v>0</v>
      </c>
      <c r="AD65" s="87">
        <f t="shared" ref="AD65:AD119" si="45">O65-AB65</f>
        <v>0</v>
      </c>
      <c r="AE65" s="88">
        <f t="shared" ref="AE65:AE119" si="46">(T65+Z65)-(U65+AC65)</f>
        <v>0</v>
      </c>
      <c r="AF65" s="88">
        <f t="shared" ref="AF65:AF119" si="47">AE65/12</f>
        <v>0</v>
      </c>
      <c r="AG65" s="49" t="s">
        <v>278</v>
      </c>
      <c r="AH65" s="49" t="s">
        <v>811</v>
      </c>
      <c r="AI65" s="50"/>
      <c r="AJ65" s="50"/>
      <c r="AK65" s="50"/>
      <c r="AL65" s="46"/>
      <c r="AM65" s="51">
        <f>IF($AL65=4,VLOOKUP($AR65,'Loyalty Incentive v1'!$L$3:$Q$15,2,FALSE),
IF($AL65=3,VLOOKUP($AR65,'Loyalty Incentive v1'!$L$3:$Q$15,3,FALSE),
IF($AL65=2,VLOOKUP($AR65,'Loyalty Incentive v1'!$L$3:$Q$15,4,FALSE),
IF($AL65=1,VLOOKUP($AR65,'Loyalty Incentive v1'!$L$3:$Q$15,5,FALSE),
IF($AL65=0,VLOOKUP($AR65,'Loyalty Incentive v1'!$L$3:$Q$15,6,FALSE),0)))))</f>
        <v>0</v>
      </c>
      <c r="AN65" s="51">
        <f>IFERROR(IF(I65&gt;="1",AM65,VLOOKUP(VALUE(I65),'Loyalty - Effec - 15July'!$I$5:$J$16,2,0)*AM65),0)</f>
        <v>0</v>
      </c>
      <c r="AO65" s="51">
        <v>-9.0999999999999998E-2</v>
      </c>
      <c r="AP65" s="51">
        <f t="shared" ref="AP65:AP119" si="48">AN65+AO65</f>
        <v>-9.0999999999999998E-2</v>
      </c>
      <c r="AQ65" s="46" t="str">
        <f t="shared" ref="AQ65:AQ121" si="49">IF((N65=AR65),"No","Yes")</f>
        <v>No</v>
      </c>
      <c r="AR65" s="46" t="str">
        <f t="shared" ref="AR65:AR121" si="50">N65</f>
        <v>AE5</v>
      </c>
      <c r="AS65" s="46" t="b">
        <f t="shared" ref="AS65:AS121" si="51">AR65=M65</f>
        <v>1</v>
      </c>
      <c r="AT65" s="82">
        <f t="shared" ref="AT65:AT121" si="52">O65+(O65*AP65)</f>
        <v>0</v>
      </c>
      <c r="AU65" s="82">
        <f t="shared" ref="AU65:AU119" si="53">ROUND(AT65*$AU$3,0)</f>
        <v>0</v>
      </c>
      <c r="AV65" s="82">
        <f t="shared" ref="AV65:AV119" si="54">ROUND(AU65*$AV$3,0)</f>
        <v>0</v>
      </c>
      <c r="AW65" s="82">
        <f t="shared" ref="AW65:AW119" si="55">ROUND(AU65*$AW$3,0)</f>
        <v>0</v>
      </c>
      <c r="AX65" s="85"/>
      <c r="AY65" s="82">
        <f t="shared" ref="AY65:AY119" si="56">SUM(AU65:AX65)</f>
        <v>0</v>
      </c>
      <c r="AZ65" s="82">
        <f t="shared" ref="AZ65:AZ119" si="57">ROUND(IF((AY65-AV65)&gt;180000,21600,(AY65-AV65)*12%),0)</f>
        <v>0</v>
      </c>
      <c r="BA65" s="82">
        <f t="shared" ref="BA65:BA119" si="58">ROUND(IF(AY65&lt;252001,AY65*0.0325,0),0)</f>
        <v>0</v>
      </c>
      <c r="BB65" s="83">
        <v>0</v>
      </c>
      <c r="BC65" s="83">
        <v>0</v>
      </c>
      <c r="BD65" s="83">
        <v>0</v>
      </c>
      <c r="BE65" s="84">
        <f>ROUND((IF(($AT65&lt;=700000),0,IF(((VLOOKUP($AR65,'Loyalty - Effec - 15July'!$B$5:$C$17,2,0)*$AT65)&lt;=120000),(VLOOKUP($AR65,'Loyalty - Effec - 15July'!$B$5:$C$17,2,0)*$AT65),120000))),0)</f>
        <v>0</v>
      </c>
      <c r="BF65" s="84">
        <f>ROUND(VLOOKUP($AR65,'Loyalty - Effec - 15July'!$B$5:$D$17,3,0)*$AT65,0)</f>
        <v>0</v>
      </c>
      <c r="BG65" s="85">
        <f t="shared" ref="BG65:BG119" si="59">SUM(AY65:BF65)</f>
        <v>0</v>
      </c>
      <c r="BH65" s="81">
        <f t="shared" ref="BH65:BH119" si="60">ROUND(IF(AY65&lt;252001,AY65*0.0075,0),0)</f>
        <v>0</v>
      </c>
      <c r="BI65" s="85">
        <f t="shared" ref="BI65:BI119" si="61">AT65-BG65</f>
        <v>0</v>
      </c>
      <c r="BJ65" s="85">
        <f t="shared" ref="BJ65:BJ119" si="62">(AY65+BE65)-(AZ65+BH65)</f>
        <v>0</v>
      </c>
      <c r="BK65" s="85">
        <f t="shared" ref="BK65:BK119" si="63">BJ65/12</f>
        <v>0</v>
      </c>
      <c r="BL65" s="85">
        <f t="shared" ref="BL65:BL121" si="64">BG65-AB65</f>
        <v>0</v>
      </c>
      <c r="BM65" s="85">
        <f t="shared" ref="BM65:BM121" si="65">BK65-AF65</f>
        <v>0</v>
      </c>
      <c r="BN65" s="85">
        <f t="shared" ref="BN65:BN121" si="66">BK65-AF65</f>
        <v>0</v>
      </c>
      <c r="BO65" s="52" t="s">
        <v>86</v>
      </c>
      <c r="BP65" s="46">
        <v>3</v>
      </c>
      <c r="BQ65" s="46"/>
      <c r="BR65" s="47">
        <f t="shared" ref="BR65:BR71" si="67">BG65-AT65</f>
        <v>0</v>
      </c>
      <c r="BS65" s="46">
        <v>2</v>
      </c>
      <c r="BT65" s="54">
        <v>8.1000000000000003E-2</v>
      </c>
      <c r="BU65" s="47">
        <f t="shared" si="33"/>
        <v>0</v>
      </c>
      <c r="BV65" s="53" t="s">
        <v>147</v>
      </c>
      <c r="BW65" s="53" t="s">
        <v>81</v>
      </c>
      <c r="BX65" s="53" t="s">
        <v>148</v>
      </c>
      <c r="BY65" s="53"/>
      <c r="BZ65" s="53"/>
      <c r="CA65" s="55"/>
    </row>
    <row r="66" spans="1:79">
      <c r="A66" s="42" t="s">
        <v>203</v>
      </c>
      <c r="B66" s="28" t="s">
        <v>79</v>
      </c>
      <c r="C66" s="28" t="s">
        <v>80</v>
      </c>
      <c r="D66" s="28" t="s">
        <v>81</v>
      </c>
      <c r="E66" s="43" t="s">
        <v>82</v>
      </c>
      <c r="F66" s="28" t="s">
        <v>902</v>
      </c>
      <c r="G66" s="44" t="s">
        <v>204</v>
      </c>
      <c r="H66" s="45">
        <v>44055</v>
      </c>
      <c r="I66" s="28" t="s">
        <v>980</v>
      </c>
      <c r="J66" s="28">
        <v>0</v>
      </c>
      <c r="K66" s="28" t="s">
        <v>413</v>
      </c>
      <c r="L66" s="28" t="s">
        <v>880</v>
      </c>
      <c r="M66" s="28" t="s">
        <v>2</v>
      </c>
      <c r="N66" s="28" t="str">
        <f t="shared" si="36"/>
        <v>AE4</v>
      </c>
      <c r="O66" s="81"/>
      <c r="P66" s="81">
        <f t="shared" si="37"/>
        <v>0</v>
      </c>
      <c r="Q66" s="81">
        <f t="shared" si="38"/>
        <v>0</v>
      </c>
      <c r="R66" s="81">
        <f t="shared" si="39"/>
        <v>0</v>
      </c>
      <c r="S66" s="81"/>
      <c r="T66" s="82">
        <f t="shared" si="40"/>
        <v>0</v>
      </c>
      <c r="U66" s="82">
        <f t="shared" si="41"/>
        <v>0</v>
      </c>
      <c r="V66" s="82">
        <f t="shared" si="42"/>
        <v>0</v>
      </c>
      <c r="W66" s="83">
        <v>0</v>
      </c>
      <c r="X66" s="83">
        <v>0</v>
      </c>
      <c r="Y66" s="83">
        <v>0</v>
      </c>
      <c r="Z66" s="84">
        <f>ROUND((IF(($O66&lt;=700000),0,IF(((VLOOKUP($M66,'Loyalty - Effec - 15July'!$B$5:$C$17,2,0)*$O66)&lt;=120000),(VLOOKUP($M66,'Loyalty - Effec - 15July'!$B$5:$C$17,2,0)*$O66),120000))),0)</f>
        <v>0</v>
      </c>
      <c r="AA66" s="84">
        <f>ROUND(VLOOKUP($M66,'Loyalty - Effec - 15July'!$B$5:$D$17,3,0)*$O66,0)</f>
        <v>0</v>
      </c>
      <c r="AB66" s="85">
        <f t="shared" si="43"/>
        <v>0</v>
      </c>
      <c r="AC66" s="86">
        <f t="shared" si="44"/>
        <v>0</v>
      </c>
      <c r="AD66" s="87">
        <f t="shared" si="45"/>
        <v>0</v>
      </c>
      <c r="AE66" s="88">
        <f t="shared" si="46"/>
        <v>0</v>
      </c>
      <c r="AF66" s="88">
        <f t="shared" si="47"/>
        <v>0</v>
      </c>
      <c r="AG66" s="49" t="s">
        <v>100</v>
      </c>
      <c r="AH66" s="49" t="s">
        <v>126</v>
      </c>
      <c r="AI66" s="50"/>
      <c r="AJ66" s="50"/>
      <c r="AK66" s="50"/>
      <c r="AL66" s="46"/>
      <c r="AM66" s="51">
        <f>IF($AL66=4,VLOOKUP($AR66,'Loyalty Incentive v1'!$L$3:$Q$15,2,FALSE),
IF($AL66=3,VLOOKUP($AR66,'Loyalty Incentive v1'!$L$3:$Q$15,3,FALSE),
IF($AL66=2,VLOOKUP($AR66,'Loyalty Incentive v1'!$L$3:$Q$15,4,FALSE),
IF($AL66=1,VLOOKUP($AR66,'Loyalty Incentive v1'!$L$3:$Q$15,5,FALSE),
IF($AL66=0,VLOOKUP($AR66,'Loyalty Incentive v1'!$L$3:$Q$15,6,FALSE),0)))))</f>
        <v>0</v>
      </c>
      <c r="AN66" s="51">
        <f>IFERROR(IF(I66&gt;="1",AM66,VLOOKUP(VALUE(I66),'Loyalty - Effec - 15July'!$I$5:$J$16,2,0)*AM66),0)</f>
        <v>0</v>
      </c>
      <c r="AO66" s="51">
        <v>-0.1</v>
      </c>
      <c r="AP66" s="51">
        <f t="shared" si="48"/>
        <v>-0.1</v>
      </c>
      <c r="AQ66" s="46" t="str">
        <f t="shared" si="49"/>
        <v>No</v>
      </c>
      <c r="AR66" s="46" t="str">
        <f t="shared" si="50"/>
        <v>AE4</v>
      </c>
      <c r="AS66" s="46" t="b">
        <f t="shared" si="51"/>
        <v>1</v>
      </c>
      <c r="AT66" s="82">
        <f t="shared" si="52"/>
        <v>0</v>
      </c>
      <c r="AU66" s="82">
        <f t="shared" si="53"/>
        <v>0</v>
      </c>
      <c r="AV66" s="82">
        <f t="shared" si="54"/>
        <v>0</v>
      </c>
      <c r="AW66" s="82">
        <f t="shared" si="55"/>
        <v>0</v>
      </c>
      <c r="AX66" s="85"/>
      <c r="AY66" s="82">
        <f t="shared" si="56"/>
        <v>0</v>
      </c>
      <c r="AZ66" s="82">
        <f t="shared" si="57"/>
        <v>0</v>
      </c>
      <c r="BA66" s="82">
        <f t="shared" si="58"/>
        <v>0</v>
      </c>
      <c r="BB66" s="83">
        <v>0</v>
      </c>
      <c r="BC66" s="83">
        <v>0</v>
      </c>
      <c r="BD66" s="83">
        <v>0</v>
      </c>
      <c r="BE66" s="84">
        <f>ROUND((IF(($AT66&lt;=700000),0,IF(((VLOOKUP($AR66,'Loyalty - Effec - 15July'!$B$5:$C$17,2,0)*$AT66)&lt;=120000),(VLOOKUP($AR66,'Loyalty - Effec - 15July'!$B$5:$C$17,2,0)*$AT66),120000))),0)</f>
        <v>0</v>
      </c>
      <c r="BF66" s="84">
        <f>ROUND(VLOOKUP($AR66,'Loyalty - Effec - 15July'!$B$5:$D$17,3,0)*$AT66,0)</f>
        <v>0</v>
      </c>
      <c r="BG66" s="85">
        <f t="shared" si="59"/>
        <v>0</v>
      </c>
      <c r="BH66" s="81">
        <f t="shared" si="60"/>
        <v>0</v>
      </c>
      <c r="BI66" s="85">
        <f t="shared" si="61"/>
        <v>0</v>
      </c>
      <c r="BJ66" s="85">
        <f t="shared" si="62"/>
        <v>0</v>
      </c>
      <c r="BK66" s="85">
        <f t="shared" si="63"/>
        <v>0</v>
      </c>
      <c r="BL66" s="85">
        <f t="shared" si="64"/>
        <v>0</v>
      </c>
      <c r="BM66" s="85">
        <f t="shared" si="65"/>
        <v>0</v>
      </c>
      <c r="BN66" s="85">
        <f t="shared" si="66"/>
        <v>0</v>
      </c>
      <c r="BO66" s="52" t="s">
        <v>86</v>
      </c>
      <c r="BP66" s="46">
        <v>3</v>
      </c>
      <c r="BQ66" s="46"/>
      <c r="BR66" s="47">
        <f t="shared" si="67"/>
        <v>0</v>
      </c>
      <c r="BS66" s="46">
        <v>4</v>
      </c>
      <c r="BT66" s="54">
        <v>0.13100000000000001</v>
      </c>
      <c r="BU66" s="47">
        <f t="shared" si="33"/>
        <v>0</v>
      </c>
      <c r="BV66" s="53" t="s">
        <v>203</v>
      </c>
      <c r="BW66" s="53" t="s">
        <v>81</v>
      </c>
      <c r="BX66" s="53" t="s">
        <v>204</v>
      </c>
      <c r="BY66" s="53"/>
      <c r="BZ66" s="53"/>
      <c r="CA66" s="55"/>
    </row>
    <row r="67" spans="1:79">
      <c r="A67" s="42" t="s">
        <v>227</v>
      </c>
      <c r="B67" s="28" t="s">
        <v>79</v>
      </c>
      <c r="C67" s="28" t="s">
        <v>80</v>
      </c>
      <c r="D67" s="28" t="s">
        <v>932</v>
      </c>
      <c r="E67" s="43" t="s">
        <v>82</v>
      </c>
      <c r="F67" s="28" t="s">
        <v>902</v>
      </c>
      <c r="G67" s="44" t="s">
        <v>228</v>
      </c>
      <c r="H67" s="45">
        <v>44068</v>
      </c>
      <c r="I67" s="46" t="s">
        <v>980</v>
      </c>
      <c r="J67" s="28">
        <v>4</v>
      </c>
      <c r="K67" s="28" t="s">
        <v>413</v>
      </c>
      <c r="L67" s="28" t="s">
        <v>875</v>
      </c>
      <c r="M67" s="28" t="s">
        <v>3</v>
      </c>
      <c r="N67" s="28" t="str">
        <f t="shared" si="36"/>
        <v>AE5</v>
      </c>
      <c r="O67" s="81"/>
      <c r="P67" s="81">
        <f t="shared" si="37"/>
        <v>0</v>
      </c>
      <c r="Q67" s="81">
        <f t="shared" si="38"/>
        <v>0</v>
      </c>
      <c r="R67" s="81">
        <f t="shared" si="39"/>
        <v>0</v>
      </c>
      <c r="S67" s="81"/>
      <c r="T67" s="82">
        <f t="shared" si="40"/>
        <v>0</v>
      </c>
      <c r="U67" s="82">
        <f t="shared" si="41"/>
        <v>0</v>
      </c>
      <c r="V67" s="82">
        <f t="shared" si="42"/>
        <v>0</v>
      </c>
      <c r="W67" s="83">
        <v>0</v>
      </c>
      <c r="X67" s="83">
        <v>0</v>
      </c>
      <c r="Y67" s="83">
        <v>0</v>
      </c>
      <c r="Z67" s="84">
        <f>ROUND((IF(($O67&lt;=700000),0,IF(((VLOOKUP($M67,'Loyalty - Effec - 15July'!$B$5:$C$17,2,0)*$O67)&lt;=120000),(VLOOKUP($M67,'Loyalty - Effec - 15July'!$B$5:$C$17,2,0)*$O67),120000))),0)</f>
        <v>0</v>
      </c>
      <c r="AA67" s="84">
        <f>ROUND(VLOOKUP($M67,'Loyalty - Effec - 15July'!$B$5:$D$17,3,0)*$O67,0)</f>
        <v>0</v>
      </c>
      <c r="AB67" s="85">
        <f t="shared" si="43"/>
        <v>0</v>
      </c>
      <c r="AC67" s="86">
        <f t="shared" si="44"/>
        <v>0</v>
      </c>
      <c r="AD67" s="87">
        <f t="shared" si="45"/>
        <v>0</v>
      </c>
      <c r="AE67" s="88">
        <f t="shared" si="46"/>
        <v>0</v>
      </c>
      <c r="AF67" s="88">
        <f t="shared" si="47"/>
        <v>0</v>
      </c>
      <c r="AG67" s="49" t="s">
        <v>126</v>
      </c>
      <c r="AH67" s="49" t="s">
        <v>809</v>
      </c>
      <c r="AI67" s="50"/>
      <c r="AJ67" s="46"/>
      <c r="AK67" s="46"/>
      <c r="AL67" s="46"/>
      <c r="AM67" s="51">
        <f>IF($AL67=4,VLOOKUP($AR67,'Loyalty Incentive v1'!$L$3:$Q$15,2,FALSE),
IF($AL67=3,VLOOKUP($AR67,'Loyalty Incentive v1'!$L$3:$Q$15,3,FALSE),
IF($AL67=2,VLOOKUP($AR67,'Loyalty Incentive v1'!$L$3:$Q$15,4,FALSE),
IF($AL67=1,VLOOKUP($AR67,'Loyalty Incentive v1'!$L$3:$Q$15,5,FALSE),
IF($AL67=0,VLOOKUP($AR67,'Loyalty Incentive v1'!$L$3:$Q$15,6,FALSE),0)))))</f>
        <v>0</v>
      </c>
      <c r="AN67" s="51">
        <f>IFERROR(IF(I67&gt;="1",AM67,VLOOKUP(VALUE(I67),'Loyalty - Effec - 15July'!$I$5:$J$16,2,0)*AM67),0)</f>
        <v>0</v>
      </c>
      <c r="AO67" s="51">
        <v>0</v>
      </c>
      <c r="AP67" s="51">
        <f t="shared" si="48"/>
        <v>0</v>
      </c>
      <c r="AQ67" s="46" t="str">
        <f t="shared" si="49"/>
        <v>No</v>
      </c>
      <c r="AR67" s="46" t="str">
        <f t="shared" si="50"/>
        <v>AE5</v>
      </c>
      <c r="AS67" s="46" t="b">
        <f t="shared" si="51"/>
        <v>1</v>
      </c>
      <c r="AT67" s="82">
        <f t="shared" si="52"/>
        <v>0</v>
      </c>
      <c r="AU67" s="82">
        <f t="shared" si="53"/>
        <v>0</v>
      </c>
      <c r="AV67" s="82">
        <f t="shared" si="54"/>
        <v>0</v>
      </c>
      <c r="AW67" s="82">
        <f t="shared" si="55"/>
        <v>0</v>
      </c>
      <c r="AX67" s="85"/>
      <c r="AY67" s="82">
        <f t="shared" si="56"/>
        <v>0</v>
      </c>
      <c r="AZ67" s="82">
        <f t="shared" si="57"/>
        <v>0</v>
      </c>
      <c r="BA67" s="82">
        <f t="shared" si="58"/>
        <v>0</v>
      </c>
      <c r="BB67" s="83">
        <v>0</v>
      </c>
      <c r="BC67" s="83">
        <v>0</v>
      </c>
      <c r="BD67" s="83">
        <v>0</v>
      </c>
      <c r="BE67" s="84">
        <f>ROUND((IF(($AT67&lt;=700000),0,IF(((VLOOKUP($AR67,'Loyalty - Effec - 15July'!$B$5:$C$17,2,0)*$AT67)&lt;=120000),(VLOOKUP($AR67,'Loyalty - Effec - 15July'!$B$5:$C$17,2,0)*$AT67),120000))),0)</f>
        <v>0</v>
      </c>
      <c r="BF67" s="84">
        <f>ROUND(VLOOKUP($AR67,'Loyalty - Effec - 15July'!$B$5:$D$17,3,0)*$AT67,0)</f>
        <v>0</v>
      </c>
      <c r="BG67" s="85">
        <f t="shared" si="59"/>
        <v>0</v>
      </c>
      <c r="BH67" s="81">
        <f t="shared" si="60"/>
        <v>0</v>
      </c>
      <c r="BI67" s="85">
        <f t="shared" si="61"/>
        <v>0</v>
      </c>
      <c r="BJ67" s="85">
        <f t="shared" si="62"/>
        <v>0</v>
      </c>
      <c r="BK67" s="85">
        <f t="shared" si="63"/>
        <v>0</v>
      </c>
      <c r="BL67" s="85">
        <f t="shared" si="64"/>
        <v>0</v>
      </c>
      <c r="BM67" s="85">
        <f t="shared" si="65"/>
        <v>0</v>
      </c>
      <c r="BN67" s="85">
        <f t="shared" si="66"/>
        <v>0</v>
      </c>
      <c r="BO67" s="52" t="s">
        <v>85</v>
      </c>
      <c r="BP67" s="46">
        <v>2</v>
      </c>
      <c r="BQ67" s="46"/>
      <c r="BR67" s="47">
        <f t="shared" si="67"/>
        <v>0</v>
      </c>
      <c r="BU67" s="47">
        <f t="shared" ref="BU67:BU125" si="68">AT67-BG67</f>
        <v>0</v>
      </c>
      <c r="BV67" s="53" t="s">
        <v>227</v>
      </c>
      <c r="BW67" s="53" t="s">
        <v>932</v>
      </c>
      <c r="BX67" s="53" t="s">
        <v>228</v>
      </c>
      <c r="BY67" s="53"/>
      <c r="BZ67" s="53"/>
    </row>
    <row r="68" spans="1:79">
      <c r="A68" s="42" t="s">
        <v>288</v>
      </c>
      <c r="B68" s="28" t="s">
        <v>79</v>
      </c>
      <c r="C68" s="28" t="s">
        <v>80</v>
      </c>
      <c r="D68" s="28" t="s">
        <v>932</v>
      </c>
      <c r="E68" s="43" t="s">
        <v>82</v>
      </c>
      <c r="F68" s="28" t="s">
        <v>901</v>
      </c>
      <c r="G68" s="44" t="s">
        <v>289</v>
      </c>
      <c r="H68" s="45">
        <v>44102</v>
      </c>
      <c r="I68" s="46" t="s">
        <v>981</v>
      </c>
      <c r="J68" s="28">
        <v>2</v>
      </c>
      <c r="K68" s="28" t="s">
        <v>93</v>
      </c>
      <c r="L68" s="28" t="s">
        <v>94</v>
      </c>
      <c r="M68" s="28" t="s">
        <v>3</v>
      </c>
      <c r="N68" s="28" t="str">
        <f t="shared" si="36"/>
        <v>AE5</v>
      </c>
      <c r="O68" s="81"/>
      <c r="P68" s="81">
        <f t="shared" si="37"/>
        <v>0</v>
      </c>
      <c r="Q68" s="81">
        <f t="shared" si="38"/>
        <v>0</v>
      </c>
      <c r="R68" s="81">
        <f t="shared" si="39"/>
        <v>0</v>
      </c>
      <c r="S68" s="81"/>
      <c r="T68" s="82">
        <f t="shared" si="40"/>
        <v>0</v>
      </c>
      <c r="U68" s="82">
        <f t="shared" si="41"/>
        <v>0</v>
      </c>
      <c r="V68" s="82">
        <f t="shared" si="42"/>
        <v>0</v>
      </c>
      <c r="W68" s="83">
        <v>0</v>
      </c>
      <c r="X68" s="83">
        <v>0</v>
      </c>
      <c r="Y68" s="83">
        <v>0</v>
      </c>
      <c r="Z68" s="84">
        <f>ROUND((IF(($O68&lt;=700000),0,IF(((VLOOKUP($M68,'Loyalty - Effec - 15July'!$B$5:$C$17,2,0)*$O68)&lt;=120000),(VLOOKUP($M68,'Loyalty - Effec - 15July'!$B$5:$C$17,2,0)*$O68),120000))),0)</f>
        <v>0</v>
      </c>
      <c r="AA68" s="84">
        <f>ROUND(VLOOKUP($M68,'Loyalty - Effec - 15July'!$B$5:$D$17,3,0)*$O68,0)</f>
        <v>0</v>
      </c>
      <c r="AB68" s="85">
        <f t="shared" si="43"/>
        <v>0</v>
      </c>
      <c r="AC68" s="86">
        <f t="shared" si="44"/>
        <v>0</v>
      </c>
      <c r="AD68" s="87">
        <f t="shared" si="45"/>
        <v>0</v>
      </c>
      <c r="AE68" s="88">
        <f t="shared" si="46"/>
        <v>0</v>
      </c>
      <c r="AF68" s="88">
        <f t="shared" si="47"/>
        <v>0</v>
      </c>
      <c r="AG68" s="49" t="s">
        <v>915</v>
      </c>
      <c r="AH68" s="49" t="s">
        <v>200</v>
      </c>
      <c r="AI68" s="50"/>
      <c r="AJ68" s="46"/>
      <c r="AK68" s="46"/>
      <c r="AL68" s="46"/>
      <c r="AM68" s="51">
        <f>IF($AL68=4,VLOOKUP($AR68,'Loyalty Incentive v1'!$L$3:$Q$15,2,FALSE),
IF($AL68=3,VLOOKUP($AR68,'Loyalty Incentive v1'!$L$3:$Q$15,3,FALSE),
IF($AL68=2,VLOOKUP($AR68,'Loyalty Incentive v1'!$L$3:$Q$15,4,FALSE),
IF($AL68=1,VLOOKUP($AR68,'Loyalty Incentive v1'!$L$3:$Q$15,5,FALSE),
IF($AL68=0,VLOOKUP($AR68,'Loyalty Incentive v1'!$L$3:$Q$15,6,FALSE),0)))))</f>
        <v>0</v>
      </c>
      <c r="AN68" s="51">
        <f>IFERROR(IF(I68&gt;="1",AM68,VLOOKUP(VALUE(I68),'Loyalty - Effec - 15July'!$I$5:$J$16,2,0)*AM68),0)</f>
        <v>0</v>
      </c>
      <c r="AO68" s="51">
        <v>0</v>
      </c>
      <c r="AP68" s="51">
        <f t="shared" si="48"/>
        <v>0</v>
      </c>
      <c r="AQ68" s="46" t="str">
        <f t="shared" si="49"/>
        <v>No</v>
      </c>
      <c r="AR68" s="46" t="str">
        <f t="shared" si="50"/>
        <v>AE5</v>
      </c>
      <c r="AS68" s="46" t="b">
        <f t="shared" si="51"/>
        <v>1</v>
      </c>
      <c r="AT68" s="82">
        <f t="shared" si="52"/>
        <v>0</v>
      </c>
      <c r="AU68" s="82">
        <f t="shared" si="53"/>
        <v>0</v>
      </c>
      <c r="AV68" s="82">
        <f t="shared" si="54"/>
        <v>0</v>
      </c>
      <c r="AW68" s="82">
        <f t="shared" si="55"/>
        <v>0</v>
      </c>
      <c r="AX68" s="85"/>
      <c r="AY68" s="82">
        <f t="shared" si="56"/>
        <v>0</v>
      </c>
      <c r="AZ68" s="82">
        <f t="shared" si="57"/>
        <v>0</v>
      </c>
      <c r="BA68" s="82">
        <f t="shared" si="58"/>
        <v>0</v>
      </c>
      <c r="BB68" s="83">
        <v>0</v>
      </c>
      <c r="BC68" s="83">
        <v>0</v>
      </c>
      <c r="BD68" s="83">
        <v>0</v>
      </c>
      <c r="BE68" s="84">
        <f>ROUND((IF(($AT68&lt;=700000),0,IF(((VLOOKUP($AR68,'Loyalty - Effec - 15July'!$B$5:$C$17,2,0)*$AT68)&lt;=120000),(VLOOKUP($AR68,'Loyalty - Effec - 15July'!$B$5:$C$17,2,0)*$AT68),120000))),0)</f>
        <v>0</v>
      </c>
      <c r="BF68" s="84">
        <f>ROUND(VLOOKUP($AR68,'Loyalty - Effec - 15July'!$B$5:$D$17,3,0)*$AT68,0)</f>
        <v>0</v>
      </c>
      <c r="BG68" s="85">
        <f t="shared" si="59"/>
        <v>0</v>
      </c>
      <c r="BH68" s="81">
        <f t="shared" si="60"/>
        <v>0</v>
      </c>
      <c r="BI68" s="85">
        <f t="shared" si="61"/>
        <v>0</v>
      </c>
      <c r="BJ68" s="85">
        <f t="shared" si="62"/>
        <v>0</v>
      </c>
      <c r="BK68" s="85">
        <f t="shared" si="63"/>
        <v>0</v>
      </c>
      <c r="BL68" s="85">
        <f t="shared" si="64"/>
        <v>0</v>
      </c>
      <c r="BM68" s="85">
        <f t="shared" si="65"/>
        <v>0</v>
      </c>
      <c r="BN68" s="85">
        <f t="shared" si="66"/>
        <v>0</v>
      </c>
      <c r="BO68" s="52" t="s">
        <v>85</v>
      </c>
      <c r="BP68" s="46">
        <v>3</v>
      </c>
      <c r="BQ68" s="46"/>
      <c r="BR68" s="47">
        <f t="shared" si="67"/>
        <v>0</v>
      </c>
      <c r="BU68" s="47">
        <f t="shared" si="68"/>
        <v>0</v>
      </c>
      <c r="BV68" s="53" t="s">
        <v>288</v>
      </c>
      <c r="BW68" s="53" t="s">
        <v>932</v>
      </c>
      <c r="BX68" s="53" t="s">
        <v>289</v>
      </c>
      <c r="BY68" s="53"/>
      <c r="BZ68" s="53"/>
    </row>
    <row r="69" spans="1:79">
      <c r="A69" s="42" t="s">
        <v>205</v>
      </c>
      <c r="B69" s="28" t="s">
        <v>79</v>
      </c>
      <c r="C69" s="28" t="s">
        <v>80</v>
      </c>
      <c r="D69" s="28" t="s">
        <v>81</v>
      </c>
      <c r="E69" s="43" t="s">
        <v>82</v>
      </c>
      <c r="F69" s="28" t="s">
        <v>902</v>
      </c>
      <c r="G69" s="44" t="s">
        <v>206</v>
      </c>
      <c r="H69" s="45">
        <v>44137</v>
      </c>
      <c r="I69" s="28" t="s">
        <v>1037</v>
      </c>
      <c r="J69" s="28">
        <v>4</v>
      </c>
      <c r="K69" s="28" t="s">
        <v>863</v>
      </c>
      <c r="L69" s="28" t="s">
        <v>865</v>
      </c>
      <c r="M69" s="28" t="s">
        <v>4</v>
      </c>
      <c r="N69" s="28" t="str">
        <f t="shared" si="36"/>
        <v>AE6</v>
      </c>
      <c r="O69" s="81"/>
      <c r="P69" s="81">
        <f t="shared" si="37"/>
        <v>0</v>
      </c>
      <c r="Q69" s="81">
        <f t="shared" si="38"/>
        <v>0</v>
      </c>
      <c r="R69" s="81">
        <f t="shared" si="39"/>
        <v>0</v>
      </c>
      <c r="S69" s="81"/>
      <c r="T69" s="82">
        <f t="shared" si="40"/>
        <v>0</v>
      </c>
      <c r="U69" s="82">
        <f t="shared" si="41"/>
        <v>0</v>
      </c>
      <c r="V69" s="82">
        <f t="shared" si="42"/>
        <v>0</v>
      </c>
      <c r="W69" s="83">
        <v>0</v>
      </c>
      <c r="X69" s="83">
        <v>0</v>
      </c>
      <c r="Y69" s="83">
        <v>0</v>
      </c>
      <c r="Z69" s="84">
        <f>ROUND((IF(($O69&lt;=700000),0,IF(((VLOOKUP($M69,'Loyalty - Effec - 15July'!$B$5:$C$17,2,0)*$O69)&lt;=120000),(VLOOKUP($M69,'Loyalty - Effec - 15July'!$B$5:$C$17,2,0)*$O69),120000))),0)</f>
        <v>0</v>
      </c>
      <c r="AA69" s="84">
        <f>ROUND(VLOOKUP($M69,'Loyalty - Effec - 15July'!$B$5:$D$17,3,0)*$O69,0)</f>
        <v>0</v>
      </c>
      <c r="AB69" s="85">
        <f t="shared" si="43"/>
        <v>0</v>
      </c>
      <c r="AC69" s="86">
        <f t="shared" si="44"/>
        <v>0</v>
      </c>
      <c r="AD69" s="87">
        <f t="shared" si="45"/>
        <v>0</v>
      </c>
      <c r="AE69" s="88">
        <f t="shared" si="46"/>
        <v>0</v>
      </c>
      <c r="AF69" s="88">
        <f t="shared" si="47"/>
        <v>0</v>
      </c>
      <c r="AG69" s="49" t="s">
        <v>126</v>
      </c>
      <c r="AH69" s="49" t="s">
        <v>809</v>
      </c>
      <c r="AI69" s="50"/>
      <c r="AJ69" s="50"/>
      <c r="AK69" s="50"/>
      <c r="AL69" s="46"/>
      <c r="AM69" s="51">
        <f>IF($AL69=4,VLOOKUP($AR69,'Loyalty Incentive v1'!$L$3:$Q$15,2,FALSE),
IF($AL69=3,VLOOKUP($AR69,'Loyalty Incentive v1'!$L$3:$Q$15,3,FALSE),
IF($AL69=2,VLOOKUP($AR69,'Loyalty Incentive v1'!$L$3:$Q$15,4,FALSE),
IF($AL69=1,VLOOKUP($AR69,'Loyalty Incentive v1'!$L$3:$Q$15,5,FALSE),
IF($AL69=0,VLOOKUP($AR69,'Loyalty Incentive v1'!$L$3:$Q$15,6,FALSE),0)))))</f>
        <v>0</v>
      </c>
      <c r="AN69" s="51">
        <f>IFERROR(IF(I69&gt;="1",AM69,VLOOKUP(VALUE(I69),'Loyalty - Effec - 15July'!$I$5:$J$16,2,0)*AM69),0)</f>
        <v>0</v>
      </c>
      <c r="AO69" s="51">
        <v>-0.02</v>
      </c>
      <c r="AP69" s="51">
        <f t="shared" si="48"/>
        <v>-0.02</v>
      </c>
      <c r="AQ69" s="46" t="str">
        <f t="shared" si="49"/>
        <v>No</v>
      </c>
      <c r="AR69" s="46" t="str">
        <f t="shared" si="50"/>
        <v>AE6</v>
      </c>
      <c r="AS69" s="46" t="b">
        <f t="shared" si="51"/>
        <v>1</v>
      </c>
      <c r="AT69" s="82">
        <f t="shared" si="52"/>
        <v>0</v>
      </c>
      <c r="AU69" s="82">
        <f t="shared" si="53"/>
        <v>0</v>
      </c>
      <c r="AV69" s="82">
        <f t="shared" si="54"/>
        <v>0</v>
      </c>
      <c r="AW69" s="82">
        <f t="shared" si="55"/>
        <v>0</v>
      </c>
      <c r="AX69" s="85"/>
      <c r="AY69" s="82">
        <f t="shared" si="56"/>
        <v>0</v>
      </c>
      <c r="AZ69" s="82">
        <f t="shared" si="57"/>
        <v>0</v>
      </c>
      <c r="BA69" s="82">
        <f t="shared" si="58"/>
        <v>0</v>
      </c>
      <c r="BB69" s="83">
        <v>0</v>
      </c>
      <c r="BC69" s="83">
        <v>0</v>
      </c>
      <c r="BD69" s="83">
        <v>0</v>
      </c>
      <c r="BE69" s="84">
        <f>ROUND((IF(($AT69&lt;=700000),0,IF(((VLOOKUP($AR69,'Loyalty - Effec - 15July'!$B$5:$C$17,2,0)*$AT69)&lt;=120000),(VLOOKUP($AR69,'Loyalty - Effec - 15July'!$B$5:$C$17,2,0)*$AT69),120000))),0)</f>
        <v>0</v>
      </c>
      <c r="BF69" s="84">
        <f>ROUND(VLOOKUP($AR69,'Loyalty - Effec - 15July'!$B$5:$D$17,3,0)*$AT69,0)</f>
        <v>0</v>
      </c>
      <c r="BG69" s="85">
        <f t="shared" si="59"/>
        <v>0</v>
      </c>
      <c r="BH69" s="81">
        <f t="shared" si="60"/>
        <v>0</v>
      </c>
      <c r="BI69" s="85">
        <f t="shared" si="61"/>
        <v>0</v>
      </c>
      <c r="BJ69" s="85">
        <f t="shared" si="62"/>
        <v>0</v>
      </c>
      <c r="BK69" s="85">
        <f t="shared" si="63"/>
        <v>0</v>
      </c>
      <c r="BL69" s="85">
        <f t="shared" si="64"/>
        <v>0</v>
      </c>
      <c r="BM69" s="85">
        <f t="shared" si="65"/>
        <v>0</v>
      </c>
      <c r="BN69" s="85">
        <f t="shared" si="66"/>
        <v>0</v>
      </c>
      <c r="BO69" s="52" t="s">
        <v>85</v>
      </c>
      <c r="BP69" s="46">
        <v>3</v>
      </c>
      <c r="BQ69" s="52" t="s">
        <v>121</v>
      </c>
      <c r="BR69" s="47">
        <f t="shared" si="67"/>
        <v>0</v>
      </c>
      <c r="BS69" s="46">
        <v>3</v>
      </c>
      <c r="BT69" s="54">
        <v>0.18099999999999999</v>
      </c>
      <c r="BU69" s="47">
        <f t="shared" si="68"/>
        <v>0</v>
      </c>
      <c r="BV69" s="53" t="s">
        <v>205</v>
      </c>
      <c r="BW69" s="53" t="s">
        <v>81</v>
      </c>
      <c r="BX69" s="53" t="s">
        <v>206</v>
      </c>
      <c r="BY69" s="53"/>
      <c r="BZ69" s="53"/>
      <c r="CA69" s="55"/>
    </row>
    <row r="70" spans="1:79">
      <c r="A70" s="42" t="s">
        <v>183</v>
      </c>
      <c r="B70" s="28" t="s">
        <v>79</v>
      </c>
      <c r="C70" s="28" t="s">
        <v>80</v>
      </c>
      <c r="D70" s="28" t="s">
        <v>932</v>
      </c>
      <c r="E70" s="43" t="s">
        <v>82</v>
      </c>
      <c r="F70" s="28" t="s">
        <v>902</v>
      </c>
      <c r="G70" s="44" t="s">
        <v>185</v>
      </c>
      <c r="H70" s="45">
        <v>44139</v>
      </c>
      <c r="I70" s="46" t="s">
        <v>1037</v>
      </c>
      <c r="J70" s="28">
        <v>0</v>
      </c>
      <c r="K70" s="28" t="s">
        <v>413</v>
      </c>
      <c r="L70" s="28" t="s">
        <v>880</v>
      </c>
      <c r="M70" s="28" t="s">
        <v>1</v>
      </c>
      <c r="N70" s="28" t="str">
        <f t="shared" si="36"/>
        <v>AE3</v>
      </c>
      <c r="O70" s="81"/>
      <c r="P70" s="81">
        <f t="shared" si="37"/>
        <v>0</v>
      </c>
      <c r="Q70" s="81">
        <f t="shared" si="38"/>
        <v>0</v>
      </c>
      <c r="R70" s="81">
        <f t="shared" si="39"/>
        <v>0</v>
      </c>
      <c r="S70" s="81"/>
      <c r="T70" s="82">
        <f t="shared" si="40"/>
        <v>0</v>
      </c>
      <c r="U70" s="82">
        <f t="shared" si="41"/>
        <v>0</v>
      </c>
      <c r="V70" s="82">
        <f t="shared" si="42"/>
        <v>0</v>
      </c>
      <c r="W70" s="83">
        <v>0</v>
      </c>
      <c r="X70" s="83">
        <v>0</v>
      </c>
      <c r="Y70" s="83">
        <v>0</v>
      </c>
      <c r="Z70" s="84">
        <f>ROUND((IF(($O70&lt;=700000),0,IF(((VLOOKUP($M70,'Loyalty - Effec - 15July'!$B$5:$C$17,2,0)*$O70)&lt;=120000),(VLOOKUP($M70,'Loyalty - Effec - 15July'!$B$5:$C$17,2,0)*$O70),120000))),0)</f>
        <v>0</v>
      </c>
      <c r="AA70" s="84">
        <f>ROUND(VLOOKUP($M70,'Loyalty - Effec - 15July'!$B$5:$D$17,3,0)*$O70,0)</f>
        <v>0</v>
      </c>
      <c r="AB70" s="85">
        <f t="shared" si="43"/>
        <v>0</v>
      </c>
      <c r="AC70" s="86">
        <f t="shared" si="44"/>
        <v>0</v>
      </c>
      <c r="AD70" s="87">
        <f t="shared" si="45"/>
        <v>0</v>
      </c>
      <c r="AE70" s="88">
        <f t="shared" si="46"/>
        <v>0</v>
      </c>
      <c r="AF70" s="88">
        <f t="shared" si="47"/>
        <v>0</v>
      </c>
      <c r="AG70" s="49" t="s">
        <v>174</v>
      </c>
      <c r="AH70" s="49" t="s">
        <v>120</v>
      </c>
      <c r="AI70" s="50"/>
      <c r="AJ70" s="46"/>
      <c r="AK70" s="46"/>
      <c r="AL70" s="46"/>
      <c r="AM70" s="51">
        <f>IF($AL70=4,VLOOKUP($AR70,'Loyalty Incentive v1'!$L$3:$Q$15,2,FALSE),
IF($AL70=3,VLOOKUP($AR70,'Loyalty Incentive v1'!$L$3:$Q$15,3,FALSE),
IF($AL70=2,VLOOKUP($AR70,'Loyalty Incentive v1'!$L$3:$Q$15,4,FALSE),
IF($AL70=1,VLOOKUP($AR70,'Loyalty Incentive v1'!$L$3:$Q$15,5,FALSE),
IF($AL70=0,VLOOKUP($AR70,'Loyalty Incentive v1'!$L$3:$Q$15,6,FALSE),0)))))</f>
        <v>0</v>
      </c>
      <c r="AN70" s="51">
        <f>IFERROR(IF(I70&gt;="1",AM70,VLOOKUP(VALUE(I70),'Loyalty - Effec - 15July'!$I$5:$J$16,2,0)*AM70),0)</f>
        <v>0</v>
      </c>
      <c r="AO70" s="51">
        <v>0</v>
      </c>
      <c r="AP70" s="51">
        <f t="shared" si="48"/>
        <v>0</v>
      </c>
      <c r="AQ70" s="46" t="str">
        <f t="shared" si="49"/>
        <v>No</v>
      </c>
      <c r="AR70" s="46" t="str">
        <f t="shared" si="50"/>
        <v>AE3</v>
      </c>
      <c r="AS70" s="46" t="b">
        <f t="shared" si="51"/>
        <v>1</v>
      </c>
      <c r="AT70" s="82">
        <f t="shared" si="52"/>
        <v>0</v>
      </c>
      <c r="AU70" s="82">
        <f t="shared" si="53"/>
        <v>0</v>
      </c>
      <c r="AV70" s="82">
        <f t="shared" si="54"/>
        <v>0</v>
      </c>
      <c r="AW70" s="82">
        <f t="shared" si="55"/>
        <v>0</v>
      </c>
      <c r="AX70" s="85"/>
      <c r="AY70" s="82">
        <f t="shared" si="56"/>
        <v>0</v>
      </c>
      <c r="AZ70" s="82">
        <f t="shared" si="57"/>
        <v>0</v>
      </c>
      <c r="BA70" s="82">
        <f t="shared" si="58"/>
        <v>0</v>
      </c>
      <c r="BB70" s="83">
        <v>0</v>
      </c>
      <c r="BC70" s="83">
        <v>0</v>
      </c>
      <c r="BD70" s="83">
        <v>0</v>
      </c>
      <c r="BE70" s="84">
        <f>ROUND((IF(($AT70&lt;=700000),0,IF(((VLOOKUP($AR70,'Loyalty - Effec - 15July'!$B$5:$C$17,2,0)*$AT70)&lt;=120000),(VLOOKUP($AR70,'Loyalty - Effec - 15July'!$B$5:$C$17,2,0)*$AT70),120000))),0)</f>
        <v>0</v>
      </c>
      <c r="BF70" s="84">
        <f>ROUND(VLOOKUP($AR70,'Loyalty - Effec - 15July'!$B$5:$D$17,3,0)*$AT70,0)</f>
        <v>0</v>
      </c>
      <c r="BG70" s="85">
        <f t="shared" si="59"/>
        <v>0</v>
      </c>
      <c r="BH70" s="81">
        <f t="shared" si="60"/>
        <v>0</v>
      </c>
      <c r="BI70" s="85">
        <f t="shared" si="61"/>
        <v>0</v>
      </c>
      <c r="BJ70" s="85">
        <f t="shared" si="62"/>
        <v>0</v>
      </c>
      <c r="BK70" s="85">
        <f t="shared" si="63"/>
        <v>0</v>
      </c>
      <c r="BL70" s="85">
        <f t="shared" si="64"/>
        <v>0</v>
      </c>
      <c r="BM70" s="85">
        <f t="shared" si="65"/>
        <v>0</v>
      </c>
      <c r="BN70" s="85">
        <f t="shared" si="66"/>
        <v>0</v>
      </c>
      <c r="BO70" s="52" t="s">
        <v>85</v>
      </c>
      <c r="BP70" s="46">
        <v>0</v>
      </c>
      <c r="BQ70" s="46"/>
      <c r="BR70" s="47">
        <f t="shared" si="67"/>
        <v>0</v>
      </c>
      <c r="BU70" s="47">
        <f t="shared" si="68"/>
        <v>0</v>
      </c>
      <c r="BV70" s="53" t="s">
        <v>183</v>
      </c>
      <c r="BW70" s="53" t="s">
        <v>932</v>
      </c>
      <c r="BX70" s="53" t="s">
        <v>185</v>
      </c>
      <c r="BY70" s="53"/>
      <c r="BZ70" s="53"/>
    </row>
    <row r="71" spans="1:79">
      <c r="A71" s="42" t="s">
        <v>231</v>
      </c>
      <c r="B71" s="28" t="s">
        <v>79</v>
      </c>
      <c r="C71" s="28" t="s">
        <v>80</v>
      </c>
      <c r="D71" s="28" t="s">
        <v>932</v>
      </c>
      <c r="E71" s="43" t="s">
        <v>82</v>
      </c>
      <c r="F71" s="28" t="s">
        <v>901</v>
      </c>
      <c r="G71" s="44" t="s">
        <v>232</v>
      </c>
      <c r="H71" s="45">
        <v>44154</v>
      </c>
      <c r="I71" s="46" t="s">
        <v>1037</v>
      </c>
      <c r="J71" s="28">
        <v>7</v>
      </c>
      <c r="K71" s="28" t="s">
        <v>413</v>
      </c>
      <c r="L71" s="28" t="s">
        <v>875</v>
      </c>
      <c r="M71" s="28" t="s">
        <v>3</v>
      </c>
      <c r="N71" s="28" t="str">
        <f t="shared" si="36"/>
        <v>AE5</v>
      </c>
      <c r="O71" s="81"/>
      <c r="P71" s="81">
        <f t="shared" si="37"/>
        <v>0</v>
      </c>
      <c r="Q71" s="81">
        <f t="shared" si="38"/>
        <v>0</v>
      </c>
      <c r="R71" s="81">
        <f t="shared" si="39"/>
        <v>0</v>
      </c>
      <c r="S71" s="81"/>
      <c r="T71" s="82">
        <f t="shared" si="40"/>
        <v>0</v>
      </c>
      <c r="U71" s="82">
        <f t="shared" si="41"/>
        <v>0</v>
      </c>
      <c r="V71" s="82">
        <f t="shared" si="42"/>
        <v>0</v>
      </c>
      <c r="W71" s="83">
        <v>0</v>
      </c>
      <c r="X71" s="83">
        <v>0</v>
      </c>
      <c r="Y71" s="83">
        <v>0</v>
      </c>
      <c r="Z71" s="84">
        <f>ROUND((IF(($O71&lt;=700000),0,IF(((VLOOKUP($M71,'Loyalty - Effec - 15July'!$B$5:$C$17,2,0)*$O71)&lt;=120000),(VLOOKUP($M71,'Loyalty - Effec - 15July'!$B$5:$C$17,2,0)*$O71),120000))),0)</f>
        <v>0</v>
      </c>
      <c r="AA71" s="84">
        <f>ROUND(VLOOKUP($M71,'Loyalty - Effec - 15July'!$B$5:$D$17,3,0)*$O71,0)</f>
        <v>0</v>
      </c>
      <c r="AB71" s="85">
        <f t="shared" si="43"/>
        <v>0</v>
      </c>
      <c r="AC71" s="86">
        <f t="shared" si="44"/>
        <v>0</v>
      </c>
      <c r="AD71" s="87">
        <f t="shared" si="45"/>
        <v>0</v>
      </c>
      <c r="AE71" s="88">
        <f t="shared" si="46"/>
        <v>0</v>
      </c>
      <c r="AF71" s="88">
        <f t="shared" si="47"/>
        <v>0</v>
      </c>
      <c r="AG71" s="49" t="s">
        <v>176</v>
      </c>
      <c r="AH71" s="49" t="s">
        <v>200</v>
      </c>
      <c r="AI71" s="50"/>
      <c r="AJ71" s="46"/>
      <c r="AK71" s="46"/>
      <c r="AL71" s="46"/>
      <c r="AM71" s="51">
        <f>IF($AL71=4,VLOOKUP($AR71,'Loyalty Incentive v1'!$L$3:$Q$15,2,FALSE),
IF($AL71=3,VLOOKUP($AR71,'Loyalty Incentive v1'!$L$3:$Q$15,3,FALSE),
IF($AL71=2,VLOOKUP($AR71,'Loyalty Incentive v1'!$L$3:$Q$15,4,FALSE),
IF($AL71=1,VLOOKUP($AR71,'Loyalty Incentive v1'!$L$3:$Q$15,5,FALSE),
IF($AL71=0,VLOOKUP($AR71,'Loyalty Incentive v1'!$L$3:$Q$15,6,FALSE),0)))))</f>
        <v>0</v>
      </c>
      <c r="AN71" s="51">
        <f>IFERROR(IF(I71&gt;="1",AM71,VLOOKUP(VALUE(I71),'Loyalty - Effec - 15July'!$I$5:$J$16,2,0)*AM71),0)</f>
        <v>0</v>
      </c>
      <c r="AO71" s="51">
        <v>0</v>
      </c>
      <c r="AP71" s="51">
        <f t="shared" si="48"/>
        <v>0</v>
      </c>
      <c r="AQ71" s="46" t="str">
        <f t="shared" si="49"/>
        <v>No</v>
      </c>
      <c r="AR71" s="46" t="str">
        <f t="shared" si="50"/>
        <v>AE5</v>
      </c>
      <c r="AS71" s="46" t="b">
        <f t="shared" si="51"/>
        <v>1</v>
      </c>
      <c r="AT71" s="82">
        <f t="shared" si="52"/>
        <v>0</v>
      </c>
      <c r="AU71" s="82">
        <f t="shared" si="53"/>
        <v>0</v>
      </c>
      <c r="AV71" s="82">
        <f t="shared" si="54"/>
        <v>0</v>
      </c>
      <c r="AW71" s="82">
        <f t="shared" si="55"/>
        <v>0</v>
      </c>
      <c r="AX71" s="85"/>
      <c r="AY71" s="82">
        <f t="shared" si="56"/>
        <v>0</v>
      </c>
      <c r="AZ71" s="82">
        <f t="shared" si="57"/>
        <v>0</v>
      </c>
      <c r="BA71" s="82">
        <f t="shared" si="58"/>
        <v>0</v>
      </c>
      <c r="BB71" s="83">
        <v>0</v>
      </c>
      <c r="BC71" s="83">
        <v>0</v>
      </c>
      <c r="BD71" s="83">
        <v>0</v>
      </c>
      <c r="BE71" s="84">
        <f>ROUND((IF(($AT71&lt;=700000),0,IF(((VLOOKUP($AR71,'Loyalty - Effec - 15July'!$B$5:$C$17,2,0)*$AT71)&lt;=120000),(VLOOKUP($AR71,'Loyalty - Effec - 15July'!$B$5:$C$17,2,0)*$AT71),120000))),0)</f>
        <v>0</v>
      </c>
      <c r="BF71" s="84">
        <f>ROUND(VLOOKUP($AR71,'Loyalty - Effec - 15July'!$B$5:$D$17,3,0)*$AT71,0)</f>
        <v>0</v>
      </c>
      <c r="BG71" s="85">
        <f t="shared" si="59"/>
        <v>0</v>
      </c>
      <c r="BH71" s="81">
        <f t="shared" si="60"/>
        <v>0</v>
      </c>
      <c r="BI71" s="85">
        <f t="shared" si="61"/>
        <v>0</v>
      </c>
      <c r="BJ71" s="85">
        <f t="shared" si="62"/>
        <v>0</v>
      </c>
      <c r="BK71" s="85">
        <f t="shared" si="63"/>
        <v>0</v>
      </c>
      <c r="BL71" s="85">
        <f t="shared" si="64"/>
        <v>0</v>
      </c>
      <c r="BM71" s="85">
        <f t="shared" si="65"/>
        <v>0</v>
      </c>
      <c r="BN71" s="85">
        <f t="shared" si="66"/>
        <v>0</v>
      </c>
      <c r="BO71" s="52" t="s">
        <v>85</v>
      </c>
      <c r="BP71" s="46">
        <v>2</v>
      </c>
      <c r="BQ71" s="46"/>
      <c r="BR71" s="47">
        <f t="shared" si="67"/>
        <v>0</v>
      </c>
      <c r="BU71" s="47">
        <f t="shared" si="68"/>
        <v>0</v>
      </c>
      <c r="BV71" s="53" t="s">
        <v>231</v>
      </c>
      <c r="BW71" s="53" t="s">
        <v>932</v>
      </c>
      <c r="BX71" s="53" t="s">
        <v>232</v>
      </c>
      <c r="BY71" s="53"/>
      <c r="BZ71" s="53"/>
    </row>
    <row r="72" spans="1:79">
      <c r="A72" s="42" t="s">
        <v>219</v>
      </c>
      <c r="B72" s="28" t="s">
        <v>79</v>
      </c>
      <c r="C72" s="28" t="s">
        <v>80</v>
      </c>
      <c r="D72" s="28" t="s">
        <v>932</v>
      </c>
      <c r="E72" s="43" t="s">
        <v>82</v>
      </c>
      <c r="F72" s="28" t="s">
        <v>901</v>
      </c>
      <c r="G72" s="44" t="s">
        <v>220</v>
      </c>
      <c r="H72" s="45">
        <v>44166</v>
      </c>
      <c r="I72" s="46" t="s">
        <v>1037</v>
      </c>
      <c r="J72" s="28">
        <v>0</v>
      </c>
      <c r="K72" s="28" t="s">
        <v>407</v>
      </c>
      <c r="L72" s="28" t="s">
        <v>868</v>
      </c>
      <c r="M72" s="28" t="s">
        <v>3</v>
      </c>
      <c r="N72" s="28" t="str">
        <f t="shared" si="36"/>
        <v>AE5</v>
      </c>
      <c r="O72" s="81"/>
      <c r="P72" s="81">
        <f t="shared" si="37"/>
        <v>0</v>
      </c>
      <c r="Q72" s="81">
        <f t="shared" si="38"/>
        <v>0</v>
      </c>
      <c r="R72" s="81">
        <f t="shared" si="39"/>
        <v>0</v>
      </c>
      <c r="S72" s="81"/>
      <c r="T72" s="82">
        <f t="shared" si="40"/>
        <v>0</v>
      </c>
      <c r="U72" s="82">
        <f t="shared" si="41"/>
        <v>0</v>
      </c>
      <c r="V72" s="82">
        <f t="shared" si="42"/>
        <v>0</v>
      </c>
      <c r="W72" s="83">
        <v>0</v>
      </c>
      <c r="X72" s="83">
        <v>0</v>
      </c>
      <c r="Y72" s="83">
        <v>0</v>
      </c>
      <c r="Z72" s="84">
        <f>ROUND((IF(($O72&lt;=700000),0,IF(((VLOOKUP($M72,'Loyalty - Effec - 15July'!$B$5:$C$17,2,0)*$O72)&lt;=120000),(VLOOKUP($M72,'Loyalty - Effec - 15July'!$B$5:$C$17,2,0)*$O72),120000))),0)</f>
        <v>0</v>
      </c>
      <c r="AA72" s="84">
        <f>ROUND(VLOOKUP($M72,'Loyalty - Effec - 15July'!$B$5:$D$17,3,0)*$O72,0)</f>
        <v>0</v>
      </c>
      <c r="AB72" s="85">
        <f t="shared" si="43"/>
        <v>0</v>
      </c>
      <c r="AC72" s="86">
        <f t="shared" si="44"/>
        <v>0</v>
      </c>
      <c r="AD72" s="87">
        <f t="shared" si="45"/>
        <v>0</v>
      </c>
      <c r="AE72" s="88">
        <f t="shared" si="46"/>
        <v>0</v>
      </c>
      <c r="AF72" s="88">
        <f t="shared" si="47"/>
        <v>0</v>
      </c>
      <c r="AG72" s="49" t="s">
        <v>163</v>
      </c>
      <c r="AH72" s="49" t="s">
        <v>912</v>
      </c>
      <c r="AI72" s="50"/>
      <c r="AJ72" s="46"/>
      <c r="AK72" s="46"/>
      <c r="AL72" s="46"/>
      <c r="AM72" s="51">
        <f>IF($AL72=4,VLOOKUP($AR72,'Loyalty Incentive v1'!$L$3:$Q$15,2,FALSE),
IF($AL72=3,VLOOKUP($AR72,'Loyalty Incentive v1'!$L$3:$Q$15,3,FALSE),
IF($AL72=2,VLOOKUP($AR72,'Loyalty Incentive v1'!$L$3:$Q$15,4,FALSE),
IF($AL72=1,VLOOKUP($AR72,'Loyalty Incentive v1'!$L$3:$Q$15,5,FALSE),
IF($AL72=0,VLOOKUP($AR72,'Loyalty Incentive v1'!$L$3:$Q$15,6,FALSE),0)))))</f>
        <v>0</v>
      </c>
      <c r="AN72" s="51">
        <f>IFERROR(IF(I72&gt;="1",AM72,VLOOKUP(VALUE(I72),'Loyalty - Effec - 15July'!$I$5:$J$16,2,0)*AM72),0)</f>
        <v>0</v>
      </c>
      <c r="AO72" s="51">
        <v>0</v>
      </c>
      <c r="AP72" s="51">
        <f t="shared" si="48"/>
        <v>0</v>
      </c>
      <c r="AQ72" s="46" t="str">
        <f t="shared" si="49"/>
        <v>No</v>
      </c>
      <c r="AR72" s="46" t="str">
        <f t="shared" si="50"/>
        <v>AE5</v>
      </c>
      <c r="AS72" s="46" t="b">
        <f t="shared" si="51"/>
        <v>1</v>
      </c>
      <c r="AT72" s="82">
        <f t="shared" si="52"/>
        <v>0</v>
      </c>
      <c r="AU72" s="82">
        <f t="shared" si="53"/>
        <v>0</v>
      </c>
      <c r="AV72" s="82">
        <f t="shared" si="54"/>
        <v>0</v>
      </c>
      <c r="AW72" s="82">
        <f t="shared" si="55"/>
        <v>0</v>
      </c>
      <c r="AX72" s="85"/>
      <c r="AY72" s="82">
        <f t="shared" si="56"/>
        <v>0</v>
      </c>
      <c r="AZ72" s="82">
        <f t="shared" si="57"/>
        <v>0</v>
      </c>
      <c r="BA72" s="82">
        <f t="shared" si="58"/>
        <v>0</v>
      </c>
      <c r="BB72" s="83">
        <v>0</v>
      </c>
      <c r="BC72" s="83">
        <v>0</v>
      </c>
      <c r="BD72" s="83">
        <v>0</v>
      </c>
      <c r="BE72" s="84">
        <f>ROUND((IF(($AT72&lt;=700000),0,IF(((VLOOKUP($AR72,'Loyalty - Effec - 15July'!$B$5:$C$17,2,0)*$AT72)&lt;=120000),(VLOOKUP($AR72,'Loyalty - Effec - 15July'!$B$5:$C$17,2,0)*$AT72),120000))),0)</f>
        <v>0</v>
      </c>
      <c r="BF72" s="84">
        <f>ROUND(VLOOKUP($AR72,'Loyalty - Effec - 15July'!$B$5:$D$17,3,0)*$AT72,0)</f>
        <v>0</v>
      </c>
      <c r="BG72" s="85">
        <f t="shared" si="59"/>
        <v>0</v>
      </c>
      <c r="BH72" s="81">
        <f t="shared" si="60"/>
        <v>0</v>
      </c>
      <c r="BI72" s="85">
        <f t="shared" si="61"/>
        <v>0</v>
      </c>
      <c r="BJ72" s="85">
        <f t="shared" si="62"/>
        <v>0</v>
      </c>
      <c r="BK72" s="85">
        <f t="shared" si="63"/>
        <v>0</v>
      </c>
      <c r="BL72" s="85">
        <f t="shared" si="64"/>
        <v>0</v>
      </c>
      <c r="BM72" s="85">
        <f t="shared" si="65"/>
        <v>0</v>
      </c>
      <c r="BN72" s="85">
        <f t="shared" si="66"/>
        <v>0</v>
      </c>
      <c r="BO72" s="52" t="s">
        <v>86</v>
      </c>
      <c r="BP72" s="46">
        <v>3</v>
      </c>
      <c r="BQ72" s="46"/>
      <c r="BR72" s="47">
        <f>BG72-AB72</f>
        <v>0</v>
      </c>
      <c r="BU72" s="47">
        <f t="shared" si="68"/>
        <v>0</v>
      </c>
      <c r="BV72" s="53" t="s">
        <v>219</v>
      </c>
      <c r="BW72" s="53" t="s">
        <v>932</v>
      </c>
      <c r="BX72" s="53" t="s">
        <v>220</v>
      </c>
      <c r="BY72" s="53"/>
      <c r="BZ72" s="53"/>
    </row>
    <row r="73" spans="1:79">
      <c r="A73" s="42" t="s">
        <v>238</v>
      </c>
      <c r="B73" s="28" t="s">
        <v>79</v>
      </c>
      <c r="C73" s="28" t="s">
        <v>80</v>
      </c>
      <c r="D73" s="28" t="s">
        <v>932</v>
      </c>
      <c r="E73" s="43" t="s">
        <v>82</v>
      </c>
      <c r="F73" s="28" t="s">
        <v>902</v>
      </c>
      <c r="G73" s="44" t="s">
        <v>239</v>
      </c>
      <c r="H73" s="45">
        <v>44172</v>
      </c>
      <c r="I73" s="46" t="s">
        <v>1038</v>
      </c>
      <c r="J73" s="28">
        <v>0</v>
      </c>
      <c r="K73" s="28" t="s">
        <v>413</v>
      </c>
      <c r="L73" s="28" t="s">
        <v>880</v>
      </c>
      <c r="M73" s="28" t="s">
        <v>1</v>
      </c>
      <c r="N73" s="28" t="str">
        <f t="shared" si="36"/>
        <v>AE3</v>
      </c>
      <c r="O73" s="81"/>
      <c r="P73" s="81">
        <f t="shared" si="37"/>
        <v>0</v>
      </c>
      <c r="Q73" s="81">
        <f t="shared" si="38"/>
        <v>0</v>
      </c>
      <c r="R73" s="81">
        <f t="shared" si="39"/>
        <v>0</v>
      </c>
      <c r="S73" s="81"/>
      <c r="T73" s="82">
        <f t="shared" si="40"/>
        <v>0</v>
      </c>
      <c r="U73" s="82">
        <f t="shared" si="41"/>
        <v>0</v>
      </c>
      <c r="V73" s="82">
        <f t="shared" si="42"/>
        <v>0</v>
      </c>
      <c r="W73" s="83">
        <v>0</v>
      </c>
      <c r="X73" s="83">
        <v>0</v>
      </c>
      <c r="Y73" s="83">
        <v>0</v>
      </c>
      <c r="Z73" s="84">
        <f>ROUND((IF(($O73&lt;=700000),0,IF(((VLOOKUP($M73,'Loyalty - Effec - 15July'!$B$5:$C$17,2,0)*$O73)&lt;=120000),(VLOOKUP($M73,'Loyalty - Effec - 15July'!$B$5:$C$17,2,0)*$O73),120000))),0)</f>
        <v>0</v>
      </c>
      <c r="AA73" s="84">
        <f>ROUND(VLOOKUP($M73,'Loyalty - Effec - 15July'!$B$5:$D$17,3,0)*$O73,0)</f>
        <v>0</v>
      </c>
      <c r="AB73" s="85">
        <f t="shared" si="43"/>
        <v>0</v>
      </c>
      <c r="AC73" s="86">
        <f t="shared" si="44"/>
        <v>0</v>
      </c>
      <c r="AD73" s="87">
        <f t="shared" si="45"/>
        <v>0</v>
      </c>
      <c r="AE73" s="88">
        <f t="shared" si="46"/>
        <v>0</v>
      </c>
      <c r="AF73" s="88">
        <f t="shared" si="47"/>
        <v>0</v>
      </c>
      <c r="AG73" s="49" t="s">
        <v>311</v>
      </c>
      <c r="AH73" s="49" t="s">
        <v>811</v>
      </c>
      <c r="AI73" s="50"/>
      <c r="AJ73" s="46"/>
      <c r="AK73" s="46"/>
      <c r="AL73" s="46"/>
      <c r="AM73" s="51">
        <f>IF($AL73=4,VLOOKUP($AR73,'Loyalty Incentive v1'!$L$3:$Q$15,2,FALSE),
IF($AL73=3,VLOOKUP($AR73,'Loyalty Incentive v1'!$L$3:$Q$15,3,FALSE),
IF($AL73=2,VLOOKUP($AR73,'Loyalty Incentive v1'!$L$3:$Q$15,4,FALSE),
IF($AL73=1,VLOOKUP($AR73,'Loyalty Incentive v1'!$L$3:$Q$15,5,FALSE),
IF($AL73=0,VLOOKUP($AR73,'Loyalty Incentive v1'!$L$3:$Q$15,6,FALSE),0)))))</f>
        <v>0</v>
      </c>
      <c r="AN73" s="51">
        <f>IFERROR(IF(I73&gt;="1",AM73,VLOOKUP(VALUE(I73),'Loyalty - Effec - 15July'!$I$5:$J$16,2,0)*AM73),0)</f>
        <v>0</v>
      </c>
      <c r="AO73" s="51">
        <v>0</v>
      </c>
      <c r="AP73" s="51">
        <f t="shared" si="48"/>
        <v>0</v>
      </c>
      <c r="AQ73" s="46" t="str">
        <f t="shared" si="49"/>
        <v>No</v>
      </c>
      <c r="AR73" s="46" t="str">
        <f t="shared" si="50"/>
        <v>AE3</v>
      </c>
      <c r="AS73" s="46" t="b">
        <f t="shared" si="51"/>
        <v>1</v>
      </c>
      <c r="AT73" s="82">
        <f t="shared" si="52"/>
        <v>0</v>
      </c>
      <c r="AU73" s="82">
        <f t="shared" si="53"/>
        <v>0</v>
      </c>
      <c r="AV73" s="82">
        <f t="shared" si="54"/>
        <v>0</v>
      </c>
      <c r="AW73" s="82">
        <f t="shared" si="55"/>
        <v>0</v>
      </c>
      <c r="AX73" s="85"/>
      <c r="AY73" s="82">
        <f t="shared" si="56"/>
        <v>0</v>
      </c>
      <c r="AZ73" s="82">
        <f t="shared" si="57"/>
        <v>0</v>
      </c>
      <c r="BA73" s="82">
        <f t="shared" si="58"/>
        <v>0</v>
      </c>
      <c r="BB73" s="83">
        <v>0</v>
      </c>
      <c r="BC73" s="83">
        <v>0</v>
      </c>
      <c r="BD73" s="83">
        <v>0</v>
      </c>
      <c r="BE73" s="84">
        <f>ROUND((IF(($AT73&lt;=700000),0,IF(((VLOOKUP($AR73,'Loyalty - Effec - 15July'!$B$5:$C$17,2,0)*$AT73)&lt;=120000),(VLOOKUP($AR73,'Loyalty - Effec - 15July'!$B$5:$C$17,2,0)*$AT73),120000))),0)</f>
        <v>0</v>
      </c>
      <c r="BF73" s="84">
        <f>ROUND(VLOOKUP($AR73,'Loyalty - Effec - 15July'!$B$5:$D$17,3,0)*$AT73,0)</f>
        <v>0</v>
      </c>
      <c r="BG73" s="85">
        <f t="shared" si="59"/>
        <v>0</v>
      </c>
      <c r="BH73" s="81">
        <f t="shared" si="60"/>
        <v>0</v>
      </c>
      <c r="BI73" s="85">
        <f t="shared" si="61"/>
        <v>0</v>
      </c>
      <c r="BJ73" s="85">
        <f t="shared" si="62"/>
        <v>0</v>
      </c>
      <c r="BK73" s="85">
        <f t="shared" si="63"/>
        <v>0</v>
      </c>
      <c r="BL73" s="85">
        <f t="shared" si="64"/>
        <v>0</v>
      </c>
      <c r="BM73" s="85">
        <f t="shared" si="65"/>
        <v>0</v>
      </c>
      <c r="BN73" s="85">
        <f t="shared" si="66"/>
        <v>0</v>
      </c>
      <c r="BO73" s="52" t="s">
        <v>86</v>
      </c>
      <c r="BP73" s="46">
        <v>3</v>
      </c>
      <c r="BQ73" s="46"/>
      <c r="BR73" s="47">
        <f t="shared" ref="BR73:BR110" si="69">BG73-AT73</f>
        <v>0</v>
      </c>
      <c r="BU73" s="47">
        <f t="shared" si="68"/>
        <v>0</v>
      </c>
      <c r="BV73" s="53" t="s">
        <v>238</v>
      </c>
      <c r="BW73" s="53" t="s">
        <v>932</v>
      </c>
      <c r="BX73" s="53" t="s">
        <v>239</v>
      </c>
      <c r="BY73" s="53"/>
      <c r="BZ73" s="53"/>
    </row>
    <row r="74" spans="1:79">
      <c r="A74" s="42" t="s">
        <v>188</v>
      </c>
      <c r="B74" s="28" t="s">
        <v>79</v>
      </c>
      <c r="C74" s="28" t="s">
        <v>80</v>
      </c>
      <c r="D74" s="28" t="s">
        <v>932</v>
      </c>
      <c r="E74" s="43" t="s">
        <v>82</v>
      </c>
      <c r="F74" s="28" t="s">
        <v>902</v>
      </c>
      <c r="G74" s="44" t="s">
        <v>189</v>
      </c>
      <c r="H74" s="45">
        <v>44172</v>
      </c>
      <c r="I74" s="46" t="s">
        <v>1038</v>
      </c>
      <c r="J74" s="28">
        <v>0</v>
      </c>
      <c r="K74" s="28" t="s">
        <v>413</v>
      </c>
      <c r="L74" s="28" t="s">
        <v>880</v>
      </c>
      <c r="M74" s="28" t="s">
        <v>1</v>
      </c>
      <c r="N74" s="28" t="str">
        <f t="shared" si="36"/>
        <v>AE3</v>
      </c>
      <c r="O74" s="81"/>
      <c r="P74" s="81">
        <f t="shared" si="37"/>
        <v>0</v>
      </c>
      <c r="Q74" s="81">
        <f t="shared" si="38"/>
        <v>0</v>
      </c>
      <c r="R74" s="81">
        <f t="shared" si="39"/>
        <v>0</v>
      </c>
      <c r="S74" s="81"/>
      <c r="T74" s="82">
        <f t="shared" si="40"/>
        <v>0</v>
      </c>
      <c r="U74" s="82">
        <f t="shared" si="41"/>
        <v>0</v>
      </c>
      <c r="V74" s="82">
        <f t="shared" si="42"/>
        <v>0</v>
      </c>
      <c r="W74" s="83">
        <v>0</v>
      </c>
      <c r="X74" s="83">
        <v>0</v>
      </c>
      <c r="Y74" s="83">
        <v>0</v>
      </c>
      <c r="Z74" s="84">
        <f>ROUND((IF(($O74&lt;=700000),0,IF(((VLOOKUP($M74,'Loyalty - Effec - 15July'!$B$5:$C$17,2,0)*$O74)&lt;=120000),(VLOOKUP($M74,'Loyalty - Effec - 15July'!$B$5:$C$17,2,0)*$O74),120000))),0)</f>
        <v>0</v>
      </c>
      <c r="AA74" s="84">
        <f>ROUND(VLOOKUP($M74,'Loyalty - Effec - 15July'!$B$5:$D$17,3,0)*$O74,0)</f>
        <v>0</v>
      </c>
      <c r="AB74" s="85">
        <f t="shared" si="43"/>
        <v>0</v>
      </c>
      <c r="AC74" s="86">
        <f t="shared" si="44"/>
        <v>0</v>
      </c>
      <c r="AD74" s="87">
        <f t="shared" si="45"/>
        <v>0</v>
      </c>
      <c r="AE74" s="88">
        <f t="shared" si="46"/>
        <v>0</v>
      </c>
      <c r="AF74" s="88">
        <f t="shared" si="47"/>
        <v>0</v>
      </c>
      <c r="AG74" s="49" t="s">
        <v>916</v>
      </c>
      <c r="AH74" s="49" t="s">
        <v>909</v>
      </c>
      <c r="AI74" s="50"/>
      <c r="AJ74" s="46"/>
      <c r="AK74" s="46"/>
      <c r="AL74" s="46"/>
      <c r="AM74" s="51">
        <f>IF($AL74=4,VLOOKUP($AR74,'Loyalty Incentive v1'!$L$3:$Q$15,2,FALSE),
IF($AL74=3,VLOOKUP($AR74,'Loyalty Incentive v1'!$L$3:$Q$15,3,FALSE),
IF($AL74=2,VLOOKUP($AR74,'Loyalty Incentive v1'!$L$3:$Q$15,4,FALSE),
IF($AL74=1,VLOOKUP($AR74,'Loyalty Incentive v1'!$L$3:$Q$15,5,FALSE),
IF($AL74=0,VLOOKUP($AR74,'Loyalty Incentive v1'!$L$3:$Q$15,6,FALSE),0)))))</f>
        <v>0</v>
      </c>
      <c r="AN74" s="51">
        <f>IFERROR(IF(I74&gt;="1",AM74,VLOOKUP(VALUE(I74),'Loyalty - Effec - 15July'!$I$5:$J$16,2,0)*AM74),0)</f>
        <v>0</v>
      </c>
      <c r="AO74" s="51">
        <v>0</v>
      </c>
      <c r="AP74" s="51">
        <f t="shared" si="48"/>
        <v>0</v>
      </c>
      <c r="AQ74" s="46" t="str">
        <f t="shared" si="49"/>
        <v>No</v>
      </c>
      <c r="AR74" s="46" t="str">
        <f t="shared" si="50"/>
        <v>AE3</v>
      </c>
      <c r="AS74" s="46" t="b">
        <f t="shared" si="51"/>
        <v>1</v>
      </c>
      <c r="AT74" s="82">
        <f t="shared" si="52"/>
        <v>0</v>
      </c>
      <c r="AU74" s="82">
        <f t="shared" si="53"/>
        <v>0</v>
      </c>
      <c r="AV74" s="82">
        <f t="shared" si="54"/>
        <v>0</v>
      </c>
      <c r="AW74" s="82">
        <f t="shared" si="55"/>
        <v>0</v>
      </c>
      <c r="AX74" s="85"/>
      <c r="AY74" s="82">
        <f t="shared" si="56"/>
        <v>0</v>
      </c>
      <c r="AZ74" s="82">
        <f t="shared" si="57"/>
        <v>0</v>
      </c>
      <c r="BA74" s="82">
        <f t="shared" si="58"/>
        <v>0</v>
      </c>
      <c r="BB74" s="83">
        <v>0</v>
      </c>
      <c r="BC74" s="83">
        <v>0</v>
      </c>
      <c r="BD74" s="83">
        <v>0</v>
      </c>
      <c r="BE74" s="84">
        <f>ROUND((IF(($AT74&lt;=700000),0,IF(((VLOOKUP($AR74,'Loyalty - Effec - 15July'!$B$5:$C$17,2,0)*$AT74)&lt;=120000),(VLOOKUP($AR74,'Loyalty - Effec - 15July'!$B$5:$C$17,2,0)*$AT74),120000))),0)</f>
        <v>0</v>
      </c>
      <c r="BF74" s="84">
        <f>ROUND(VLOOKUP($AR74,'Loyalty - Effec - 15July'!$B$5:$D$17,3,0)*$AT74,0)</f>
        <v>0</v>
      </c>
      <c r="BG74" s="85">
        <f t="shared" si="59"/>
        <v>0</v>
      </c>
      <c r="BH74" s="81">
        <f t="shared" si="60"/>
        <v>0</v>
      </c>
      <c r="BI74" s="85">
        <f t="shared" si="61"/>
        <v>0</v>
      </c>
      <c r="BJ74" s="85">
        <f t="shared" si="62"/>
        <v>0</v>
      </c>
      <c r="BK74" s="85">
        <f t="shared" si="63"/>
        <v>0</v>
      </c>
      <c r="BL74" s="85">
        <f t="shared" si="64"/>
        <v>0</v>
      </c>
      <c r="BM74" s="85">
        <f t="shared" si="65"/>
        <v>0</v>
      </c>
      <c r="BN74" s="85">
        <f t="shared" si="66"/>
        <v>0</v>
      </c>
      <c r="BO74" s="52" t="s">
        <v>85</v>
      </c>
      <c r="BP74" s="46">
        <v>0</v>
      </c>
      <c r="BQ74" s="46"/>
      <c r="BR74" s="47">
        <f t="shared" si="69"/>
        <v>0</v>
      </c>
      <c r="BU74" s="47">
        <f t="shared" si="68"/>
        <v>0</v>
      </c>
      <c r="BV74" s="53" t="s">
        <v>188</v>
      </c>
      <c r="BW74" s="53" t="s">
        <v>932</v>
      </c>
      <c r="BX74" s="53" t="s">
        <v>189</v>
      </c>
      <c r="BY74" s="53"/>
      <c r="BZ74" s="53"/>
    </row>
    <row r="75" spans="1:79">
      <c r="A75" s="42" t="s">
        <v>229</v>
      </c>
      <c r="B75" s="28" t="s">
        <v>79</v>
      </c>
      <c r="C75" s="28" t="s">
        <v>80</v>
      </c>
      <c r="D75" s="28" t="s">
        <v>81</v>
      </c>
      <c r="E75" s="43" t="s">
        <v>82</v>
      </c>
      <c r="F75" s="28" t="s">
        <v>901</v>
      </c>
      <c r="G75" s="44" t="s">
        <v>230</v>
      </c>
      <c r="H75" s="45">
        <v>44172</v>
      </c>
      <c r="I75" s="28" t="s">
        <v>1038</v>
      </c>
      <c r="J75" s="28">
        <v>3</v>
      </c>
      <c r="K75" s="28" t="s">
        <v>93</v>
      </c>
      <c r="L75" s="28" t="s">
        <v>94</v>
      </c>
      <c r="M75" s="28" t="s">
        <v>1</v>
      </c>
      <c r="N75" s="28" t="str">
        <f t="shared" si="36"/>
        <v>AE3</v>
      </c>
      <c r="O75" s="81"/>
      <c r="P75" s="81">
        <f t="shared" si="37"/>
        <v>0</v>
      </c>
      <c r="Q75" s="81">
        <f t="shared" si="38"/>
        <v>0</v>
      </c>
      <c r="R75" s="81">
        <f t="shared" si="39"/>
        <v>0</v>
      </c>
      <c r="S75" s="81"/>
      <c r="T75" s="82">
        <f t="shared" si="40"/>
        <v>0</v>
      </c>
      <c r="U75" s="82">
        <f t="shared" si="41"/>
        <v>0</v>
      </c>
      <c r="V75" s="82">
        <f t="shared" si="42"/>
        <v>0</v>
      </c>
      <c r="W75" s="83">
        <v>0</v>
      </c>
      <c r="X75" s="83">
        <v>0</v>
      </c>
      <c r="Y75" s="83">
        <v>0</v>
      </c>
      <c r="Z75" s="84">
        <f>ROUND((IF(($O75&lt;=700000),0,IF(((VLOOKUP($M75,'Loyalty - Effec - 15July'!$B$5:$C$17,2,0)*$O75)&lt;=120000),(VLOOKUP($M75,'Loyalty - Effec - 15July'!$B$5:$C$17,2,0)*$O75),120000))),0)</f>
        <v>0</v>
      </c>
      <c r="AA75" s="84">
        <f>ROUND(VLOOKUP($M75,'Loyalty - Effec - 15July'!$B$5:$D$17,3,0)*$O75,0)</f>
        <v>0</v>
      </c>
      <c r="AB75" s="85">
        <f t="shared" si="43"/>
        <v>0</v>
      </c>
      <c r="AC75" s="86">
        <f t="shared" si="44"/>
        <v>0</v>
      </c>
      <c r="AD75" s="87">
        <f t="shared" si="45"/>
        <v>0</v>
      </c>
      <c r="AE75" s="88">
        <f t="shared" si="46"/>
        <v>0</v>
      </c>
      <c r="AF75" s="88">
        <f t="shared" si="47"/>
        <v>0</v>
      </c>
      <c r="AG75" s="49" t="s">
        <v>146</v>
      </c>
      <c r="AH75" s="49" t="s">
        <v>910</v>
      </c>
      <c r="AI75" s="50"/>
      <c r="AJ75" s="50"/>
      <c r="AK75" s="50"/>
      <c r="AL75" s="46"/>
      <c r="AM75" s="51">
        <f>IF($AL75=4,VLOOKUP($AR75,'Loyalty Incentive v1'!$L$3:$Q$15,2,FALSE),
IF($AL75=3,VLOOKUP($AR75,'Loyalty Incentive v1'!$L$3:$Q$15,3,FALSE),
IF($AL75=2,VLOOKUP($AR75,'Loyalty Incentive v1'!$L$3:$Q$15,4,FALSE),
IF($AL75=1,VLOOKUP($AR75,'Loyalty Incentive v1'!$L$3:$Q$15,5,FALSE),
IF($AL75=0,VLOOKUP($AR75,'Loyalty Incentive v1'!$L$3:$Q$15,6,FALSE),0)))))</f>
        <v>0</v>
      </c>
      <c r="AN75" s="51">
        <f>IFERROR(IF(I75&gt;="1",AM75,VLOOKUP(VALUE(I75),'Loyalty - Effec - 15July'!$I$5:$J$16,2,0)*AM75),0)</f>
        <v>0</v>
      </c>
      <c r="AO75" s="51">
        <v>0.02</v>
      </c>
      <c r="AP75" s="51">
        <f t="shared" si="48"/>
        <v>0.02</v>
      </c>
      <c r="AQ75" s="46" t="str">
        <f t="shared" si="49"/>
        <v>No</v>
      </c>
      <c r="AR75" s="46" t="str">
        <f t="shared" si="50"/>
        <v>AE3</v>
      </c>
      <c r="AS75" s="46" t="b">
        <f t="shared" si="51"/>
        <v>1</v>
      </c>
      <c r="AT75" s="82">
        <f t="shared" si="52"/>
        <v>0</v>
      </c>
      <c r="AU75" s="82">
        <f t="shared" si="53"/>
        <v>0</v>
      </c>
      <c r="AV75" s="82">
        <f t="shared" si="54"/>
        <v>0</v>
      </c>
      <c r="AW75" s="82">
        <f t="shared" si="55"/>
        <v>0</v>
      </c>
      <c r="AX75" s="85"/>
      <c r="AY75" s="82">
        <f t="shared" si="56"/>
        <v>0</v>
      </c>
      <c r="AZ75" s="82">
        <f t="shared" si="57"/>
        <v>0</v>
      </c>
      <c r="BA75" s="82">
        <f t="shared" si="58"/>
        <v>0</v>
      </c>
      <c r="BB75" s="83">
        <v>0</v>
      </c>
      <c r="BC75" s="83">
        <v>0</v>
      </c>
      <c r="BD75" s="83">
        <v>0</v>
      </c>
      <c r="BE75" s="84">
        <f>ROUND((IF(($AT75&lt;=700000),0,IF(((VLOOKUP($AR75,'Loyalty - Effec - 15July'!$B$5:$C$17,2,0)*$AT75)&lt;=120000),(VLOOKUP($AR75,'Loyalty - Effec - 15July'!$B$5:$C$17,2,0)*$AT75),120000))),0)</f>
        <v>0</v>
      </c>
      <c r="BF75" s="84">
        <f>ROUND(VLOOKUP($AR75,'Loyalty - Effec - 15July'!$B$5:$D$17,3,0)*$AT75,0)</f>
        <v>0</v>
      </c>
      <c r="BG75" s="85">
        <f t="shared" si="59"/>
        <v>0</v>
      </c>
      <c r="BH75" s="81">
        <f t="shared" si="60"/>
        <v>0</v>
      </c>
      <c r="BI75" s="85">
        <f t="shared" si="61"/>
        <v>0</v>
      </c>
      <c r="BJ75" s="85">
        <f t="shared" si="62"/>
        <v>0</v>
      </c>
      <c r="BK75" s="85">
        <f t="shared" si="63"/>
        <v>0</v>
      </c>
      <c r="BL75" s="85">
        <f t="shared" si="64"/>
        <v>0</v>
      </c>
      <c r="BM75" s="85">
        <f t="shared" si="65"/>
        <v>0</v>
      </c>
      <c r="BN75" s="85">
        <f t="shared" si="66"/>
        <v>0</v>
      </c>
      <c r="BO75" s="52" t="s">
        <v>85</v>
      </c>
      <c r="BP75" s="46">
        <v>3</v>
      </c>
      <c r="BQ75" s="52" t="s">
        <v>121</v>
      </c>
      <c r="BR75" s="47">
        <f t="shared" si="69"/>
        <v>0</v>
      </c>
      <c r="BS75" s="46">
        <v>3</v>
      </c>
      <c r="BT75" s="54">
        <v>0.23099999999999998</v>
      </c>
      <c r="BU75" s="47">
        <f t="shared" si="68"/>
        <v>0</v>
      </c>
      <c r="BV75" s="53" t="s">
        <v>229</v>
      </c>
      <c r="BW75" s="53" t="s">
        <v>81</v>
      </c>
      <c r="BX75" s="53" t="s">
        <v>230</v>
      </c>
      <c r="BY75" s="53"/>
      <c r="BZ75" s="53"/>
      <c r="CA75" s="55"/>
    </row>
    <row r="76" spans="1:79">
      <c r="A76" s="42" t="s">
        <v>221</v>
      </c>
      <c r="B76" s="28" t="s">
        <v>79</v>
      </c>
      <c r="C76" s="28" t="s">
        <v>80</v>
      </c>
      <c r="D76" s="28" t="s">
        <v>932</v>
      </c>
      <c r="E76" s="43" t="s">
        <v>82</v>
      </c>
      <c r="F76" s="28" t="s">
        <v>902</v>
      </c>
      <c r="G76" s="44" t="s">
        <v>222</v>
      </c>
      <c r="H76" s="45">
        <v>44197</v>
      </c>
      <c r="I76" s="46" t="s">
        <v>1038</v>
      </c>
      <c r="J76" s="28">
        <v>3</v>
      </c>
      <c r="K76" s="28" t="s">
        <v>413</v>
      </c>
      <c r="L76" s="28" t="s">
        <v>875</v>
      </c>
      <c r="M76" s="28" t="s">
        <v>2</v>
      </c>
      <c r="N76" s="28" t="str">
        <f t="shared" si="36"/>
        <v>AE4</v>
      </c>
      <c r="O76" s="81"/>
      <c r="P76" s="81">
        <f t="shared" si="37"/>
        <v>0</v>
      </c>
      <c r="Q76" s="81">
        <f t="shared" si="38"/>
        <v>0</v>
      </c>
      <c r="R76" s="81">
        <f t="shared" si="39"/>
        <v>0</v>
      </c>
      <c r="S76" s="81"/>
      <c r="T76" s="82">
        <f t="shared" si="40"/>
        <v>0</v>
      </c>
      <c r="U76" s="82">
        <f t="shared" si="41"/>
        <v>0</v>
      </c>
      <c r="V76" s="82">
        <f t="shared" si="42"/>
        <v>0</v>
      </c>
      <c r="W76" s="83">
        <v>0</v>
      </c>
      <c r="X76" s="83">
        <v>0</v>
      </c>
      <c r="Y76" s="83">
        <v>0</v>
      </c>
      <c r="Z76" s="84">
        <f>ROUND((IF(($O76&lt;=700000),0,IF(((VLOOKUP($M76,'Loyalty - Effec - 15July'!$B$5:$C$17,2,0)*$O76)&lt;=120000),(VLOOKUP($M76,'Loyalty - Effec - 15July'!$B$5:$C$17,2,0)*$O76),120000))),0)</f>
        <v>0</v>
      </c>
      <c r="AA76" s="84">
        <f>ROUND(VLOOKUP($M76,'Loyalty - Effec - 15July'!$B$5:$D$17,3,0)*$O76,0)</f>
        <v>0</v>
      </c>
      <c r="AB76" s="85">
        <f t="shared" si="43"/>
        <v>0</v>
      </c>
      <c r="AC76" s="86">
        <f t="shared" si="44"/>
        <v>0</v>
      </c>
      <c r="AD76" s="87">
        <f t="shared" si="45"/>
        <v>0</v>
      </c>
      <c r="AE76" s="88">
        <f t="shared" si="46"/>
        <v>0</v>
      </c>
      <c r="AF76" s="88">
        <f t="shared" si="47"/>
        <v>0</v>
      </c>
      <c r="AG76" s="49" t="s">
        <v>917</v>
      </c>
      <c r="AH76" s="49" t="s">
        <v>911</v>
      </c>
      <c r="AI76" s="50"/>
      <c r="AJ76" s="46"/>
      <c r="AK76" s="46"/>
      <c r="AL76" s="46"/>
      <c r="AM76" s="51">
        <f>IF($AL76=4,VLOOKUP($AR76,'Loyalty Incentive v1'!$L$3:$Q$15,2,FALSE),
IF($AL76=3,VLOOKUP($AR76,'Loyalty Incentive v1'!$L$3:$Q$15,3,FALSE),
IF($AL76=2,VLOOKUP($AR76,'Loyalty Incentive v1'!$L$3:$Q$15,4,FALSE),
IF($AL76=1,VLOOKUP($AR76,'Loyalty Incentive v1'!$L$3:$Q$15,5,FALSE),
IF($AL76=0,VLOOKUP($AR76,'Loyalty Incentive v1'!$L$3:$Q$15,6,FALSE),0)))))</f>
        <v>0</v>
      </c>
      <c r="AN76" s="51">
        <f>IFERROR(IF(I76&gt;="1",AM76,VLOOKUP(VALUE(I76),'Loyalty - Effec - 15July'!$I$5:$J$16,2,0)*AM76),0)</f>
        <v>0</v>
      </c>
      <c r="AO76" s="51">
        <v>0</v>
      </c>
      <c r="AP76" s="51">
        <f t="shared" si="48"/>
        <v>0</v>
      </c>
      <c r="AQ76" s="46" t="str">
        <f t="shared" si="49"/>
        <v>No</v>
      </c>
      <c r="AR76" s="46" t="str">
        <f t="shared" si="50"/>
        <v>AE4</v>
      </c>
      <c r="AS76" s="46" t="b">
        <f t="shared" si="51"/>
        <v>1</v>
      </c>
      <c r="AT76" s="82">
        <f t="shared" si="52"/>
        <v>0</v>
      </c>
      <c r="AU76" s="82">
        <f t="shared" si="53"/>
        <v>0</v>
      </c>
      <c r="AV76" s="82">
        <f t="shared" si="54"/>
        <v>0</v>
      </c>
      <c r="AW76" s="82">
        <f t="shared" si="55"/>
        <v>0</v>
      </c>
      <c r="AX76" s="85"/>
      <c r="AY76" s="82">
        <f t="shared" si="56"/>
        <v>0</v>
      </c>
      <c r="AZ76" s="82">
        <f t="shared" si="57"/>
        <v>0</v>
      </c>
      <c r="BA76" s="82">
        <f t="shared" si="58"/>
        <v>0</v>
      </c>
      <c r="BB76" s="83">
        <v>0</v>
      </c>
      <c r="BC76" s="83">
        <v>0</v>
      </c>
      <c r="BD76" s="83">
        <v>0</v>
      </c>
      <c r="BE76" s="84">
        <f>ROUND((IF(($AT76&lt;=700000),0,IF(((VLOOKUP($AR76,'Loyalty - Effec - 15July'!$B$5:$C$17,2,0)*$AT76)&lt;=120000),(VLOOKUP($AR76,'Loyalty - Effec - 15July'!$B$5:$C$17,2,0)*$AT76),120000))),0)</f>
        <v>0</v>
      </c>
      <c r="BF76" s="84">
        <f>ROUND(VLOOKUP($AR76,'Loyalty - Effec - 15July'!$B$5:$D$17,3,0)*$AT76,0)</f>
        <v>0</v>
      </c>
      <c r="BG76" s="85">
        <f t="shared" si="59"/>
        <v>0</v>
      </c>
      <c r="BH76" s="81">
        <f t="shared" si="60"/>
        <v>0</v>
      </c>
      <c r="BI76" s="85">
        <f t="shared" si="61"/>
        <v>0</v>
      </c>
      <c r="BJ76" s="85">
        <f t="shared" si="62"/>
        <v>0</v>
      </c>
      <c r="BK76" s="85">
        <f t="shared" si="63"/>
        <v>0</v>
      </c>
      <c r="BL76" s="85">
        <f t="shared" si="64"/>
        <v>0</v>
      </c>
      <c r="BM76" s="85">
        <f t="shared" si="65"/>
        <v>0</v>
      </c>
      <c r="BN76" s="85">
        <f t="shared" si="66"/>
        <v>0</v>
      </c>
      <c r="BO76" s="52" t="s">
        <v>85</v>
      </c>
      <c r="BP76" s="46">
        <v>3</v>
      </c>
      <c r="BQ76" s="52" t="s">
        <v>121</v>
      </c>
      <c r="BR76" s="47">
        <f t="shared" si="69"/>
        <v>0</v>
      </c>
      <c r="BU76" s="47">
        <f t="shared" si="68"/>
        <v>0</v>
      </c>
      <c r="BV76" s="53" t="s">
        <v>221</v>
      </c>
      <c r="BW76" s="53" t="s">
        <v>932</v>
      </c>
      <c r="BX76" s="53" t="s">
        <v>222</v>
      </c>
      <c r="BY76" s="53"/>
      <c r="BZ76" s="53"/>
    </row>
    <row r="77" spans="1:79">
      <c r="A77" s="42" t="s">
        <v>264</v>
      </c>
      <c r="B77" s="28" t="s">
        <v>79</v>
      </c>
      <c r="C77" s="28" t="s">
        <v>80</v>
      </c>
      <c r="D77" s="28" t="s">
        <v>932</v>
      </c>
      <c r="E77" s="43" t="s">
        <v>82</v>
      </c>
      <c r="F77" s="28" t="s">
        <v>901</v>
      </c>
      <c r="G77" s="44" t="s">
        <v>265</v>
      </c>
      <c r="H77" s="45">
        <v>44207</v>
      </c>
      <c r="I77" s="46" t="s">
        <v>1039</v>
      </c>
      <c r="J77" s="28">
        <v>2</v>
      </c>
      <c r="K77" s="28" t="s">
        <v>93</v>
      </c>
      <c r="L77" s="28" t="s">
        <v>873</v>
      </c>
      <c r="M77" s="28" t="s">
        <v>1</v>
      </c>
      <c r="N77" s="28" t="str">
        <f t="shared" si="36"/>
        <v>AE3</v>
      </c>
      <c r="O77" s="81"/>
      <c r="P77" s="81">
        <f t="shared" si="37"/>
        <v>0</v>
      </c>
      <c r="Q77" s="81">
        <f t="shared" si="38"/>
        <v>0</v>
      </c>
      <c r="R77" s="81">
        <f t="shared" si="39"/>
        <v>0</v>
      </c>
      <c r="S77" s="81"/>
      <c r="T77" s="82">
        <f t="shared" si="40"/>
        <v>0</v>
      </c>
      <c r="U77" s="82">
        <f t="shared" si="41"/>
        <v>0</v>
      </c>
      <c r="V77" s="82">
        <f t="shared" si="42"/>
        <v>0</v>
      </c>
      <c r="W77" s="83">
        <v>0</v>
      </c>
      <c r="X77" s="83">
        <v>0</v>
      </c>
      <c r="Y77" s="83">
        <v>0</v>
      </c>
      <c r="Z77" s="84">
        <f>ROUND((IF(($O77&lt;=700000),0,IF(((VLOOKUP($M77,'Loyalty - Effec - 15July'!$B$5:$C$17,2,0)*$O77)&lt;=120000),(VLOOKUP($M77,'Loyalty - Effec - 15July'!$B$5:$C$17,2,0)*$O77),120000))),0)</f>
        <v>0</v>
      </c>
      <c r="AA77" s="84">
        <f>ROUND(VLOOKUP($M77,'Loyalty - Effec - 15July'!$B$5:$D$17,3,0)*$O77,0)</f>
        <v>0</v>
      </c>
      <c r="AB77" s="85">
        <f t="shared" si="43"/>
        <v>0</v>
      </c>
      <c r="AC77" s="86">
        <f t="shared" si="44"/>
        <v>0</v>
      </c>
      <c r="AD77" s="87">
        <f t="shared" si="45"/>
        <v>0</v>
      </c>
      <c r="AE77" s="88">
        <f t="shared" si="46"/>
        <v>0</v>
      </c>
      <c r="AF77" s="88">
        <f t="shared" si="47"/>
        <v>0</v>
      </c>
      <c r="AG77" s="49" t="s">
        <v>146</v>
      </c>
      <c r="AH77" s="49" t="s">
        <v>910</v>
      </c>
      <c r="AI77" s="50"/>
      <c r="AJ77" s="46"/>
      <c r="AK77" s="46"/>
      <c r="AL77" s="46"/>
      <c r="AM77" s="51">
        <f>IF($AL77=4,VLOOKUP($AR77,'Loyalty Incentive v1'!$L$3:$Q$15,2,FALSE),
IF($AL77=3,VLOOKUP($AR77,'Loyalty Incentive v1'!$L$3:$Q$15,3,FALSE),
IF($AL77=2,VLOOKUP($AR77,'Loyalty Incentive v1'!$L$3:$Q$15,4,FALSE),
IF($AL77=1,VLOOKUP($AR77,'Loyalty Incentive v1'!$L$3:$Q$15,5,FALSE),
IF($AL77=0,VLOOKUP($AR77,'Loyalty Incentive v1'!$L$3:$Q$15,6,FALSE),0)))))</f>
        <v>0</v>
      </c>
      <c r="AN77" s="51">
        <f>IFERROR(IF(I77&gt;="1",AM77,VLOOKUP(VALUE(I77),'Loyalty - Effec - 15July'!$I$5:$J$16,2,0)*AM77),0)</f>
        <v>0</v>
      </c>
      <c r="AO77" s="51">
        <v>0</v>
      </c>
      <c r="AP77" s="51">
        <f t="shared" si="48"/>
        <v>0</v>
      </c>
      <c r="AQ77" s="46" t="str">
        <f t="shared" si="49"/>
        <v>No</v>
      </c>
      <c r="AR77" s="46" t="str">
        <f t="shared" si="50"/>
        <v>AE3</v>
      </c>
      <c r="AS77" s="46" t="b">
        <f t="shared" si="51"/>
        <v>1</v>
      </c>
      <c r="AT77" s="82">
        <f t="shared" si="52"/>
        <v>0</v>
      </c>
      <c r="AU77" s="82">
        <f t="shared" si="53"/>
        <v>0</v>
      </c>
      <c r="AV77" s="82">
        <f t="shared" si="54"/>
        <v>0</v>
      </c>
      <c r="AW77" s="82">
        <f t="shared" si="55"/>
        <v>0</v>
      </c>
      <c r="AX77" s="85"/>
      <c r="AY77" s="82">
        <f t="shared" si="56"/>
        <v>0</v>
      </c>
      <c r="AZ77" s="82">
        <f t="shared" si="57"/>
        <v>0</v>
      </c>
      <c r="BA77" s="82">
        <f t="shared" si="58"/>
        <v>0</v>
      </c>
      <c r="BB77" s="83">
        <v>0</v>
      </c>
      <c r="BC77" s="83">
        <v>0</v>
      </c>
      <c r="BD77" s="83">
        <v>0</v>
      </c>
      <c r="BE77" s="84">
        <f>ROUND((IF(($AT77&lt;=700000),0,IF(((VLOOKUP($AR77,'Loyalty - Effec - 15July'!$B$5:$C$17,2,0)*$AT77)&lt;=120000),(VLOOKUP($AR77,'Loyalty - Effec - 15July'!$B$5:$C$17,2,0)*$AT77),120000))),0)</f>
        <v>0</v>
      </c>
      <c r="BF77" s="84">
        <f>ROUND(VLOOKUP($AR77,'Loyalty - Effec - 15July'!$B$5:$D$17,3,0)*$AT77,0)</f>
        <v>0</v>
      </c>
      <c r="BG77" s="85">
        <f t="shared" si="59"/>
        <v>0</v>
      </c>
      <c r="BH77" s="81">
        <f t="shared" si="60"/>
        <v>0</v>
      </c>
      <c r="BI77" s="85">
        <f t="shared" si="61"/>
        <v>0</v>
      </c>
      <c r="BJ77" s="85">
        <f t="shared" si="62"/>
        <v>0</v>
      </c>
      <c r="BK77" s="85">
        <f t="shared" si="63"/>
        <v>0</v>
      </c>
      <c r="BL77" s="85">
        <f t="shared" si="64"/>
        <v>0</v>
      </c>
      <c r="BM77" s="85">
        <f t="shared" si="65"/>
        <v>0</v>
      </c>
      <c r="BN77" s="85">
        <f t="shared" si="66"/>
        <v>0</v>
      </c>
      <c r="BO77" s="52" t="s">
        <v>85</v>
      </c>
      <c r="BP77" s="46">
        <v>2</v>
      </c>
      <c r="BQ77" s="46"/>
      <c r="BR77" s="47">
        <f t="shared" si="69"/>
        <v>0</v>
      </c>
      <c r="BU77" s="47">
        <f t="shared" si="68"/>
        <v>0</v>
      </c>
      <c r="BV77" s="53" t="s">
        <v>264</v>
      </c>
      <c r="BW77" s="53" t="s">
        <v>932</v>
      </c>
      <c r="BX77" s="53" t="s">
        <v>265</v>
      </c>
      <c r="BY77" s="53"/>
      <c r="BZ77" s="53"/>
    </row>
    <row r="78" spans="1:79">
      <c r="A78" s="42" t="s">
        <v>266</v>
      </c>
      <c r="B78" s="28" t="s">
        <v>79</v>
      </c>
      <c r="C78" s="28" t="s">
        <v>80</v>
      </c>
      <c r="D78" s="28" t="s">
        <v>932</v>
      </c>
      <c r="E78" s="43" t="s">
        <v>82</v>
      </c>
      <c r="F78" s="28" t="s">
        <v>901</v>
      </c>
      <c r="G78" s="44" t="s">
        <v>267</v>
      </c>
      <c r="H78" s="45">
        <v>44207</v>
      </c>
      <c r="I78" s="46" t="s">
        <v>1039</v>
      </c>
      <c r="J78" s="28">
        <v>3</v>
      </c>
      <c r="K78" s="28" t="s">
        <v>93</v>
      </c>
      <c r="L78" s="28" t="s">
        <v>873</v>
      </c>
      <c r="M78" s="28" t="s">
        <v>1</v>
      </c>
      <c r="N78" s="28" t="str">
        <f t="shared" si="36"/>
        <v>AE3</v>
      </c>
      <c r="O78" s="81"/>
      <c r="P78" s="81">
        <f t="shared" si="37"/>
        <v>0</v>
      </c>
      <c r="Q78" s="81">
        <f t="shared" si="38"/>
        <v>0</v>
      </c>
      <c r="R78" s="81">
        <f t="shared" si="39"/>
        <v>0</v>
      </c>
      <c r="S78" s="81"/>
      <c r="T78" s="82">
        <f t="shared" si="40"/>
        <v>0</v>
      </c>
      <c r="U78" s="82">
        <f t="shared" si="41"/>
        <v>0</v>
      </c>
      <c r="V78" s="82">
        <f t="shared" si="42"/>
        <v>0</v>
      </c>
      <c r="W78" s="83">
        <v>0</v>
      </c>
      <c r="X78" s="83">
        <v>0</v>
      </c>
      <c r="Y78" s="83">
        <v>0</v>
      </c>
      <c r="Z78" s="84">
        <f>ROUND((IF(($O78&lt;=700000),0,IF(((VLOOKUP($M78,'Loyalty - Effec - 15July'!$B$5:$C$17,2,0)*$O78)&lt;=120000),(VLOOKUP($M78,'Loyalty - Effec - 15July'!$B$5:$C$17,2,0)*$O78),120000))),0)</f>
        <v>0</v>
      </c>
      <c r="AA78" s="84">
        <f>ROUND(VLOOKUP($M78,'Loyalty - Effec - 15July'!$B$5:$D$17,3,0)*$O78,0)</f>
        <v>0</v>
      </c>
      <c r="AB78" s="85">
        <f t="shared" si="43"/>
        <v>0</v>
      </c>
      <c r="AC78" s="86">
        <f t="shared" si="44"/>
        <v>0</v>
      </c>
      <c r="AD78" s="87">
        <f t="shared" si="45"/>
        <v>0</v>
      </c>
      <c r="AE78" s="88">
        <f t="shared" si="46"/>
        <v>0</v>
      </c>
      <c r="AF78" s="88">
        <f t="shared" si="47"/>
        <v>0</v>
      </c>
      <c r="AG78" s="49" t="s">
        <v>198</v>
      </c>
      <c r="AH78" s="49" t="s">
        <v>909</v>
      </c>
      <c r="AI78" s="50"/>
      <c r="AJ78" s="46"/>
      <c r="AK78" s="46"/>
      <c r="AL78" s="46"/>
      <c r="AM78" s="51">
        <f>IF($AL78=4,VLOOKUP($AR78,'Loyalty Incentive v1'!$L$3:$Q$15,2,FALSE),
IF($AL78=3,VLOOKUP($AR78,'Loyalty Incentive v1'!$L$3:$Q$15,3,FALSE),
IF($AL78=2,VLOOKUP($AR78,'Loyalty Incentive v1'!$L$3:$Q$15,4,FALSE),
IF($AL78=1,VLOOKUP($AR78,'Loyalty Incentive v1'!$L$3:$Q$15,5,FALSE),
IF($AL78=0,VLOOKUP($AR78,'Loyalty Incentive v1'!$L$3:$Q$15,6,FALSE),0)))))</f>
        <v>0</v>
      </c>
      <c r="AN78" s="51">
        <f>IFERROR(IF(I78&gt;="1",AM78,VLOOKUP(VALUE(I78),'Loyalty - Effec - 15July'!$I$5:$J$16,2,0)*AM78),0)</f>
        <v>0</v>
      </c>
      <c r="AO78" s="51">
        <v>0</v>
      </c>
      <c r="AP78" s="51">
        <f t="shared" si="48"/>
        <v>0</v>
      </c>
      <c r="AQ78" s="46" t="str">
        <f t="shared" si="49"/>
        <v>No</v>
      </c>
      <c r="AR78" s="46" t="str">
        <f t="shared" si="50"/>
        <v>AE3</v>
      </c>
      <c r="AS78" s="46" t="b">
        <f t="shared" si="51"/>
        <v>1</v>
      </c>
      <c r="AT78" s="82">
        <f t="shared" si="52"/>
        <v>0</v>
      </c>
      <c r="AU78" s="82">
        <f t="shared" si="53"/>
        <v>0</v>
      </c>
      <c r="AV78" s="82">
        <f t="shared" si="54"/>
        <v>0</v>
      </c>
      <c r="AW78" s="82">
        <f t="shared" si="55"/>
        <v>0</v>
      </c>
      <c r="AX78" s="85"/>
      <c r="AY78" s="82">
        <f t="shared" si="56"/>
        <v>0</v>
      </c>
      <c r="AZ78" s="82">
        <f t="shared" si="57"/>
        <v>0</v>
      </c>
      <c r="BA78" s="82">
        <f t="shared" si="58"/>
        <v>0</v>
      </c>
      <c r="BB78" s="83">
        <v>0</v>
      </c>
      <c r="BC78" s="83">
        <v>0</v>
      </c>
      <c r="BD78" s="83">
        <v>0</v>
      </c>
      <c r="BE78" s="84">
        <f>ROUND((IF(($AT78&lt;=700000),0,IF(((VLOOKUP($AR78,'Loyalty - Effec - 15July'!$B$5:$C$17,2,0)*$AT78)&lt;=120000),(VLOOKUP($AR78,'Loyalty - Effec - 15July'!$B$5:$C$17,2,0)*$AT78),120000))),0)</f>
        <v>0</v>
      </c>
      <c r="BF78" s="84">
        <f>ROUND(VLOOKUP($AR78,'Loyalty - Effec - 15July'!$B$5:$D$17,3,0)*$AT78,0)</f>
        <v>0</v>
      </c>
      <c r="BG78" s="85">
        <f t="shared" si="59"/>
        <v>0</v>
      </c>
      <c r="BH78" s="81">
        <f t="shared" si="60"/>
        <v>0</v>
      </c>
      <c r="BI78" s="85">
        <f t="shared" si="61"/>
        <v>0</v>
      </c>
      <c r="BJ78" s="85">
        <f t="shared" si="62"/>
        <v>0</v>
      </c>
      <c r="BK78" s="85">
        <f t="shared" si="63"/>
        <v>0</v>
      </c>
      <c r="BL78" s="85">
        <f t="shared" si="64"/>
        <v>0</v>
      </c>
      <c r="BM78" s="85">
        <f t="shared" si="65"/>
        <v>0</v>
      </c>
      <c r="BN78" s="85">
        <f t="shared" si="66"/>
        <v>0</v>
      </c>
      <c r="BO78" s="52" t="s">
        <v>85</v>
      </c>
      <c r="BP78" s="46">
        <v>2</v>
      </c>
      <c r="BQ78" s="46"/>
      <c r="BR78" s="47">
        <f t="shared" si="69"/>
        <v>0</v>
      </c>
      <c r="BU78" s="47">
        <f t="shared" si="68"/>
        <v>0</v>
      </c>
      <c r="BV78" s="53" t="s">
        <v>266</v>
      </c>
      <c r="BW78" s="53" t="s">
        <v>932</v>
      </c>
      <c r="BX78" s="53" t="s">
        <v>267</v>
      </c>
      <c r="BY78" s="53"/>
      <c r="BZ78" s="53"/>
    </row>
    <row r="79" spans="1:79">
      <c r="A79" s="42" t="s">
        <v>240</v>
      </c>
      <c r="B79" s="28" t="s">
        <v>79</v>
      </c>
      <c r="C79" s="28" t="s">
        <v>80</v>
      </c>
      <c r="D79" s="28" t="s">
        <v>932</v>
      </c>
      <c r="E79" s="43" t="s">
        <v>82</v>
      </c>
      <c r="F79" s="28" t="s">
        <v>902</v>
      </c>
      <c r="G79" s="44" t="s">
        <v>241</v>
      </c>
      <c r="H79" s="45">
        <v>44214</v>
      </c>
      <c r="I79" s="46" t="s">
        <v>1039</v>
      </c>
      <c r="J79" s="28">
        <v>5.3</v>
      </c>
      <c r="K79" s="28" t="s">
        <v>863</v>
      </c>
      <c r="L79" s="28" t="s">
        <v>869</v>
      </c>
      <c r="M79" s="28" t="s">
        <v>1</v>
      </c>
      <c r="N79" s="28" t="str">
        <f t="shared" si="36"/>
        <v>AE3</v>
      </c>
      <c r="O79" s="81"/>
      <c r="P79" s="81">
        <f t="shared" si="37"/>
        <v>0</v>
      </c>
      <c r="Q79" s="81">
        <f t="shared" si="38"/>
        <v>0</v>
      </c>
      <c r="R79" s="81">
        <f t="shared" si="39"/>
        <v>0</v>
      </c>
      <c r="S79" s="81"/>
      <c r="T79" s="82">
        <f t="shared" si="40"/>
        <v>0</v>
      </c>
      <c r="U79" s="82">
        <f t="shared" si="41"/>
        <v>0</v>
      </c>
      <c r="V79" s="82">
        <f t="shared" si="42"/>
        <v>0</v>
      </c>
      <c r="W79" s="83">
        <v>0</v>
      </c>
      <c r="X79" s="83">
        <v>0</v>
      </c>
      <c r="Y79" s="83">
        <v>0</v>
      </c>
      <c r="Z79" s="84">
        <f>ROUND((IF(($O79&lt;=700000),0,IF(((VLOOKUP($M79,'Loyalty - Effec - 15July'!$B$5:$C$17,2,0)*$O79)&lt;=120000),(VLOOKUP($M79,'Loyalty - Effec - 15July'!$B$5:$C$17,2,0)*$O79),120000))),0)</f>
        <v>0</v>
      </c>
      <c r="AA79" s="84">
        <f>ROUND(VLOOKUP($M79,'Loyalty - Effec - 15July'!$B$5:$D$17,3,0)*$O79,0)</f>
        <v>0</v>
      </c>
      <c r="AB79" s="85">
        <f t="shared" si="43"/>
        <v>0</v>
      </c>
      <c r="AC79" s="86">
        <f t="shared" si="44"/>
        <v>0</v>
      </c>
      <c r="AD79" s="87">
        <f t="shared" si="45"/>
        <v>0</v>
      </c>
      <c r="AE79" s="88">
        <f t="shared" si="46"/>
        <v>0</v>
      </c>
      <c r="AF79" s="88">
        <f t="shared" si="47"/>
        <v>0</v>
      </c>
      <c r="AG79" s="49" t="s">
        <v>144</v>
      </c>
      <c r="AH79" s="49" t="s">
        <v>126</v>
      </c>
      <c r="AI79" s="50"/>
      <c r="AJ79" s="46"/>
      <c r="AK79" s="46"/>
      <c r="AL79" s="46"/>
      <c r="AM79" s="51">
        <f>IF($AL79=4,VLOOKUP($AR79,'Loyalty Incentive v1'!$L$3:$Q$15,2,FALSE),
IF($AL79=3,VLOOKUP($AR79,'Loyalty Incentive v1'!$L$3:$Q$15,3,FALSE),
IF($AL79=2,VLOOKUP($AR79,'Loyalty Incentive v1'!$L$3:$Q$15,4,FALSE),
IF($AL79=1,VLOOKUP($AR79,'Loyalty Incentive v1'!$L$3:$Q$15,5,FALSE),
IF($AL79=0,VLOOKUP($AR79,'Loyalty Incentive v1'!$L$3:$Q$15,6,FALSE),0)))))</f>
        <v>0</v>
      </c>
      <c r="AN79" s="51">
        <f>IFERROR(IF(I79&gt;="1",AM79,VLOOKUP(VALUE(I79),'Loyalty - Effec - 15July'!$I$5:$J$16,2,0)*AM79),0)</f>
        <v>0</v>
      </c>
      <c r="AO79" s="51">
        <v>0</v>
      </c>
      <c r="AP79" s="51">
        <f t="shared" si="48"/>
        <v>0</v>
      </c>
      <c r="AQ79" s="46" t="str">
        <f t="shared" si="49"/>
        <v>No</v>
      </c>
      <c r="AR79" s="46" t="str">
        <f t="shared" si="50"/>
        <v>AE3</v>
      </c>
      <c r="AS79" s="46" t="b">
        <f t="shared" si="51"/>
        <v>1</v>
      </c>
      <c r="AT79" s="82">
        <f t="shared" si="52"/>
        <v>0</v>
      </c>
      <c r="AU79" s="82">
        <f t="shared" si="53"/>
        <v>0</v>
      </c>
      <c r="AV79" s="82">
        <f t="shared" si="54"/>
        <v>0</v>
      </c>
      <c r="AW79" s="82">
        <f t="shared" si="55"/>
        <v>0</v>
      </c>
      <c r="AX79" s="85"/>
      <c r="AY79" s="82">
        <f t="shared" si="56"/>
        <v>0</v>
      </c>
      <c r="AZ79" s="82">
        <f t="shared" si="57"/>
        <v>0</v>
      </c>
      <c r="BA79" s="82">
        <f t="shared" si="58"/>
        <v>0</v>
      </c>
      <c r="BB79" s="83">
        <v>0</v>
      </c>
      <c r="BC79" s="83">
        <v>0</v>
      </c>
      <c r="BD79" s="83">
        <v>0</v>
      </c>
      <c r="BE79" s="84">
        <f>ROUND((IF(($AT79&lt;=700000),0,IF(((VLOOKUP($AR79,'Loyalty - Effec - 15July'!$B$5:$C$17,2,0)*$AT79)&lt;=120000),(VLOOKUP($AR79,'Loyalty - Effec - 15July'!$B$5:$C$17,2,0)*$AT79),120000))),0)</f>
        <v>0</v>
      </c>
      <c r="BF79" s="84">
        <f>ROUND(VLOOKUP($AR79,'Loyalty - Effec - 15July'!$B$5:$D$17,3,0)*$AT79,0)</f>
        <v>0</v>
      </c>
      <c r="BG79" s="85">
        <f t="shared" si="59"/>
        <v>0</v>
      </c>
      <c r="BH79" s="81">
        <f t="shared" si="60"/>
        <v>0</v>
      </c>
      <c r="BI79" s="85">
        <f t="shared" si="61"/>
        <v>0</v>
      </c>
      <c r="BJ79" s="85">
        <f t="shared" si="62"/>
        <v>0</v>
      </c>
      <c r="BK79" s="85">
        <f t="shared" si="63"/>
        <v>0</v>
      </c>
      <c r="BL79" s="85">
        <f t="shared" si="64"/>
        <v>0</v>
      </c>
      <c r="BM79" s="85">
        <f t="shared" si="65"/>
        <v>0</v>
      </c>
      <c r="BN79" s="85">
        <f t="shared" si="66"/>
        <v>0</v>
      </c>
      <c r="BO79" s="52" t="s">
        <v>85</v>
      </c>
      <c r="BP79" s="46">
        <v>3</v>
      </c>
      <c r="BQ79" s="46"/>
      <c r="BR79" s="47">
        <f t="shared" si="69"/>
        <v>0</v>
      </c>
      <c r="BU79" s="47">
        <f t="shared" si="68"/>
        <v>0</v>
      </c>
      <c r="BV79" s="53" t="s">
        <v>240</v>
      </c>
      <c r="BW79" s="53" t="s">
        <v>932</v>
      </c>
      <c r="BX79" s="53" t="s">
        <v>241</v>
      </c>
      <c r="BY79" s="53"/>
      <c r="BZ79" s="53"/>
    </row>
    <row r="80" spans="1:79">
      <c r="A80" s="42" t="s">
        <v>242</v>
      </c>
      <c r="B80" s="28" t="s">
        <v>79</v>
      </c>
      <c r="C80" s="28" t="s">
        <v>80</v>
      </c>
      <c r="D80" s="28" t="s">
        <v>932</v>
      </c>
      <c r="E80" s="43" t="s">
        <v>82</v>
      </c>
      <c r="F80" s="28" t="s">
        <v>902</v>
      </c>
      <c r="G80" s="44" t="s">
        <v>243</v>
      </c>
      <c r="H80" s="45">
        <v>44214</v>
      </c>
      <c r="I80" s="46" t="s">
        <v>1039</v>
      </c>
      <c r="J80" s="28">
        <v>0</v>
      </c>
      <c r="K80" s="28" t="s">
        <v>417</v>
      </c>
      <c r="L80" s="28" t="s">
        <v>872</v>
      </c>
      <c r="M80" s="28" t="s">
        <v>1</v>
      </c>
      <c r="N80" s="28" t="str">
        <f t="shared" si="36"/>
        <v>AE3</v>
      </c>
      <c r="O80" s="81"/>
      <c r="P80" s="81">
        <f t="shared" si="37"/>
        <v>0</v>
      </c>
      <c r="Q80" s="81">
        <f t="shared" si="38"/>
        <v>0</v>
      </c>
      <c r="R80" s="81">
        <f t="shared" si="39"/>
        <v>0</v>
      </c>
      <c r="S80" s="81"/>
      <c r="T80" s="82">
        <f t="shared" si="40"/>
        <v>0</v>
      </c>
      <c r="U80" s="82">
        <f t="shared" si="41"/>
        <v>0</v>
      </c>
      <c r="V80" s="82">
        <f t="shared" si="42"/>
        <v>0</v>
      </c>
      <c r="W80" s="83">
        <v>0</v>
      </c>
      <c r="X80" s="83">
        <v>0</v>
      </c>
      <c r="Y80" s="83">
        <v>0</v>
      </c>
      <c r="Z80" s="84">
        <f>ROUND((IF(($O80&lt;=700000),0,IF(((VLOOKUP($M80,'Loyalty - Effec - 15July'!$B$5:$C$17,2,0)*$O80)&lt;=120000),(VLOOKUP($M80,'Loyalty - Effec - 15July'!$B$5:$C$17,2,0)*$O80),120000))),0)</f>
        <v>0</v>
      </c>
      <c r="AA80" s="84">
        <f>ROUND(VLOOKUP($M80,'Loyalty - Effec - 15July'!$B$5:$D$17,3,0)*$O80,0)</f>
        <v>0</v>
      </c>
      <c r="AB80" s="85">
        <f t="shared" si="43"/>
        <v>0</v>
      </c>
      <c r="AC80" s="86">
        <f t="shared" si="44"/>
        <v>0</v>
      </c>
      <c r="AD80" s="87">
        <f t="shared" si="45"/>
        <v>0</v>
      </c>
      <c r="AE80" s="88">
        <f t="shared" si="46"/>
        <v>0</v>
      </c>
      <c r="AF80" s="88">
        <f t="shared" si="47"/>
        <v>0</v>
      </c>
      <c r="AG80" s="49" t="s">
        <v>142</v>
      </c>
      <c r="AH80" s="49" t="s">
        <v>911</v>
      </c>
      <c r="AI80" s="50"/>
      <c r="AJ80" s="46"/>
      <c r="AK80" s="46"/>
      <c r="AL80" s="46"/>
      <c r="AM80" s="51">
        <f>IF($AL80=4,VLOOKUP($AR80,'Loyalty Incentive v1'!$L$3:$Q$15,2,FALSE),
IF($AL80=3,VLOOKUP($AR80,'Loyalty Incentive v1'!$L$3:$Q$15,3,FALSE),
IF($AL80=2,VLOOKUP($AR80,'Loyalty Incentive v1'!$L$3:$Q$15,4,FALSE),
IF($AL80=1,VLOOKUP($AR80,'Loyalty Incentive v1'!$L$3:$Q$15,5,FALSE),
IF($AL80=0,VLOOKUP($AR80,'Loyalty Incentive v1'!$L$3:$Q$15,6,FALSE),0)))))</f>
        <v>0</v>
      </c>
      <c r="AN80" s="51">
        <f>IFERROR(IF(I80&gt;="1",AM80,VLOOKUP(VALUE(I80),'Loyalty - Effec - 15July'!$I$5:$J$16,2,0)*AM80),0)</f>
        <v>0</v>
      </c>
      <c r="AO80" s="51">
        <v>0</v>
      </c>
      <c r="AP80" s="51">
        <f t="shared" si="48"/>
        <v>0</v>
      </c>
      <c r="AQ80" s="46" t="str">
        <f t="shared" si="49"/>
        <v>No</v>
      </c>
      <c r="AR80" s="46" t="str">
        <f t="shared" si="50"/>
        <v>AE3</v>
      </c>
      <c r="AS80" s="46" t="b">
        <f t="shared" si="51"/>
        <v>1</v>
      </c>
      <c r="AT80" s="82">
        <f t="shared" si="52"/>
        <v>0</v>
      </c>
      <c r="AU80" s="82">
        <f t="shared" si="53"/>
        <v>0</v>
      </c>
      <c r="AV80" s="82">
        <f t="shared" si="54"/>
        <v>0</v>
      </c>
      <c r="AW80" s="82">
        <f t="shared" si="55"/>
        <v>0</v>
      </c>
      <c r="AX80" s="85"/>
      <c r="AY80" s="82">
        <f t="shared" si="56"/>
        <v>0</v>
      </c>
      <c r="AZ80" s="82">
        <f t="shared" si="57"/>
        <v>0</v>
      </c>
      <c r="BA80" s="82">
        <f t="shared" si="58"/>
        <v>0</v>
      </c>
      <c r="BB80" s="83">
        <v>0</v>
      </c>
      <c r="BC80" s="83">
        <v>0</v>
      </c>
      <c r="BD80" s="83">
        <v>0</v>
      </c>
      <c r="BE80" s="84">
        <f>ROUND((IF(($AT80&lt;=700000),0,IF(((VLOOKUP($AR80,'Loyalty - Effec - 15July'!$B$5:$C$17,2,0)*$AT80)&lt;=120000),(VLOOKUP($AR80,'Loyalty - Effec - 15July'!$B$5:$C$17,2,0)*$AT80),120000))),0)</f>
        <v>0</v>
      </c>
      <c r="BF80" s="84">
        <f>ROUND(VLOOKUP($AR80,'Loyalty - Effec - 15July'!$B$5:$D$17,3,0)*$AT80,0)</f>
        <v>0</v>
      </c>
      <c r="BG80" s="85">
        <f t="shared" si="59"/>
        <v>0</v>
      </c>
      <c r="BH80" s="81">
        <f t="shared" si="60"/>
        <v>0</v>
      </c>
      <c r="BI80" s="85">
        <f t="shared" si="61"/>
        <v>0</v>
      </c>
      <c r="BJ80" s="85">
        <f t="shared" si="62"/>
        <v>0</v>
      </c>
      <c r="BK80" s="85">
        <f t="shared" si="63"/>
        <v>0</v>
      </c>
      <c r="BL80" s="85">
        <f t="shared" si="64"/>
        <v>0</v>
      </c>
      <c r="BM80" s="85">
        <f t="shared" si="65"/>
        <v>0</v>
      </c>
      <c r="BN80" s="85">
        <f t="shared" si="66"/>
        <v>0</v>
      </c>
      <c r="BO80" s="52" t="s">
        <v>85</v>
      </c>
      <c r="BP80" s="46">
        <v>2</v>
      </c>
      <c r="BQ80" s="46"/>
      <c r="BR80" s="47">
        <f t="shared" si="69"/>
        <v>0</v>
      </c>
      <c r="BU80" s="47">
        <f t="shared" si="68"/>
        <v>0</v>
      </c>
      <c r="BV80" s="53" t="s">
        <v>242</v>
      </c>
      <c r="BW80" s="53" t="s">
        <v>932</v>
      </c>
      <c r="BX80" s="53" t="s">
        <v>243</v>
      </c>
      <c r="BY80" s="53"/>
      <c r="BZ80" s="53"/>
    </row>
    <row r="81" spans="1:79">
      <c r="A81" s="42" t="s">
        <v>201</v>
      </c>
      <c r="B81" s="28" t="s">
        <v>79</v>
      </c>
      <c r="C81" s="28" t="s">
        <v>80</v>
      </c>
      <c r="D81" s="28" t="s">
        <v>932</v>
      </c>
      <c r="E81" s="43" t="s">
        <v>82</v>
      </c>
      <c r="F81" s="28" t="s">
        <v>901</v>
      </c>
      <c r="G81" s="44" t="s">
        <v>202</v>
      </c>
      <c r="H81" s="45">
        <v>44214</v>
      </c>
      <c r="I81" s="46" t="s">
        <v>1039</v>
      </c>
      <c r="J81" s="28">
        <v>4</v>
      </c>
      <c r="K81" s="28" t="s">
        <v>863</v>
      </c>
      <c r="L81" s="28" t="s">
        <v>869</v>
      </c>
      <c r="M81" s="28" t="s">
        <v>1</v>
      </c>
      <c r="N81" s="28" t="str">
        <f t="shared" si="36"/>
        <v>AE3</v>
      </c>
      <c r="O81" s="81"/>
      <c r="P81" s="81">
        <f t="shared" si="37"/>
        <v>0</v>
      </c>
      <c r="Q81" s="81">
        <f t="shared" si="38"/>
        <v>0</v>
      </c>
      <c r="R81" s="81">
        <f t="shared" si="39"/>
        <v>0</v>
      </c>
      <c r="S81" s="81"/>
      <c r="T81" s="82">
        <f t="shared" si="40"/>
        <v>0</v>
      </c>
      <c r="U81" s="82">
        <f t="shared" si="41"/>
        <v>0</v>
      </c>
      <c r="V81" s="82">
        <f t="shared" si="42"/>
        <v>0</v>
      </c>
      <c r="W81" s="83">
        <v>0</v>
      </c>
      <c r="X81" s="83">
        <v>0</v>
      </c>
      <c r="Y81" s="83">
        <v>0</v>
      </c>
      <c r="Z81" s="84">
        <f>ROUND((IF(($O81&lt;=700000),0,IF(((VLOOKUP($M81,'Loyalty - Effec - 15July'!$B$5:$C$17,2,0)*$O81)&lt;=120000),(VLOOKUP($M81,'Loyalty - Effec - 15July'!$B$5:$C$17,2,0)*$O81),120000))),0)</f>
        <v>0</v>
      </c>
      <c r="AA81" s="84">
        <f>ROUND(VLOOKUP($M81,'Loyalty - Effec - 15July'!$B$5:$D$17,3,0)*$O81,0)</f>
        <v>0</v>
      </c>
      <c r="AB81" s="85">
        <f t="shared" si="43"/>
        <v>0</v>
      </c>
      <c r="AC81" s="86">
        <f t="shared" si="44"/>
        <v>0</v>
      </c>
      <c r="AD81" s="87">
        <f t="shared" si="45"/>
        <v>0</v>
      </c>
      <c r="AE81" s="88">
        <f t="shared" si="46"/>
        <v>0</v>
      </c>
      <c r="AF81" s="88">
        <f t="shared" si="47"/>
        <v>0</v>
      </c>
      <c r="AG81" s="49" t="s">
        <v>126</v>
      </c>
      <c r="AH81" s="49" t="s">
        <v>809</v>
      </c>
      <c r="AI81" s="50"/>
      <c r="AJ81" s="46"/>
      <c r="AK81" s="46"/>
      <c r="AL81" s="46"/>
      <c r="AM81" s="51">
        <f>IF($AL81=4,VLOOKUP($AR81,'Loyalty Incentive v1'!$L$3:$Q$15,2,FALSE),
IF($AL81=3,VLOOKUP($AR81,'Loyalty Incentive v1'!$L$3:$Q$15,3,FALSE),
IF($AL81=2,VLOOKUP($AR81,'Loyalty Incentive v1'!$L$3:$Q$15,4,FALSE),
IF($AL81=1,VLOOKUP($AR81,'Loyalty Incentive v1'!$L$3:$Q$15,5,FALSE),
IF($AL81=0,VLOOKUP($AR81,'Loyalty Incentive v1'!$L$3:$Q$15,6,FALSE),0)))))</f>
        <v>0</v>
      </c>
      <c r="AN81" s="51">
        <f>IFERROR(IF(I81&gt;="1",AM81,VLOOKUP(VALUE(I81),'Loyalty - Effec - 15July'!$I$5:$J$16,2,0)*AM81),0)</f>
        <v>0</v>
      </c>
      <c r="AO81" s="51">
        <v>0</v>
      </c>
      <c r="AP81" s="51">
        <f t="shared" si="48"/>
        <v>0</v>
      </c>
      <c r="AQ81" s="46" t="str">
        <f t="shared" si="49"/>
        <v>No</v>
      </c>
      <c r="AR81" s="46" t="str">
        <f t="shared" si="50"/>
        <v>AE3</v>
      </c>
      <c r="AS81" s="46" t="b">
        <f t="shared" si="51"/>
        <v>1</v>
      </c>
      <c r="AT81" s="82">
        <f t="shared" si="52"/>
        <v>0</v>
      </c>
      <c r="AU81" s="82">
        <f t="shared" si="53"/>
        <v>0</v>
      </c>
      <c r="AV81" s="82">
        <f t="shared" si="54"/>
        <v>0</v>
      </c>
      <c r="AW81" s="82">
        <f t="shared" si="55"/>
        <v>0</v>
      </c>
      <c r="AX81" s="85"/>
      <c r="AY81" s="82">
        <f t="shared" si="56"/>
        <v>0</v>
      </c>
      <c r="AZ81" s="82">
        <f t="shared" si="57"/>
        <v>0</v>
      </c>
      <c r="BA81" s="82">
        <f t="shared" si="58"/>
        <v>0</v>
      </c>
      <c r="BB81" s="83">
        <v>0</v>
      </c>
      <c r="BC81" s="83">
        <v>0</v>
      </c>
      <c r="BD81" s="83">
        <v>0</v>
      </c>
      <c r="BE81" s="84">
        <f>ROUND((IF(($AT81&lt;=700000),0,IF(((VLOOKUP($AR81,'Loyalty - Effec - 15July'!$B$5:$C$17,2,0)*$AT81)&lt;=120000),(VLOOKUP($AR81,'Loyalty - Effec - 15July'!$B$5:$C$17,2,0)*$AT81),120000))),0)</f>
        <v>0</v>
      </c>
      <c r="BF81" s="84">
        <f>ROUND(VLOOKUP($AR81,'Loyalty - Effec - 15July'!$B$5:$D$17,3,0)*$AT81,0)</f>
        <v>0</v>
      </c>
      <c r="BG81" s="85">
        <f t="shared" si="59"/>
        <v>0</v>
      </c>
      <c r="BH81" s="81">
        <f t="shared" si="60"/>
        <v>0</v>
      </c>
      <c r="BI81" s="85">
        <f t="shared" si="61"/>
        <v>0</v>
      </c>
      <c r="BJ81" s="85">
        <f t="shared" si="62"/>
        <v>0</v>
      </c>
      <c r="BK81" s="85">
        <f t="shared" si="63"/>
        <v>0</v>
      </c>
      <c r="BL81" s="85">
        <f t="shared" si="64"/>
        <v>0</v>
      </c>
      <c r="BM81" s="85">
        <f t="shared" si="65"/>
        <v>0</v>
      </c>
      <c r="BN81" s="85">
        <f t="shared" si="66"/>
        <v>0</v>
      </c>
      <c r="BO81" s="52" t="s">
        <v>85</v>
      </c>
      <c r="BP81" s="46">
        <v>4</v>
      </c>
      <c r="BQ81" s="46"/>
      <c r="BR81" s="47">
        <f t="shared" si="69"/>
        <v>0</v>
      </c>
      <c r="BU81" s="47">
        <f t="shared" si="68"/>
        <v>0</v>
      </c>
      <c r="BV81" s="53" t="s">
        <v>201</v>
      </c>
      <c r="BW81" s="53" t="s">
        <v>932</v>
      </c>
      <c r="BX81" s="53" t="s">
        <v>202</v>
      </c>
      <c r="BY81" s="53"/>
      <c r="BZ81" s="53"/>
    </row>
    <row r="82" spans="1:79">
      <c r="A82" s="42" t="s">
        <v>256</v>
      </c>
      <c r="B82" s="28" t="s">
        <v>79</v>
      </c>
      <c r="C82" s="28" t="s">
        <v>80</v>
      </c>
      <c r="D82" s="28" t="s">
        <v>932</v>
      </c>
      <c r="E82" s="43" t="s">
        <v>82</v>
      </c>
      <c r="F82" s="28" t="s">
        <v>901</v>
      </c>
      <c r="G82" s="44" t="s">
        <v>257</v>
      </c>
      <c r="H82" s="45">
        <v>44249</v>
      </c>
      <c r="I82" s="46" t="s">
        <v>1040</v>
      </c>
      <c r="J82" s="28">
        <v>5</v>
      </c>
      <c r="K82" s="28" t="s">
        <v>93</v>
      </c>
      <c r="L82" s="28" t="s">
        <v>873</v>
      </c>
      <c r="M82" s="28" t="s">
        <v>3</v>
      </c>
      <c r="N82" s="28" t="str">
        <f t="shared" si="36"/>
        <v>AE5</v>
      </c>
      <c r="O82" s="81"/>
      <c r="P82" s="81">
        <f t="shared" si="37"/>
        <v>0</v>
      </c>
      <c r="Q82" s="81">
        <f t="shared" si="38"/>
        <v>0</v>
      </c>
      <c r="R82" s="81">
        <f t="shared" si="39"/>
        <v>0</v>
      </c>
      <c r="S82" s="81"/>
      <c r="T82" s="82">
        <f t="shared" si="40"/>
        <v>0</v>
      </c>
      <c r="U82" s="82">
        <f t="shared" si="41"/>
        <v>0</v>
      </c>
      <c r="V82" s="82">
        <f t="shared" si="42"/>
        <v>0</v>
      </c>
      <c r="W82" s="83">
        <v>0</v>
      </c>
      <c r="X82" s="83">
        <v>0</v>
      </c>
      <c r="Y82" s="83">
        <v>0</v>
      </c>
      <c r="Z82" s="84">
        <f>ROUND((IF(($O82&lt;=700000),0,IF(((VLOOKUP($M82,'Loyalty - Effec - 15July'!$B$5:$C$17,2,0)*$O82)&lt;=120000),(VLOOKUP($M82,'Loyalty - Effec - 15July'!$B$5:$C$17,2,0)*$O82),120000))),0)</f>
        <v>0</v>
      </c>
      <c r="AA82" s="84">
        <f>ROUND(VLOOKUP($M82,'Loyalty - Effec - 15July'!$B$5:$D$17,3,0)*$O82,0)</f>
        <v>0</v>
      </c>
      <c r="AB82" s="85">
        <f t="shared" si="43"/>
        <v>0</v>
      </c>
      <c r="AC82" s="86">
        <f t="shared" si="44"/>
        <v>0</v>
      </c>
      <c r="AD82" s="87">
        <f t="shared" si="45"/>
        <v>0</v>
      </c>
      <c r="AE82" s="88">
        <f t="shared" si="46"/>
        <v>0</v>
      </c>
      <c r="AF82" s="88">
        <f t="shared" si="47"/>
        <v>0</v>
      </c>
      <c r="AG82" s="49" t="s">
        <v>212</v>
      </c>
      <c r="AH82" s="49" t="s">
        <v>928</v>
      </c>
      <c r="AI82" s="50"/>
      <c r="AJ82" s="46"/>
      <c r="AK82" s="46"/>
      <c r="AL82" s="46"/>
      <c r="AM82" s="51">
        <f>IF($AL82=4,VLOOKUP($AR82,'Loyalty Incentive v1'!$L$3:$Q$15,2,FALSE),
IF($AL82=3,VLOOKUP($AR82,'Loyalty Incentive v1'!$L$3:$Q$15,3,FALSE),
IF($AL82=2,VLOOKUP($AR82,'Loyalty Incentive v1'!$L$3:$Q$15,4,FALSE),
IF($AL82=1,VLOOKUP($AR82,'Loyalty Incentive v1'!$L$3:$Q$15,5,FALSE),
IF($AL82=0,VLOOKUP($AR82,'Loyalty Incentive v1'!$L$3:$Q$15,6,FALSE),0)))))</f>
        <v>0</v>
      </c>
      <c r="AN82" s="51">
        <f>IFERROR(IF(I82&gt;="1",AM82,VLOOKUP(VALUE(I82),'Loyalty - Effec - 15July'!$I$5:$J$16,2,0)*AM82),0)</f>
        <v>0</v>
      </c>
      <c r="AO82" s="51">
        <v>0</v>
      </c>
      <c r="AP82" s="51">
        <f t="shared" si="48"/>
        <v>0</v>
      </c>
      <c r="AQ82" s="46" t="str">
        <f t="shared" si="49"/>
        <v>No</v>
      </c>
      <c r="AR82" s="46" t="str">
        <f t="shared" si="50"/>
        <v>AE5</v>
      </c>
      <c r="AS82" s="46" t="b">
        <f t="shared" si="51"/>
        <v>1</v>
      </c>
      <c r="AT82" s="82">
        <f t="shared" si="52"/>
        <v>0</v>
      </c>
      <c r="AU82" s="82">
        <f t="shared" si="53"/>
        <v>0</v>
      </c>
      <c r="AV82" s="82">
        <f t="shared" si="54"/>
        <v>0</v>
      </c>
      <c r="AW82" s="82">
        <f t="shared" si="55"/>
        <v>0</v>
      </c>
      <c r="AX82" s="85"/>
      <c r="AY82" s="82">
        <f t="shared" si="56"/>
        <v>0</v>
      </c>
      <c r="AZ82" s="82">
        <f t="shared" si="57"/>
        <v>0</v>
      </c>
      <c r="BA82" s="82">
        <f t="shared" si="58"/>
        <v>0</v>
      </c>
      <c r="BB82" s="83">
        <v>0</v>
      </c>
      <c r="BC82" s="83">
        <v>0</v>
      </c>
      <c r="BD82" s="83">
        <v>0</v>
      </c>
      <c r="BE82" s="84">
        <f>ROUND((IF(($AT82&lt;=700000),0,IF(((VLOOKUP($AR82,'Loyalty - Effec - 15July'!$B$5:$C$17,2,0)*$AT82)&lt;=120000),(VLOOKUP($AR82,'Loyalty - Effec - 15July'!$B$5:$C$17,2,0)*$AT82),120000))),0)</f>
        <v>0</v>
      </c>
      <c r="BF82" s="84">
        <f>ROUND(VLOOKUP($AR82,'Loyalty - Effec - 15July'!$B$5:$D$17,3,0)*$AT82,0)</f>
        <v>0</v>
      </c>
      <c r="BG82" s="85">
        <f t="shared" si="59"/>
        <v>0</v>
      </c>
      <c r="BH82" s="81">
        <f t="shared" si="60"/>
        <v>0</v>
      </c>
      <c r="BI82" s="85">
        <f t="shared" si="61"/>
        <v>0</v>
      </c>
      <c r="BJ82" s="85">
        <f t="shared" si="62"/>
        <v>0</v>
      </c>
      <c r="BK82" s="85">
        <f t="shared" si="63"/>
        <v>0</v>
      </c>
      <c r="BL82" s="85">
        <f t="shared" si="64"/>
        <v>0</v>
      </c>
      <c r="BM82" s="85">
        <f t="shared" si="65"/>
        <v>0</v>
      </c>
      <c r="BN82" s="85">
        <f t="shared" si="66"/>
        <v>0</v>
      </c>
      <c r="BO82" s="52" t="s">
        <v>85</v>
      </c>
      <c r="BP82" s="46">
        <v>4</v>
      </c>
      <c r="BQ82" s="52" t="s">
        <v>121</v>
      </c>
      <c r="BR82" s="47">
        <f t="shared" si="69"/>
        <v>0</v>
      </c>
      <c r="BU82" s="47">
        <f t="shared" si="68"/>
        <v>0</v>
      </c>
      <c r="BV82" s="53" t="s">
        <v>256</v>
      </c>
      <c r="BW82" s="53" t="s">
        <v>932</v>
      </c>
      <c r="BX82" s="53" t="s">
        <v>257</v>
      </c>
      <c r="BY82" s="53"/>
      <c r="BZ82" s="53"/>
    </row>
    <row r="83" spans="1:79">
      <c r="A83" s="42" t="s">
        <v>250</v>
      </c>
      <c r="B83" s="28" t="s">
        <v>79</v>
      </c>
      <c r="C83" s="28" t="s">
        <v>80</v>
      </c>
      <c r="D83" s="28" t="s">
        <v>932</v>
      </c>
      <c r="E83" s="43" t="s">
        <v>82</v>
      </c>
      <c r="F83" s="28" t="s">
        <v>901</v>
      </c>
      <c r="G83" s="44" t="s">
        <v>251</v>
      </c>
      <c r="H83" s="45">
        <v>44251</v>
      </c>
      <c r="I83" s="46" t="s">
        <v>1040</v>
      </c>
      <c r="J83" s="28">
        <v>7</v>
      </c>
      <c r="K83" s="28" t="s">
        <v>863</v>
      </c>
      <c r="L83" s="28" t="s">
        <v>881</v>
      </c>
      <c r="M83" s="28" t="s">
        <v>3</v>
      </c>
      <c r="N83" s="28" t="str">
        <f t="shared" si="36"/>
        <v>AE5</v>
      </c>
      <c r="O83" s="81"/>
      <c r="P83" s="81">
        <f t="shared" si="37"/>
        <v>0</v>
      </c>
      <c r="Q83" s="81">
        <f t="shared" si="38"/>
        <v>0</v>
      </c>
      <c r="R83" s="81">
        <f t="shared" si="39"/>
        <v>0</v>
      </c>
      <c r="S83" s="81"/>
      <c r="T83" s="82">
        <f t="shared" si="40"/>
        <v>0</v>
      </c>
      <c r="U83" s="82">
        <f t="shared" si="41"/>
        <v>0</v>
      </c>
      <c r="V83" s="82">
        <f t="shared" si="42"/>
        <v>0</v>
      </c>
      <c r="W83" s="83">
        <v>0</v>
      </c>
      <c r="X83" s="83">
        <v>0</v>
      </c>
      <c r="Y83" s="83">
        <v>0</v>
      </c>
      <c r="Z83" s="84">
        <f>ROUND((IF(($O83&lt;=700000),0,IF(((VLOOKUP($M83,'Loyalty - Effec - 15July'!$B$5:$C$17,2,0)*$O83)&lt;=120000),(VLOOKUP($M83,'Loyalty - Effec - 15July'!$B$5:$C$17,2,0)*$O83),120000))),0)</f>
        <v>0</v>
      </c>
      <c r="AA83" s="84">
        <f>ROUND(VLOOKUP($M83,'Loyalty - Effec - 15July'!$B$5:$D$17,3,0)*$O83,0)</f>
        <v>0</v>
      </c>
      <c r="AB83" s="85">
        <f t="shared" si="43"/>
        <v>0</v>
      </c>
      <c r="AC83" s="86">
        <f t="shared" si="44"/>
        <v>0</v>
      </c>
      <c r="AD83" s="87">
        <f t="shared" si="45"/>
        <v>0</v>
      </c>
      <c r="AE83" s="88">
        <f t="shared" si="46"/>
        <v>0</v>
      </c>
      <c r="AF83" s="88">
        <f t="shared" si="47"/>
        <v>0</v>
      </c>
      <c r="AG83" s="49" t="s">
        <v>126</v>
      </c>
      <c r="AH83" s="49" t="s">
        <v>809</v>
      </c>
      <c r="AI83" s="50"/>
      <c r="AJ83" s="46"/>
      <c r="AK83" s="46"/>
      <c r="AL83" s="46"/>
      <c r="AM83" s="51">
        <f>IF($AL83=4,VLOOKUP($AR83,'Loyalty Incentive v1'!$L$3:$Q$15,2,FALSE),
IF($AL83=3,VLOOKUP($AR83,'Loyalty Incentive v1'!$L$3:$Q$15,3,FALSE),
IF($AL83=2,VLOOKUP($AR83,'Loyalty Incentive v1'!$L$3:$Q$15,4,FALSE),
IF($AL83=1,VLOOKUP($AR83,'Loyalty Incentive v1'!$L$3:$Q$15,5,FALSE),
IF($AL83=0,VLOOKUP($AR83,'Loyalty Incentive v1'!$L$3:$Q$15,6,FALSE),0)))))</f>
        <v>0</v>
      </c>
      <c r="AN83" s="51">
        <f>IFERROR(IF(I83&gt;="1",AM83,VLOOKUP(VALUE(I83),'Loyalty - Effec - 15July'!$I$5:$J$16,2,0)*AM83),0)</f>
        <v>0</v>
      </c>
      <c r="AO83" s="51">
        <v>0</v>
      </c>
      <c r="AP83" s="51">
        <f t="shared" si="48"/>
        <v>0</v>
      </c>
      <c r="AQ83" s="46" t="str">
        <f t="shared" si="49"/>
        <v>No</v>
      </c>
      <c r="AR83" s="46" t="str">
        <f t="shared" si="50"/>
        <v>AE5</v>
      </c>
      <c r="AS83" s="46" t="b">
        <f t="shared" si="51"/>
        <v>1</v>
      </c>
      <c r="AT83" s="82">
        <f t="shared" si="52"/>
        <v>0</v>
      </c>
      <c r="AU83" s="82">
        <f t="shared" si="53"/>
        <v>0</v>
      </c>
      <c r="AV83" s="82">
        <f t="shared" si="54"/>
        <v>0</v>
      </c>
      <c r="AW83" s="82">
        <f t="shared" si="55"/>
        <v>0</v>
      </c>
      <c r="AX83" s="85"/>
      <c r="AY83" s="82">
        <f t="shared" si="56"/>
        <v>0</v>
      </c>
      <c r="AZ83" s="82">
        <f t="shared" si="57"/>
        <v>0</v>
      </c>
      <c r="BA83" s="82">
        <f t="shared" si="58"/>
        <v>0</v>
      </c>
      <c r="BB83" s="83">
        <v>0</v>
      </c>
      <c r="BC83" s="83">
        <v>0</v>
      </c>
      <c r="BD83" s="83">
        <v>0</v>
      </c>
      <c r="BE83" s="84">
        <f>ROUND((IF(($AT83&lt;=700000),0,IF(((VLOOKUP($AR83,'Loyalty - Effec - 15July'!$B$5:$C$17,2,0)*$AT83)&lt;=120000),(VLOOKUP($AR83,'Loyalty - Effec - 15July'!$B$5:$C$17,2,0)*$AT83),120000))),0)</f>
        <v>0</v>
      </c>
      <c r="BF83" s="84">
        <f>ROUND(VLOOKUP($AR83,'Loyalty - Effec - 15July'!$B$5:$D$17,3,0)*$AT83,0)</f>
        <v>0</v>
      </c>
      <c r="BG83" s="85">
        <f t="shared" si="59"/>
        <v>0</v>
      </c>
      <c r="BH83" s="81">
        <f t="shared" si="60"/>
        <v>0</v>
      </c>
      <c r="BI83" s="85">
        <f t="shared" si="61"/>
        <v>0</v>
      </c>
      <c r="BJ83" s="85">
        <f t="shared" si="62"/>
        <v>0</v>
      </c>
      <c r="BK83" s="85">
        <f t="shared" si="63"/>
        <v>0</v>
      </c>
      <c r="BL83" s="85">
        <f t="shared" si="64"/>
        <v>0</v>
      </c>
      <c r="BM83" s="85">
        <f t="shared" si="65"/>
        <v>0</v>
      </c>
      <c r="BN83" s="85">
        <f t="shared" si="66"/>
        <v>0</v>
      </c>
      <c r="BO83" s="52" t="s">
        <v>85</v>
      </c>
      <c r="BP83" s="46">
        <v>2</v>
      </c>
      <c r="BQ83" s="46"/>
      <c r="BR83" s="47">
        <f t="shared" si="69"/>
        <v>0</v>
      </c>
      <c r="BU83" s="47">
        <f t="shared" si="68"/>
        <v>0</v>
      </c>
      <c r="BV83" s="53" t="s">
        <v>250</v>
      </c>
      <c r="BW83" s="53" t="s">
        <v>932</v>
      </c>
      <c r="BX83" s="53" t="s">
        <v>251</v>
      </c>
      <c r="BY83" s="53"/>
      <c r="BZ83" s="53"/>
    </row>
    <row r="84" spans="1:79">
      <c r="A84" s="42" t="s">
        <v>252</v>
      </c>
      <c r="B84" s="28" t="s">
        <v>79</v>
      </c>
      <c r="C84" s="28" t="s">
        <v>80</v>
      </c>
      <c r="D84" s="28" t="s">
        <v>932</v>
      </c>
      <c r="E84" s="43" t="s">
        <v>82</v>
      </c>
      <c r="F84" s="28" t="s">
        <v>901</v>
      </c>
      <c r="G84" s="44" t="s">
        <v>253</v>
      </c>
      <c r="H84" s="45">
        <v>44263</v>
      </c>
      <c r="I84" s="46" t="s">
        <v>982</v>
      </c>
      <c r="J84" s="28">
        <v>5</v>
      </c>
      <c r="K84" s="28" t="s">
        <v>418</v>
      </c>
      <c r="L84" s="28" t="s">
        <v>882</v>
      </c>
      <c r="M84" s="28" t="s">
        <v>5</v>
      </c>
      <c r="N84" s="28" t="str">
        <f t="shared" si="36"/>
        <v>E1</v>
      </c>
      <c r="O84" s="81"/>
      <c r="P84" s="81">
        <f t="shared" si="37"/>
        <v>0</v>
      </c>
      <c r="Q84" s="81">
        <f t="shared" si="38"/>
        <v>0</v>
      </c>
      <c r="R84" s="81">
        <f t="shared" si="39"/>
        <v>0</v>
      </c>
      <c r="S84" s="81"/>
      <c r="T84" s="82">
        <f t="shared" si="40"/>
        <v>0</v>
      </c>
      <c r="U84" s="82">
        <f t="shared" si="41"/>
        <v>0</v>
      </c>
      <c r="V84" s="82">
        <f t="shared" si="42"/>
        <v>0</v>
      </c>
      <c r="W84" s="83">
        <v>0</v>
      </c>
      <c r="X84" s="83">
        <v>0</v>
      </c>
      <c r="Y84" s="83">
        <v>0</v>
      </c>
      <c r="Z84" s="84">
        <f>ROUND((IF(($O84&lt;=700000),0,IF(((VLOOKUP($M84,'Loyalty - Effec - 15July'!$B$5:$C$17,2,0)*$O84)&lt;=120000),(VLOOKUP($M84,'Loyalty - Effec - 15July'!$B$5:$C$17,2,0)*$O84),120000))),0)</f>
        <v>0</v>
      </c>
      <c r="AA84" s="84">
        <f>ROUND(VLOOKUP($M84,'Loyalty - Effec - 15July'!$B$5:$D$17,3,0)*$O84,0)</f>
        <v>0</v>
      </c>
      <c r="AB84" s="85">
        <f t="shared" si="43"/>
        <v>0</v>
      </c>
      <c r="AC84" s="86">
        <f t="shared" si="44"/>
        <v>0</v>
      </c>
      <c r="AD84" s="87">
        <f t="shared" si="45"/>
        <v>0</v>
      </c>
      <c r="AE84" s="88">
        <f t="shared" si="46"/>
        <v>0</v>
      </c>
      <c r="AF84" s="88">
        <f t="shared" si="47"/>
        <v>0</v>
      </c>
      <c r="AG84" s="49" t="s">
        <v>381</v>
      </c>
      <c r="AH84" s="49" t="s">
        <v>904</v>
      </c>
      <c r="AI84" s="50"/>
      <c r="AJ84" s="46"/>
      <c r="AK84" s="46"/>
      <c r="AL84" s="46"/>
      <c r="AM84" s="51">
        <f>IF($AL84=4,VLOOKUP($AR84,'Loyalty Incentive v1'!$L$3:$Q$15,2,FALSE),
IF($AL84=3,VLOOKUP($AR84,'Loyalty Incentive v1'!$L$3:$Q$15,3,FALSE),
IF($AL84=2,VLOOKUP($AR84,'Loyalty Incentive v1'!$L$3:$Q$15,4,FALSE),
IF($AL84=1,VLOOKUP($AR84,'Loyalty Incentive v1'!$L$3:$Q$15,5,FALSE),
IF($AL84=0,VLOOKUP($AR84,'Loyalty Incentive v1'!$L$3:$Q$15,6,FALSE),0)))))</f>
        <v>0</v>
      </c>
      <c r="AN84" s="51">
        <f>IFERROR(IF(I84&gt;="1",AM84,VLOOKUP(VALUE(I84),'Loyalty - Effec - 15July'!$I$5:$J$16,2,0)*AM84),0)</f>
        <v>0</v>
      </c>
      <c r="AO84" s="51">
        <v>0</v>
      </c>
      <c r="AP84" s="51">
        <f t="shared" si="48"/>
        <v>0</v>
      </c>
      <c r="AQ84" s="46" t="str">
        <f t="shared" si="49"/>
        <v>No</v>
      </c>
      <c r="AR84" s="46" t="str">
        <f t="shared" si="50"/>
        <v>E1</v>
      </c>
      <c r="AS84" s="46" t="b">
        <f t="shared" si="51"/>
        <v>1</v>
      </c>
      <c r="AT84" s="82">
        <f t="shared" si="52"/>
        <v>0</v>
      </c>
      <c r="AU84" s="82">
        <f t="shared" si="53"/>
        <v>0</v>
      </c>
      <c r="AV84" s="82">
        <f t="shared" si="54"/>
        <v>0</v>
      </c>
      <c r="AW84" s="82">
        <f t="shared" si="55"/>
        <v>0</v>
      </c>
      <c r="AX84" s="85"/>
      <c r="AY84" s="82">
        <f t="shared" si="56"/>
        <v>0</v>
      </c>
      <c r="AZ84" s="82">
        <f t="shared" si="57"/>
        <v>0</v>
      </c>
      <c r="BA84" s="82">
        <f t="shared" si="58"/>
        <v>0</v>
      </c>
      <c r="BB84" s="83">
        <v>0</v>
      </c>
      <c r="BC84" s="83">
        <v>0</v>
      </c>
      <c r="BD84" s="83">
        <v>0</v>
      </c>
      <c r="BE84" s="84">
        <f>ROUND((IF(($AT84&lt;=700000),0,IF(((VLOOKUP($AR84,'Loyalty - Effec - 15July'!$B$5:$C$17,2,0)*$AT84)&lt;=120000),(VLOOKUP($AR84,'Loyalty - Effec - 15July'!$B$5:$C$17,2,0)*$AT84),120000))),0)</f>
        <v>0</v>
      </c>
      <c r="BF84" s="84">
        <f>ROUND(VLOOKUP($AR84,'Loyalty - Effec - 15July'!$B$5:$D$17,3,0)*$AT84,0)</f>
        <v>0</v>
      </c>
      <c r="BG84" s="85">
        <f t="shared" si="59"/>
        <v>0</v>
      </c>
      <c r="BH84" s="81">
        <f t="shared" si="60"/>
        <v>0</v>
      </c>
      <c r="BI84" s="85">
        <f t="shared" si="61"/>
        <v>0</v>
      </c>
      <c r="BJ84" s="85">
        <f t="shared" si="62"/>
        <v>0</v>
      </c>
      <c r="BK84" s="85">
        <f t="shared" si="63"/>
        <v>0</v>
      </c>
      <c r="BL84" s="85">
        <f t="shared" si="64"/>
        <v>0</v>
      </c>
      <c r="BM84" s="85">
        <f t="shared" si="65"/>
        <v>0</v>
      </c>
      <c r="BN84" s="85">
        <f t="shared" si="66"/>
        <v>0</v>
      </c>
      <c r="BO84" s="52" t="s">
        <v>85</v>
      </c>
      <c r="BP84" s="46">
        <v>3</v>
      </c>
      <c r="BQ84" s="46"/>
      <c r="BR84" s="47">
        <f t="shared" si="69"/>
        <v>0</v>
      </c>
      <c r="BU84" s="47">
        <f t="shared" si="68"/>
        <v>0</v>
      </c>
      <c r="BV84" s="53" t="s">
        <v>252</v>
      </c>
      <c r="BW84" s="53" t="s">
        <v>932</v>
      </c>
      <c r="BX84" s="53" t="s">
        <v>253</v>
      </c>
      <c r="BY84" s="53"/>
      <c r="BZ84" s="53"/>
    </row>
    <row r="85" spans="1:79">
      <c r="A85" s="42" t="s">
        <v>254</v>
      </c>
      <c r="B85" s="28" t="s">
        <v>79</v>
      </c>
      <c r="C85" s="28" t="s">
        <v>80</v>
      </c>
      <c r="D85" s="28" t="s">
        <v>932</v>
      </c>
      <c r="E85" s="43" t="s">
        <v>82</v>
      </c>
      <c r="F85" s="28" t="s">
        <v>901</v>
      </c>
      <c r="G85" s="44" t="s">
        <v>255</v>
      </c>
      <c r="H85" s="45">
        <v>44263</v>
      </c>
      <c r="I85" s="46" t="s">
        <v>982</v>
      </c>
      <c r="J85" s="28">
        <v>5</v>
      </c>
      <c r="K85" s="28" t="s">
        <v>407</v>
      </c>
      <c r="L85" s="28" t="s">
        <v>868</v>
      </c>
      <c r="M85" s="28" t="s">
        <v>1</v>
      </c>
      <c r="N85" s="28" t="str">
        <f t="shared" si="36"/>
        <v>AE3</v>
      </c>
      <c r="O85" s="81"/>
      <c r="P85" s="81">
        <f t="shared" si="37"/>
        <v>0</v>
      </c>
      <c r="Q85" s="81">
        <f t="shared" si="38"/>
        <v>0</v>
      </c>
      <c r="R85" s="81">
        <f t="shared" si="39"/>
        <v>0</v>
      </c>
      <c r="S85" s="81"/>
      <c r="T85" s="82">
        <f t="shared" si="40"/>
        <v>0</v>
      </c>
      <c r="U85" s="82">
        <f t="shared" si="41"/>
        <v>0</v>
      </c>
      <c r="V85" s="82">
        <f t="shared" si="42"/>
        <v>0</v>
      </c>
      <c r="W85" s="83">
        <v>0</v>
      </c>
      <c r="X85" s="83">
        <v>0</v>
      </c>
      <c r="Y85" s="83">
        <v>0</v>
      </c>
      <c r="Z85" s="84">
        <f>ROUND((IF(($O85&lt;=700000),0,IF(((VLOOKUP($M85,'Loyalty - Effec - 15July'!$B$5:$C$17,2,0)*$O85)&lt;=120000),(VLOOKUP($M85,'Loyalty - Effec - 15July'!$B$5:$C$17,2,0)*$O85),120000))),0)</f>
        <v>0</v>
      </c>
      <c r="AA85" s="84">
        <f>ROUND(VLOOKUP($M85,'Loyalty - Effec - 15July'!$B$5:$D$17,3,0)*$O85,0)</f>
        <v>0</v>
      </c>
      <c r="AB85" s="85">
        <f t="shared" si="43"/>
        <v>0</v>
      </c>
      <c r="AC85" s="86">
        <f t="shared" si="44"/>
        <v>0</v>
      </c>
      <c r="AD85" s="87">
        <f t="shared" si="45"/>
        <v>0</v>
      </c>
      <c r="AE85" s="88">
        <f t="shared" si="46"/>
        <v>0</v>
      </c>
      <c r="AF85" s="88">
        <f t="shared" si="47"/>
        <v>0</v>
      </c>
      <c r="AG85" s="49" t="s">
        <v>163</v>
      </c>
      <c r="AH85" s="49" t="s">
        <v>912</v>
      </c>
      <c r="AI85" s="50"/>
      <c r="AJ85" s="46"/>
      <c r="AK85" s="46"/>
      <c r="AL85" s="46"/>
      <c r="AM85" s="51">
        <f>IF($AL85=4,VLOOKUP($AR85,'Loyalty Incentive v1'!$L$3:$Q$15,2,FALSE),
IF($AL85=3,VLOOKUP($AR85,'Loyalty Incentive v1'!$L$3:$Q$15,3,FALSE),
IF($AL85=2,VLOOKUP($AR85,'Loyalty Incentive v1'!$L$3:$Q$15,4,FALSE),
IF($AL85=1,VLOOKUP($AR85,'Loyalty Incentive v1'!$L$3:$Q$15,5,FALSE),
IF($AL85=0,VLOOKUP($AR85,'Loyalty Incentive v1'!$L$3:$Q$15,6,FALSE),0)))))</f>
        <v>0</v>
      </c>
      <c r="AN85" s="51">
        <f>IFERROR(IF(I85&gt;="1",AM85,VLOOKUP(VALUE(I85),'Loyalty - Effec - 15July'!$I$5:$J$16,2,0)*AM85),0)</f>
        <v>0</v>
      </c>
      <c r="AO85" s="51">
        <v>0</v>
      </c>
      <c r="AP85" s="51">
        <f t="shared" si="48"/>
        <v>0</v>
      </c>
      <c r="AQ85" s="46" t="str">
        <f t="shared" si="49"/>
        <v>No</v>
      </c>
      <c r="AR85" s="46" t="str">
        <f t="shared" si="50"/>
        <v>AE3</v>
      </c>
      <c r="AS85" s="46" t="b">
        <f t="shared" si="51"/>
        <v>1</v>
      </c>
      <c r="AT85" s="82">
        <f t="shared" si="52"/>
        <v>0</v>
      </c>
      <c r="AU85" s="82">
        <f t="shared" si="53"/>
        <v>0</v>
      </c>
      <c r="AV85" s="82">
        <f t="shared" si="54"/>
        <v>0</v>
      </c>
      <c r="AW85" s="82">
        <f t="shared" si="55"/>
        <v>0</v>
      </c>
      <c r="AX85" s="85"/>
      <c r="AY85" s="82">
        <f t="shared" si="56"/>
        <v>0</v>
      </c>
      <c r="AZ85" s="82">
        <f t="shared" si="57"/>
        <v>0</v>
      </c>
      <c r="BA85" s="82">
        <f t="shared" si="58"/>
        <v>0</v>
      </c>
      <c r="BB85" s="83">
        <v>0</v>
      </c>
      <c r="BC85" s="83">
        <v>0</v>
      </c>
      <c r="BD85" s="83">
        <v>0</v>
      </c>
      <c r="BE85" s="84">
        <f>ROUND((IF(($AT85&lt;=700000),0,IF(((VLOOKUP($AR85,'Loyalty - Effec - 15July'!$B$5:$C$17,2,0)*$AT85)&lt;=120000),(VLOOKUP($AR85,'Loyalty - Effec - 15July'!$B$5:$C$17,2,0)*$AT85),120000))),0)</f>
        <v>0</v>
      </c>
      <c r="BF85" s="84">
        <f>ROUND(VLOOKUP($AR85,'Loyalty - Effec - 15July'!$B$5:$D$17,3,0)*$AT85,0)</f>
        <v>0</v>
      </c>
      <c r="BG85" s="85">
        <f t="shared" si="59"/>
        <v>0</v>
      </c>
      <c r="BH85" s="81">
        <f t="shared" si="60"/>
        <v>0</v>
      </c>
      <c r="BI85" s="85">
        <f t="shared" si="61"/>
        <v>0</v>
      </c>
      <c r="BJ85" s="85">
        <f t="shared" si="62"/>
        <v>0</v>
      </c>
      <c r="BK85" s="85">
        <f t="shared" si="63"/>
        <v>0</v>
      </c>
      <c r="BL85" s="85">
        <f t="shared" si="64"/>
        <v>0</v>
      </c>
      <c r="BM85" s="85">
        <f t="shared" si="65"/>
        <v>0</v>
      </c>
      <c r="BN85" s="85">
        <f t="shared" si="66"/>
        <v>0</v>
      </c>
      <c r="BO85" s="52" t="s">
        <v>85</v>
      </c>
      <c r="BP85" s="46">
        <v>2</v>
      </c>
      <c r="BQ85" s="46"/>
      <c r="BR85" s="47">
        <f t="shared" si="69"/>
        <v>0</v>
      </c>
      <c r="BU85" s="47">
        <f t="shared" si="68"/>
        <v>0</v>
      </c>
      <c r="BV85" s="53" t="s">
        <v>254</v>
      </c>
      <c r="BW85" s="53" t="s">
        <v>932</v>
      </c>
      <c r="BX85" s="53" t="s">
        <v>255</v>
      </c>
      <c r="BY85" s="53"/>
      <c r="BZ85" s="53"/>
    </row>
    <row r="86" spans="1:79">
      <c r="A86" s="42" t="s">
        <v>248</v>
      </c>
      <c r="B86" s="28" t="s">
        <v>79</v>
      </c>
      <c r="C86" s="28" t="s">
        <v>80</v>
      </c>
      <c r="D86" s="28" t="s">
        <v>932</v>
      </c>
      <c r="E86" s="43" t="s">
        <v>82</v>
      </c>
      <c r="F86" s="28" t="s">
        <v>902</v>
      </c>
      <c r="G86" s="44" t="s">
        <v>249</v>
      </c>
      <c r="H86" s="45">
        <v>44270</v>
      </c>
      <c r="I86" s="46" t="s">
        <v>982</v>
      </c>
      <c r="J86" s="28">
        <v>3</v>
      </c>
      <c r="K86" s="28" t="s">
        <v>863</v>
      </c>
      <c r="L86" s="28" t="s">
        <v>878</v>
      </c>
      <c r="M86" s="28" t="s">
        <v>3</v>
      </c>
      <c r="N86" s="28" t="str">
        <f t="shared" si="36"/>
        <v>AE5</v>
      </c>
      <c r="O86" s="81"/>
      <c r="P86" s="81">
        <f t="shared" si="37"/>
        <v>0</v>
      </c>
      <c r="Q86" s="81">
        <f t="shared" si="38"/>
        <v>0</v>
      </c>
      <c r="R86" s="81">
        <f t="shared" si="39"/>
        <v>0</v>
      </c>
      <c r="S86" s="81"/>
      <c r="T86" s="82">
        <f t="shared" si="40"/>
        <v>0</v>
      </c>
      <c r="U86" s="82">
        <f t="shared" si="41"/>
        <v>0</v>
      </c>
      <c r="V86" s="82">
        <f t="shared" si="42"/>
        <v>0</v>
      </c>
      <c r="W86" s="83">
        <v>0</v>
      </c>
      <c r="X86" s="83">
        <v>0</v>
      </c>
      <c r="Y86" s="83">
        <v>0</v>
      </c>
      <c r="Z86" s="84">
        <f>ROUND((IF(($O86&lt;=700000),0,IF(((VLOOKUP($M86,'Loyalty - Effec - 15July'!$B$5:$C$17,2,0)*$O86)&lt;=120000),(VLOOKUP($M86,'Loyalty - Effec - 15July'!$B$5:$C$17,2,0)*$O86),120000))),0)</f>
        <v>0</v>
      </c>
      <c r="AA86" s="84">
        <f>ROUND(VLOOKUP($M86,'Loyalty - Effec - 15July'!$B$5:$D$17,3,0)*$O86,0)</f>
        <v>0</v>
      </c>
      <c r="AB86" s="85">
        <f t="shared" si="43"/>
        <v>0</v>
      </c>
      <c r="AC86" s="86">
        <f t="shared" si="44"/>
        <v>0</v>
      </c>
      <c r="AD86" s="87">
        <f t="shared" si="45"/>
        <v>0</v>
      </c>
      <c r="AE86" s="88">
        <f t="shared" si="46"/>
        <v>0</v>
      </c>
      <c r="AF86" s="88">
        <f t="shared" si="47"/>
        <v>0</v>
      </c>
      <c r="AG86" s="49" t="s">
        <v>912</v>
      </c>
      <c r="AH86" s="49" t="s">
        <v>809</v>
      </c>
      <c r="AI86" s="50"/>
      <c r="AJ86" s="46"/>
      <c r="AK86" s="46"/>
      <c r="AL86" s="46"/>
      <c r="AM86" s="51">
        <f>IF($AL86=4,VLOOKUP($AR86,'Loyalty Incentive v1'!$L$3:$Q$15,2,FALSE),
IF($AL86=3,VLOOKUP($AR86,'Loyalty Incentive v1'!$L$3:$Q$15,3,FALSE),
IF($AL86=2,VLOOKUP($AR86,'Loyalty Incentive v1'!$L$3:$Q$15,4,FALSE),
IF($AL86=1,VLOOKUP($AR86,'Loyalty Incentive v1'!$L$3:$Q$15,5,FALSE),
IF($AL86=0,VLOOKUP($AR86,'Loyalty Incentive v1'!$L$3:$Q$15,6,FALSE),0)))))</f>
        <v>0</v>
      </c>
      <c r="AN86" s="51">
        <f>IFERROR(IF(I86&gt;="1",AM86,VLOOKUP(VALUE(I86),'Loyalty - Effec - 15July'!$I$5:$J$16,2,0)*AM86),0)</f>
        <v>0</v>
      </c>
      <c r="AO86" s="51">
        <v>0</v>
      </c>
      <c r="AP86" s="51">
        <f t="shared" si="48"/>
        <v>0</v>
      </c>
      <c r="AQ86" s="46" t="str">
        <f t="shared" si="49"/>
        <v>No</v>
      </c>
      <c r="AR86" s="46" t="str">
        <f t="shared" si="50"/>
        <v>AE5</v>
      </c>
      <c r="AS86" s="46" t="b">
        <f t="shared" si="51"/>
        <v>1</v>
      </c>
      <c r="AT86" s="82">
        <f t="shared" si="52"/>
        <v>0</v>
      </c>
      <c r="AU86" s="82">
        <f t="shared" si="53"/>
        <v>0</v>
      </c>
      <c r="AV86" s="82">
        <f t="shared" si="54"/>
        <v>0</v>
      </c>
      <c r="AW86" s="82">
        <f t="shared" si="55"/>
        <v>0</v>
      </c>
      <c r="AX86" s="85"/>
      <c r="AY86" s="82">
        <f t="shared" si="56"/>
        <v>0</v>
      </c>
      <c r="AZ86" s="82">
        <f t="shared" si="57"/>
        <v>0</v>
      </c>
      <c r="BA86" s="82">
        <f t="shared" si="58"/>
        <v>0</v>
      </c>
      <c r="BB86" s="83">
        <v>0</v>
      </c>
      <c r="BC86" s="83">
        <v>0</v>
      </c>
      <c r="BD86" s="83">
        <v>0</v>
      </c>
      <c r="BE86" s="84">
        <f>ROUND((IF(($AT86&lt;=700000),0,IF(((VLOOKUP($AR86,'Loyalty - Effec - 15July'!$B$5:$C$17,2,0)*$AT86)&lt;=120000),(VLOOKUP($AR86,'Loyalty - Effec - 15July'!$B$5:$C$17,2,0)*$AT86),120000))),0)</f>
        <v>0</v>
      </c>
      <c r="BF86" s="84">
        <f>ROUND(VLOOKUP($AR86,'Loyalty - Effec - 15July'!$B$5:$D$17,3,0)*$AT86,0)</f>
        <v>0</v>
      </c>
      <c r="BG86" s="85">
        <f t="shared" si="59"/>
        <v>0</v>
      </c>
      <c r="BH86" s="81">
        <f t="shared" si="60"/>
        <v>0</v>
      </c>
      <c r="BI86" s="85">
        <f t="shared" si="61"/>
        <v>0</v>
      </c>
      <c r="BJ86" s="85">
        <f t="shared" si="62"/>
        <v>0</v>
      </c>
      <c r="BK86" s="85">
        <f t="shared" si="63"/>
        <v>0</v>
      </c>
      <c r="BL86" s="85">
        <f t="shared" si="64"/>
        <v>0</v>
      </c>
      <c r="BM86" s="85">
        <f t="shared" si="65"/>
        <v>0</v>
      </c>
      <c r="BN86" s="85">
        <f t="shared" si="66"/>
        <v>0</v>
      </c>
      <c r="BO86" s="52" t="s">
        <v>85</v>
      </c>
      <c r="BP86" s="46">
        <v>3</v>
      </c>
      <c r="BQ86" s="46"/>
      <c r="BR86" s="47">
        <f t="shared" si="69"/>
        <v>0</v>
      </c>
      <c r="BU86" s="47">
        <f t="shared" si="68"/>
        <v>0</v>
      </c>
      <c r="BV86" s="53" t="s">
        <v>248</v>
      </c>
      <c r="BW86" s="53" t="s">
        <v>932</v>
      </c>
      <c r="BX86" s="53" t="s">
        <v>249</v>
      </c>
      <c r="BY86" s="53"/>
      <c r="BZ86" s="53"/>
    </row>
    <row r="87" spans="1:79">
      <c r="A87" s="42" t="s">
        <v>215</v>
      </c>
      <c r="B87" s="28" t="s">
        <v>79</v>
      </c>
      <c r="C87" s="28" t="s">
        <v>80</v>
      </c>
      <c r="D87" s="28" t="s">
        <v>932</v>
      </c>
      <c r="E87" s="43" t="s">
        <v>82</v>
      </c>
      <c r="F87" s="28" t="s">
        <v>902</v>
      </c>
      <c r="G87" s="44" t="s">
        <v>216</v>
      </c>
      <c r="H87" s="45">
        <v>44273</v>
      </c>
      <c r="I87" s="46" t="s">
        <v>982</v>
      </c>
      <c r="J87" s="28">
        <v>6</v>
      </c>
      <c r="K87" s="28" t="s">
        <v>413</v>
      </c>
      <c r="L87" s="28" t="s">
        <v>880</v>
      </c>
      <c r="M87" s="28" t="s">
        <v>1</v>
      </c>
      <c r="N87" s="28" t="str">
        <f t="shared" si="36"/>
        <v>AE3</v>
      </c>
      <c r="O87" s="81"/>
      <c r="P87" s="81">
        <f t="shared" si="37"/>
        <v>0</v>
      </c>
      <c r="Q87" s="81">
        <f t="shared" si="38"/>
        <v>0</v>
      </c>
      <c r="R87" s="81">
        <f t="shared" si="39"/>
        <v>0</v>
      </c>
      <c r="S87" s="81"/>
      <c r="T87" s="82">
        <f t="shared" si="40"/>
        <v>0</v>
      </c>
      <c r="U87" s="82">
        <f t="shared" si="41"/>
        <v>0</v>
      </c>
      <c r="V87" s="82">
        <f t="shared" si="42"/>
        <v>0</v>
      </c>
      <c r="W87" s="83">
        <v>0</v>
      </c>
      <c r="X87" s="83">
        <v>0</v>
      </c>
      <c r="Y87" s="83">
        <v>0</v>
      </c>
      <c r="Z87" s="84">
        <f>ROUND((IF(($O87&lt;=700000),0,IF(((VLOOKUP($M87,'Loyalty - Effec - 15July'!$B$5:$C$17,2,0)*$O87)&lt;=120000),(VLOOKUP($M87,'Loyalty - Effec - 15July'!$B$5:$C$17,2,0)*$O87),120000))),0)</f>
        <v>0</v>
      </c>
      <c r="AA87" s="84">
        <f>ROUND(VLOOKUP($M87,'Loyalty - Effec - 15July'!$B$5:$D$17,3,0)*$O87,0)</f>
        <v>0</v>
      </c>
      <c r="AB87" s="85">
        <f t="shared" si="43"/>
        <v>0</v>
      </c>
      <c r="AC87" s="86">
        <f t="shared" si="44"/>
        <v>0</v>
      </c>
      <c r="AD87" s="87">
        <f t="shared" si="45"/>
        <v>0</v>
      </c>
      <c r="AE87" s="88">
        <f t="shared" si="46"/>
        <v>0</v>
      </c>
      <c r="AF87" s="88">
        <f t="shared" si="47"/>
        <v>0</v>
      </c>
      <c r="AG87" s="49" t="s">
        <v>133</v>
      </c>
      <c r="AH87" s="49" t="s">
        <v>910</v>
      </c>
      <c r="AI87" s="50"/>
      <c r="AJ87" s="46"/>
      <c r="AK87" s="46"/>
      <c r="AL87" s="46"/>
      <c r="AM87" s="51">
        <f>IF($AL87=4,VLOOKUP($AR87,'Loyalty Incentive v1'!$L$3:$Q$15,2,FALSE),
IF($AL87=3,VLOOKUP($AR87,'Loyalty Incentive v1'!$L$3:$Q$15,3,FALSE),
IF($AL87=2,VLOOKUP($AR87,'Loyalty Incentive v1'!$L$3:$Q$15,4,FALSE),
IF($AL87=1,VLOOKUP($AR87,'Loyalty Incentive v1'!$L$3:$Q$15,5,FALSE),
IF($AL87=0,VLOOKUP($AR87,'Loyalty Incentive v1'!$L$3:$Q$15,6,FALSE),0)))))</f>
        <v>0</v>
      </c>
      <c r="AN87" s="51">
        <f>IFERROR(IF(I87&gt;="1",AM87,VLOOKUP(VALUE(I87),'Loyalty - Effec - 15July'!$I$5:$J$16,2,0)*AM87),0)</f>
        <v>0</v>
      </c>
      <c r="AO87" s="51">
        <v>0</v>
      </c>
      <c r="AP87" s="51">
        <f t="shared" si="48"/>
        <v>0</v>
      </c>
      <c r="AQ87" s="46" t="str">
        <f t="shared" si="49"/>
        <v>No</v>
      </c>
      <c r="AR87" s="46" t="str">
        <f t="shared" si="50"/>
        <v>AE3</v>
      </c>
      <c r="AS87" s="46" t="b">
        <f t="shared" si="51"/>
        <v>1</v>
      </c>
      <c r="AT87" s="82">
        <f t="shared" si="52"/>
        <v>0</v>
      </c>
      <c r="AU87" s="82">
        <f t="shared" si="53"/>
        <v>0</v>
      </c>
      <c r="AV87" s="82">
        <f t="shared" si="54"/>
        <v>0</v>
      </c>
      <c r="AW87" s="82">
        <f t="shared" si="55"/>
        <v>0</v>
      </c>
      <c r="AX87" s="85"/>
      <c r="AY87" s="82">
        <f t="shared" si="56"/>
        <v>0</v>
      </c>
      <c r="AZ87" s="82">
        <f t="shared" si="57"/>
        <v>0</v>
      </c>
      <c r="BA87" s="82">
        <f t="shared" si="58"/>
        <v>0</v>
      </c>
      <c r="BB87" s="83">
        <v>0</v>
      </c>
      <c r="BC87" s="83">
        <v>0</v>
      </c>
      <c r="BD87" s="83">
        <v>0</v>
      </c>
      <c r="BE87" s="84">
        <f>ROUND((IF(($AT87&lt;=700000),0,IF(((VLOOKUP($AR87,'Loyalty - Effec - 15July'!$B$5:$C$17,2,0)*$AT87)&lt;=120000),(VLOOKUP($AR87,'Loyalty - Effec - 15July'!$B$5:$C$17,2,0)*$AT87),120000))),0)</f>
        <v>0</v>
      </c>
      <c r="BF87" s="84">
        <f>ROUND(VLOOKUP($AR87,'Loyalty - Effec - 15July'!$B$5:$D$17,3,0)*$AT87,0)</f>
        <v>0</v>
      </c>
      <c r="BG87" s="85">
        <f t="shared" si="59"/>
        <v>0</v>
      </c>
      <c r="BH87" s="81">
        <f t="shared" si="60"/>
        <v>0</v>
      </c>
      <c r="BI87" s="85">
        <f t="shared" si="61"/>
        <v>0</v>
      </c>
      <c r="BJ87" s="85">
        <f t="shared" si="62"/>
        <v>0</v>
      </c>
      <c r="BK87" s="85">
        <f t="shared" si="63"/>
        <v>0</v>
      </c>
      <c r="BL87" s="85">
        <f t="shared" si="64"/>
        <v>0</v>
      </c>
      <c r="BM87" s="85">
        <f t="shared" si="65"/>
        <v>0</v>
      </c>
      <c r="BN87" s="85">
        <f t="shared" si="66"/>
        <v>0</v>
      </c>
      <c r="BO87" s="52" t="s">
        <v>85</v>
      </c>
      <c r="BP87" s="46">
        <v>3</v>
      </c>
      <c r="BQ87" s="46"/>
      <c r="BR87" s="47">
        <f t="shared" si="69"/>
        <v>0</v>
      </c>
      <c r="BU87" s="47">
        <f t="shared" si="68"/>
        <v>0</v>
      </c>
      <c r="BV87" s="53" t="s">
        <v>215</v>
      </c>
      <c r="BW87" s="53" t="s">
        <v>932</v>
      </c>
      <c r="BX87" s="53" t="s">
        <v>216</v>
      </c>
      <c r="BY87" s="53"/>
      <c r="BZ87" s="53"/>
    </row>
    <row r="88" spans="1:79">
      <c r="A88" s="42" t="s">
        <v>181</v>
      </c>
      <c r="B88" s="28" t="s">
        <v>79</v>
      </c>
      <c r="C88" s="28" t="s">
        <v>80</v>
      </c>
      <c r="D88" s="28" t="s">
        <v>81</v>
      </c>
      <c r="E88" s="43" t="s">
        <v>82</v>
      </c>
      <c r="F88" s="28" t="s">
        <v>901</v>
      </c>
      <c r="G88" s="44" t="s">
        <v>182</v>
      </c>
      <c r="H88" s="45">
        <v>44326</v>
      </c>
      <c r="I88" s="28" t="s">
        <v>983</v>
      </c>
      <c r="J88" s="28">
        <v>0</v>
      </c>
      <c r="K88" s="28" t="s">
        <v>863</v>
      </c>
      <c r="L88" s="28" t="s">
        <v>865</v>
      </c>
      <c r="M88" s="28" t="s">
        <v>3</v>
      </c>
      <c r="N88" s="28" t="str">
        <f t="shared" si="36"/>
        <v>AE5</v>
      </c>
      <c r="O88" s="81"/>
      <c r="P88" s="81">
        <f t="shared" si="37"/>
        <v>0</v>
      </c>
      <c r="Q88" s="81">
        <f t="shared" si="38"/>
        <v>0</v>
      </c>
      <c r="R88" s="81">
        <f t="shared" si="39"/>
        <v>0</v>
      </c>
      <c r="S88" s="81"/>
      <c r="T88" s="82">
        <f t="shared" si="40"/>
        <v>0</v>
      </c>
      <c r="U88" s="82">
        <f t="shared" si="41"/>
        <v>0</v>
      </c>
      <c r="V88" s="82">
        <f t="shared" si="42"/>
        <v>0</v>
      </c>
      <c r="W88" s="83">
        <v>0</v>
      </c>
      <c r="X88" s="83">
        <v>0</v>
      </c>
      <c r="Y88" s="83">
        <v>0</v>
      </c>
      <c r="Z88" s="84">
        <f>ROUND((IF(($O88&lt;=700000),0,IF(((VLOOKUP($M88,'Loyalty - Effec - 15July'!$B$5:$C$17,2,0)*$O88)&lt;=120000),(VLOOKUP($M88,'Loyalty - Effec - 15July'!$B$5:$C$17,2,0)*$O88),120000))),0)</f>
        <v>0</v>
      </c>
      <c r="AA88" s="84">
        <f>ROUND(VLOOKUP($M88,'Loyalty - Effec - 15July'!$B$5:$D$17,3,0)*$O88,0)</f>
        <v>0</v>
      </c>
      <c r="AB88" s="85">
        <f t="shared" si="43"/>
        <v>0</v>
      </c>
      <c r="AC88" s="86">
        <f t="shared" si="44"/>
        <v>0</v>
      </c>
      <c r="AD88" s="87">
        <f t="shared" si="45"/>
        <v>0</v>
      </c>
      <c r="AE88" s="88">
        <f t="shared" si="46"/>
        <v>0</v>
      </c>
      <c r="AF88" s="88">
        <f t="shared" si="47"/>
        <v>0</v>
      </c>
      <c r="AG88" s="49" t="s">
        <v>909</v>
      </c>
      <c r="AH88" s="49" t="s">
        <v>809</v>
      </c>
      <c r="AI88" s="50"/>
      <c r="AJ88" s="50"/>
      <c r="AK88" s="50"/>
      <c r="AL88" s="46"/>
      <c r="AM88" s="51">
        <f>IF($AL88=4,VLOOKUP($AR88,'Loyalty Incentive v1'!$L$3:$Q$15,2,FALSE),
IF($AL88=3,VLOOKUP($AR88,'Loyalty Incentive v1'!$L$3:$Q$15,3,FALSE),
IF($AL88=2,VLOOKUP($AR88,'Loyalty Incentive v1'!$L$3:$Q$15,4,FALSE),
IF($AL88=1,VLOOKUP($AR88,'Loyalty Incentive v1'!$L$3:$Q$15,5,FALSE),
IF($AL88=0,VLOOKUP($AR88,'Loyalty Incentive v1'!$L$3:$Q$15,6,FALSE),0)))))</f>
        <v>0</v>
      </c>
      <c r="AN88" s="51">
        <f>IFERROR(IF(I88&gt;="1",AM88,VLOOKUP(VALUE(I88),'Loyalty - Effec - 15July'!$I$5:$J$16,2,0)*AM88),0)</f>
        <v>0</v>
      </c>
      <c r="AO88" s="51">
        <v>-0.04</v>
      </c>
      <c r="AP88" s="51">
        <f t="shared" si="48"/>
        <v>-0.04</v>
      </c>
      <c r="AQ88" s="46" t="str">
        <f t="shared" si="49"/>
        <v>Yes</v>
      </c>
      <c r="AR88" s="57" t="s">
        <v>4</v>
      </c>
      <c r="AS88" s="46" t="b">
        <f t="shared" si="51"/>
        <v>0</v>
      </c>
      <c r="AT88" s="82">
        <f t="shared" si="52"/>
        <v>0</v>
      </c>
      <c r="AU88" s="82">
        <f t="shared" si="53"/>
        <v>0</v>
      </c>
      <c r="AV88" s="82">
        <f t="shared" si="54"/>
        <v>0</v>
      </c>
      <c r="AW88" s="82">
        <f t="shared" si="55"/>
        <v>0</v>
      </c>
      <c r="AX88" s="85"/>
      <c r="AY88" s="82">
        <f t="shared" si="56"/>
        <v>0</v>
      </c>
      <c r="AZ88" s="82">
        <f t="shared" si="57"/>
        <v>0</v>
      </c>
      <c r="BA88" s="82">
        <f t="shared" si="58"/>
        <v>0</v>
      </c>
      <c r="BB88" s="83">
        <v>0</v>
      </c>
      <c r="BC88" s="83">
        <v>0</v>
      </c>
      <c r="BD88" s="83">
        <v>0</v>
      </c>
      <c r="BE88" s="84">
        <f>ROUND((IF(($AT88&lt;=700000),0,IF(((VLOOKUP($AR88,'Loyalty - Effec - 15July'!$B$5:$C$17,2,0)*$AT88)&lt;=120000),(VLOOKUP($AR88,'Loyalty - Effec - 15July'!$B$5:$C$17,2,0)*$AT88),120000))),0)</f>
        <v>0</v>
      </c>
      <c r="BF88" s="84">
        <f>ROUND(VLOOKUP($AR88,'Loyalty - Effec - 15July'!$B$5:$D$17,3,0)*$AT88,0)</f>
        <v>0</v>
      </c>
      <c r="BG88" s="85">
        <f t="shared" si="59"/>
        <v>0</v>
      </c>
      <c r="BH88" s="81">
        <f t="shared" si="60"/>
        <v>0</v>
      </c>
      <c r="BI88" s="85">
        <f t="shared" si="61"/>
        <v>0</v>
      </c>
      <c r="BJ88" s="85">
        <f t="shared" si="62"/>
        <v>0</v>
      </c>
      <c r="BK88" s="85">
        <f t="shared" si="63"/>
        <v>0</v>
      </c>
      <c r="BL88" s="85">
        <f t="shared" si="64"/>
        <v>0</v>
      </c>
      <c r="BM88" s="85">
        <f t="shared" si="65"/>
        <v>0</v>
      </c>
      <c r="BN88" s="85">
        <f t="shared" si="66"/>
        <v>0</v>
      </c>
      <c r="BO88" s="52" t="s">
        <v>85</v>
      </c>
      <c r="BP88" s="46"/>
      <c r="BQ88" s="46"/>
      <c r="BR88" s="47">
        <f t="shared" si="69"/>
        <v>0</v>
      </c>
      <c r="BS88" s="46">
        <v>3</v>
      </c>
      <c r="BT88" s="54">
        <v>0.11099999999999999</v>
      </c>
      <c r="BU88" s="47">
        <f t="shared" si="68"/>
        <v>0</v>
      </c>
      <c r="BV88" s="53" t="s">
        <v>181</v>
      </c>
      <c r="BW88" s="53" t="s">
        <v>81</v>
      </c>
      <c r="BX88" s="53" t="s">
        <v>182</v>
      </c>
      <c r="BY88" s="53"/>
      <c r="BZ88" s="53"/>
      <c r="CA88" s="55"/>
    </row>
    <row r="89" spans="1:79">
      <c r="A89" s="42" t="s">
        <v>260</v>
      </c>
      <c r="B89" s="28" t="s">
        <v>79</v>
      </c>
      <c r="C89" s="28" t="s">
        <v>80</v>
      </c>
      <c r="D89" s="28" t="s">
        <v>932</v>
      </c>
      <c r="E89" s="43" t="s">
        <v>82</v>
      </c>
      <c r="F89" s="28" t="s">
        <v>902</v>
      </c>
      <c r="G89" s="44" t="s">
        <v>261</v>
      </c>
      <c r="H89" s="45">
        <v>44354</v>
      </c>
      <c r="I89" s="46" t="s">
        <v>984</v>
      </c>
      <c r="J89" s="28">
        <v>8</v>
      </c>
      <c r="K89" s="28" t="s">
        <v>863</v>
      </c>
      <c r="L89" s="28" t="s">
        <v>878</v>
      </c>
      <c r="M89" s="28" t="s">
        <v>4</v>
      </c>
      <c r="N89" s="28" t="str">
        <f t="shared" si="36"/>
        <v>AE6</v>
      </c>
      <c r="O89" s="81"/>
      <c r="P89" s="81">
        <f t="shared" si="37"/>
        <v>0</v>
      </c>
      <c r="Q89" s="81">
        <f t="shared" si="38"/>
        <v>0</v>
      </c>
      <c r="R89" s="81">
        <f t="shared" si="39"/>
        <v>0</v>
      </c>
      <c r="S89" s="81"/>
      <c r="T89" s="82">
        <f t="shared" si="40"/>
        <v>0</v>
      </c>
      <c r="U89" s="82">
        <f t="shared" si="41"/>
        <v>0</v>
      </c>
      <c r="V89" s="82">
        <f t="shared" si="42"/>
        <v>0</v>
      </c>
      <c r="W89" s="83">
        <v>0</v>
      </c>
      <c r="X89" s="83">
        <v>0</v>
      </c>
      <c r="Y89" s="83">
        <v>0</v>
      </c>
      <c r="Z89" s="84">
        <f>ROUND((IF(($O89&lt;=700000),0,IF(((VLOOKUP($M89,'Loyalty - Effec - 15July'!$B$5:$C$17,2,0)*$O89)&lt;=120000),(VLOOKUP($M89,'Loyalty - Effec - 15July'!$B$5:$C$17,2,0)*$O89),120000))),0)</f>
        <v>0</v>
      </c>
      <c r="AA89" s="84">
        <f>ROUND(VLOOKUP($M89,'Loyalty - Effec - 15July'!$B$5:$D$17,3,0)*$O89,0)</f>
        <v>0</v>
      </c>
      <c r="AB89" s="85">
        <f t="shared" si="43"/>
        <v>0</v>
      </c>
      <c r="AC89" s="86">
        <f t="shared" si="44"/>
        <v>0</v>
      </c>
      <c r="AD89" s="87">
        <f t="shared" si="45"/>
        <v>0</v>
      </c>
      <c r="AE89" s="88">
        <f t="shared" si="46"/>
        <v>0</v>
      </c>
      <c r="AF89" s="88">
        <f t="shared" si="47"/>
        <v>0</v>
      </c>
      <c r="AG89" s="49" t="s">
        <v>912</v>
      </c>
      <c r="AH89" s="49" t="s">
        <v>83</v>
      </c>
      <c r="AI89" s="50"/>
      <c r="AJ89" s="46"/>
      <c r="AK89" s="46"/>
      <c r="AL89" s="46"/>
      <c r="AM89" s="51">
        <f>IF($AL89=4,VLOOKUP($AR89,'Loyalty Incentive v1'!$L$3:$Q$15,2,FALSE),
IF($AL89=3,VLOOKUP($AR89,'Loyalty Incentive v1'!$L$3:$Q$15,3,FALSE),
IF($AL89=2,VLOOKUP($AR89,'Loyalty Incentive v1'!$L$3:$Q$15,4,FALSE),
IF($AL89=1,VLOOKUP($AR89,'Loyalty Incentive v1'!$L$3:$Q$15,5,FALSE),
IF($AL89=0,VLOOKUP($AR89,'Loyalty Incentive v1'!$L$3:$Q$15,6,FALSE),0)))))</f>
        <v>0</v>
      </c>
      <c r="AN89" s="51">
        <f>IFERROR(IF(I89&gt;="1",AM89,VLOOKUP(VALUE(I89),'Loyalty - Effec - 15July'!$I$5:$J$16,2,0)*AM89),0)</f>
        <v>0</v>
      </c>
      <c r="AO89" s="51">
        <v>0</v>
      </c>
      <c r="AP89" s="51">
        <f t="shared" si="48"/>
        <v>0</v>
      </c>
      <c r="AQ89" s="46" t="str">
        <f t="shared" si="49"/>
        <v>No</v>
      </c>
      <c r="AR89" s="46" t="str">
        <f t="shared" si="50"/>
        <v>AE6</v>
      </c>
      <c r="AS89" s="46" t="b">
        <f t="shared" si="51"/>
        <v>1</v>
      </c>
      <c r="AT89" s="82">
        <f t="shared" si="52"/>
        <v>0</v>
      </c>
      <c r="AU89" s="82">
        <f t="shared" si="53"/>
        <v>0</v>
      </c>
      <c r="AV89" s="82">
        <f t="shared" si="54"/>
        <v>0</v>
      </c>
      <c r="AW89" s="82">
        <f t="shared" si="55"/>
        <v>0</v>
      </c>
      <c r="AX89" s="85"/>
      <c r="AY89" s="82">
        <f t="shared" si="56"/>
        <v>0</v>
      </c>
      <c r="AZ89" s="82">
        <f t="shared" si="57"/>
        <v>0</v>
      </c>
      <c r="BA89" s="82">
        <f t="shared" si="58"/>
        <v>0</v>
      </c>
      <c r="BB89" s="83">
        <v>0</v>
      </c>
      <c r="BC89" s="83">
        <v>0</v>
      </c>
      <c r="BD89" s="83">
        <v>0</v>
      </c>
      <c r="BE89" s="84">
        <f>ROUND((IF(($AT89&lt;=700000),0,IF(((VLOOKUP($AR89,'Loyalty - Effec - 15July'!$B$5:$C$17,2,0)*$AT89)&lt;=120000),(VLOOKUP($AR89,'Loyalty - Effec - 15July'!$B$5:$C$17,2,0)*$AT89),120000))),0)</f>
        <v>0</v>
      </c>
      <c r="BF89" s="84">
        <f>ROUND(VLOOKUP($AR89,'Loyalty - Effec - 15July'!$B$5:$D$17,3,0)*$AT89,0)</f>
        <v>0</v>
      </c>
      <c r="BG89" s="85">
        <f t="shared" si="59"/>
        <v>0</v>
      </c>
      <c r="BH89" s="81">
        <f t="shared" si="60"/>
        <v>0</v>
      </c>
      <c r="BI89" s="85">
        <f t="shared" si="61"/>
        <v>0</v>
      </c>
      <c r="BJ89" s="85">
        <f t="shared" si="62"/>
        <v>0</v>
      </c>
      <c r="BK89" s="85">
        <f t="shared" si="63"/>
        <v>0</v>
      </c>
      <c r="BL89" s="85">
        <f t="shared" si="64"/>
        <v>0</v>
      </c>
      <c r="BM89" s="85">
        <f t="shared" si="65"/>
        <v>0</v>
      </c>
      <c r="BN89" s="85">
        <f t="shared" si="66"/>
        <v>0</v>
      </c>
      <c r="BO89" s="52" t="s">
        <v>85</v>
      </c>
      <c r="BP89" s="46">
        <v>2</v>
      </c>
      <c r="BQ89" s="46"/>
      <c r="BR89" s="47">
        <f t="shared" si="69"/>
        <v>0</v>
      </c>
      <c r="BU89" s="47">
        <f t="shared" si="68"/>
        <v>0</v>
      </c>
      <c r="BV89" s="53" t="s">
        <v>260</v>
      </c>
      <c r="BW89" s="53" t="s">
        <v>932</v>
      </c>
      <c r="BX89" s="53" t="s">
        <v>261</v>
      </c>
      <c r="BY89" s="53"/>
      <c r="BZ89" s="53"/>
    </row>
    <row r="90" spans="1:79">
      <c r="A90" s="42" t="s">
        <v>258</v>
      </c>
      <c r="B90" s="28" t="s">
        <v>79</v>
      </c>
      <c r="C90" s="28" t="s">
        <v>80</v>
      </c>
      <c r="D90" s="28" t="s">
        <v>81</v>
      </c>
      <c r="E90" s="43" t="s">
        <v>82</v>
      </c>
      <c r="F90" s="28" t="s">
        <v>902</v>
      </c>
      <c r="G90" s="44" t="s">
        <v>259</v>
      </c>
      <c r="H90" s="45">
        <v>44348</v>
      </c>
      <c r="I90" s="28" t="s">
        <v>983</v>
      </c>
      <c r="J90" s="28">
        <v>0</v>
      </c>
      <c r="K90" s="28" t="s">
        <v>863</v>
      </c>
      <c r="L90" s="28" t="s">
        <v>865</v>
      </c>
      <c r="M90" s="28" t="s">
        <v>3</v>
      </c>
      <c r="N90" s="28" t="str">
        <f t="shared" si="36"/>
        <v>AE5</v>
      </c>
      <c r="O90" s="81"/>
      <c r="P90" s="81">
        <f t="shared" si="37"/>
        <v>0</v>
      </c>
      <c r="Q90" s="81">
        <f t="shared" si="38"/>
        <v>0</v>
      </c>
      <c r="R90" s="81">
        <f t="shared" si="39"/>
        <v>0</v>
      </c>
      <c r="S90" s="81"/>
      <c r="T90" s="82">
        <f t="shared" si="40"/>
        <v>0</v>
      </c>
      <c r="U90" s="82">
        <f t="shared" si="41"/>
        <v>0</v>
      </c>
      <c r="V90" s="82">
        <f t="shared" si="42"/>
        <v>0</v>
      </c>
      <c r="W90" s="83">
        <v>0</v>
      </c>
      <c r="X90" s="83">
        <v>0</v>
      </c>
      <c r="Y90" s="83">
        <v>0</v>
      </c>
      <c r="Z90" s="84">
        <f>ROUND((IF(($O90&lt;=700000),0,IF(((VLOOKUP($M90,'Loyalty - Effec - 15July'!$B$5:$C$17,2,0)*$O90)&lt;=120000),(VLOOKUP($M90,'Loyalty - Effec - 15July'!$B$5:$C$17,2,0)*$O90),120000))),0)</f>
        <v>0</v>
      </c>
      <c r="AA90" s="84">
        <f>ROUND(VLOOKUP($M90,'Loyalty - Effec - 15July'!$B$5:$D$17,3,0)*$O90,0)</f>
        <v>0</v>
      </c>
      <c r="AB90" s="85">
        <f t="shared" si="43"/>
        <v>0</v>
      </c>
      <c r="AC90" s="86">
        <f t="shared" si="44"/>
        <v>0</v>
      </c>
      <c r="AD90" s="87">
        <f t="shared" si="45"/>
        <v>0</v>
      </c>
      <c r="AE90" s="88">
        <f t="shared" si="46"/>
        <v>0</v>
      </c>
      <c r="AF90" s="88">
        <f t="shared" si="47"/>
        <v>0</v>
      </c>
      <c r="AG90" s="49" t="s">
        <v>909</v>
      </c>
      <c r="AH90" s="49" t="s">
        <v>809</v>
      </c>
      <c r="AI90" s="50"/>
      <c r="AJ90" s="50"/>
      <c r="AK90" s="50"/>
      <c r="AL90" s="46"/>
      <c r="AM90" s="51">
        <f>IF($AL90=4,VLOOKUP($AR90,'Loyalty Incentive v1'!$L$3:$Q$15,2,FALSE),
IF($AL90=3,VLOOKUP($AR90,'Loyalty Incentive v1'!$L$3:$Q$15,3,FALSE),
IF($AL90=2,VLOOKUP($AR90,'Loyalty Incentive v1'!$L$3:$Q$15,4,FALSE),
IF($AL90=1,VLOOKUP($AR90,'Loyalty Incentive v1'!$L$3:$Q$15,5,FALSE),
IF($AL90=0,VLOOKUP($AR90,'Loyalty Incentive v1'!$L$3:$Q$15,6,FALSE),0)))))</f>
        <v>0</v>
      </c>
      <c r="AN90" s="51">
        <f>IFERROR(IF(I90&gt;="1",AM90,VLOOKUP(VALUE(I90),'Loyalty - Effec - 15July'!$I$5:$J$16,2,0)*AM90),0)</f>
        <v>0</v>
      </c>
      <c r="AO90" s="51">
        <v>0</v>
      </c>
      <c r="AP90" s="51">
        <f t="shared" si="48"/>
        <v>0</v>
      </c>
      <c r="AQ90" s="46" t="str">
        <f t="shared" si="49"/>
        <v>No</v>
      </c>
      <c r="AR90" s="46" t="str">
        <f t="shared" si="50"/>
        <v>AE5</v>
      </c>
      <c r="AS90" s="46" t="b">
        <f t="shared" si="51"/>
        <v>1</v>
      </c>
      <c r="AT90" s="82">
        <f t="shared" si="52"/>
        <v>0</v>
      </c>
      <c r="AU90" s="82">
        <f t="shared" si="53"/>
        <v>0</v>
      </c>
      <c r="AV90" s="82">
        <f t="shared" si="54"/>
        <v>0</v>
      </c>
      <c r="AW90" s="82">
        <f t="shared" si="55"/>
        <v>0</v>
      </c>
      <c r="AX90" s="85"/>
      <c r="AY90" s="82">
        <f t="shared" si="56"/>
        <v>0</v>
      </c>
      <c r="AZ90" s="82">
        <f t="shared" si="57"/>
        <v>0</v>
      </c>
      <c r="BA90" s="82">
        <f t="shared" si="58"/>
        <v>0</v>
      </c>
      <c r="BB90" s="83">
        <v>0</v>
      </c>
      <c r="BC90" s="83">
        <v>0</v>
      </c>
      <c r="BD90" s="83">
        <v>0</v>
      </c>
      <c r="BE90" s="84">
        <f>ROUND((IF(($AT90&lt;=700000),0,IF(((VLOOKUP($AR90,'Loyalty - Effec - 15July'!$B$5:$C$17,2,0)*$AT90)&lt;=120000),(VLOOKUP($AR90,'Loyalty - Effec - 15July'!$B$5:$C$17,2,0)*$AT90),120000))),0)</f>
        <v>0</v>
      </c>
      <c r="BF90" s="84">
        <f>ROUND(VLOOKUP($AR90,'Loyalty - Effec - 15July'!$B$5:$D$17,3,0)*$AT90,0)</f>
        <v>0</v>
      </c>
      <c r="BG90" s="85">
        <f t="shared" si="59"/>
        <v>0</v>
      </c>
      <c r="BH90" s="81">
        <f t="shared" si="60"/>
        <v>0</v>
      </c>
      <c r="BI90" s="85">
        <f t="shared" si="61"/>
        <v>0</v>
      </c>
      <c r="BJ90" s="85">
        <f t="shared" si="62"/>
        <v>0</v>
      </c>
      <c r="BK90" s="85">
        <f t="shared" si="63"/>
        <v>0</v>
      </c>
      <c r="BL90" s="85">
        <f t="shared" si="64"/>
        <v>0</v>
      </c>
      <c r="BM90" s="85">
        <f t="shared" si="65"/>
        <v>0</v>
      </c>
      <c r="BN90" s="85">
        <f t="shared" si="66"/>
        <v>0</v>
      </c>
      <c r="BO90" s="52" t="s">
        <v>85</v>
      </c>
      <c r="BP90" s="46"/>
      <c r="BQ90" s="46"/>
      <c r="BR90" s="47">
        <f t="shared" si="69"/>
        <v>0</v>
      </c>
      <c r="BS90" s="46">
        <v>4</v>
      </c>
      <c r="BT90" s="54">
        <v>0.251</v>
      </c>
      <c r="BU90" s="47">
        <f t="shared" si="68"/>
        <v>0</v>
      </c>
      <c r="BV90" s="53" t="s">
        <v>258</v>
      </c>
      <c r="BW90" s="53" t="s">
        <v>81</v>
      </c>
      <c r="BX90" s="53" t="s">
        <v>259</v>
      </c>
      <c r="BY90" s="53"/>
      <c r="BZ90" s="53"/>
      <c r="CA90" s="55"/>
    </row>
    <row r="91" spans="1:79">
      <c r="A91" s="42" t="s">
        <v>279</v>
      </c>
      <c r="B91" s="28" t="s">
        <v>79</v>
      </c>
      <c r="C91" s="28" t="s">
        <v>80</v>
      </c>
      <c r="D91" s="28" t="s">
        <v>932</v>
      </c>
      <c r="E91" s="43" t="s">
        <v>82</v>
      </c>
      <c r="F91" s="28" t="s">
        <v>902</v>
      </c>
      <c r="G91" s="44" t="s">
        <v>280</v>
      </c>
      <c r="H91" s="45">
        <v>44348</v>
      </c>
      <c r="I91" s="46" t="s">
        <v>983</v>
      </c>
      <c r="J91" s="28">
        <v>0</v>
      </c>
      <c r="K91" s="28" t="s">
        <v>93</v>
      </c>
      <c r="L91" s="28" t="s">
        <v>873</v>
      </c>
      <c r="M91" s="28" t="s">
        <v>3</v>
      </c>
      <c r="N91" s="28" t="str">
        <f t="shared" si="36"/>
        <v>AE5</v>
      </c>
      <c r="O91" s="81"/>
      <c r="P91" s="81">
        <f t="shared" si="37"/>
        <v>0</v>
      </c>
      <c r="Q91" s="81">
        <f t="shared" si="38"/>
        <v>0</v>
      </c>
      <c r="R91" s="81">
        <f t="shared" si="39"/>
        <v>0</v>
      </c>
      <c r="S91" s="81"/>
      <c r="T91" s="82">
        <f t="shared" si="40"/>
        <v>0</v>
      </c>
      <c r="U91" s="82">
        <f t="shared" si="41"/>
        <v>0</v>
      </c>
      <c r="V91" s="82">
        <f t="shared" si="42"/>
        <v>0</v>
      </c>
      <c r="W91" s="83">
        <v>0</v>
      </c>
      <c r="X91" s="83">
        <v>0</v>
      </c>
      <c r="Y91" s="83">
        <v>0</v>
      </c>
      <c r="Z91" s="84">
        <f>ROUND((IF(($O91&lt;=700000),0,IF(((VLOOKUP($M91,'Loyalty - Effec - 15July'!$B$5:$C$17,2,0)*$O91)&lt;=120000),(VLOOKUP($M91,'Loyalty - Effec - 15July'!$B$5:$C$17,2,0)*$O91),120000))),0)</f>
        <v>0</v>
      </c>
      <c r="AA91" s="84">
        <f>ROUND(VLOOKUP($M91,'Loyalty - Effec - 15July'!$B$5:$D$17,3,0)*$O91,0)</f>
        <v>0</v>
      </c>
      <c r="AB91" s="85">
        <f t="shared" si="43"/>
        <v>0</v>
      </c>
      <c r="AC91" s="86">
        <f t="shared" si="44"/>
        <v>0</v>
      </c>
      <c r="AD91" s="87">
        <f t="shared" si="45"/>
        <v>0</v>
      </c>
      <c r="AE91" s="88">
        <f t="shared" si="46"/>
        <v>0</v>
      </c>
      <c r="AF91" s="88">
        <f t="shared" si="47"/>
        <v>0</v>
      </c>
      <c r="AG91" s="49" t="s">
        <v>90</v>
      </c>
      <c r="AH91" s="49" t="s">
        <v>200</v>
      </c>
      <c r="AI91" s="50"/>
      <c r="AJ91" s="46"/>
      <c r="AK91" s="46"/>
      <c r="AL91" s="46"/>
      <c r="AM91" s="51">
        <f>IF($AL91=4,VLOOKUP($AR91,'Loyalty Incentive v1'!$L$3:$Q$15,2,FALSE),
IF($AL91=3,VLOOKUP($AR91,'Loyalty Incentive v1'!$L$3:$Q$15,3,FALSE),
IF($AL91=2,VLOOKUP($AR91,'Loyalty Incentive v1'!$L$3:$Q$15,4,FALSE),
IF($AL91=1,VLOOKUP($AR91,'Loyalty Incentive v1'!$L$3:$Q$15,5,FALSE),
IF($AL91=0,VLOOKUP($AR91,'Loyalty Incentive v1'!$L$3:$Q$15,6,FALSE),0)))))</f>
        <v>0</v>
      </c>
      <c r="AN91" s="51">
        <f>IFERROR(IF(I91&gt;="1",AM91,VLOOKUP(VALUE(I91),'Loyalty - Effec - 15July'!$I$5:$J$16,2,0)*AM91),0)</f>
        <v>0</v>
      </c>
      <c r="AO91" s="51">
        <v>0</v>
      </c>
      <c r="AP91" s="51">
        <f t="shared" si="48"/>
        <v>0</v>
      </c>
      <c r="AQ91" s="46" t="str">
        <f t="shared" si="49"/>
        <v>No</v>
      </c>
      <c r="AR91" s="46" t="str">
        <f t="shared" si="50"/>
        <v>AE5</v>
      </c>
      <c r="AS91" s="46" t="b">
        <f t="shared" si="51"/>
        <v>1</v>
      </c>
      <c r="AT91" s="82">
        <f t="shared" si="52"/>
        <v>0</v>
      </c>
      <c r="AU91" s="82">
        <f t="shared" si="53"/>
        <v>0</v>
      </c>
      <c r="AV91" s="82">
        <f t="shared" si="54"/>
        <v>0</v>
      </c>
      <c r="AW91" s="82">
        <f t="shared" si="55"/>
        <v>0</v>
      </c>
      <c r="AX91" s="85"/>
      <c r="AY91" s="82">
        <f t="shared" si="56"/>
        <v>0</v>
      </c>
      <c r="AZ91" s="82">
        <f t="shared" si="57"/>
        <v>0</v>
      </c>
      <c r="BA91" s="82">
        <f t="shared" si="58"/>
        <v>0</v>
      </c>
      <c r="BB91" s="83">
        <v>0</v>
      </c>
      <c r="BC91" s="83">
        <v>0</v>
      </c>
      <c r="BD91" s="83">
        <v>0</v>
      </c>
      <c r="BE91" s="84">
        <f>ROUND((IF(($AT91&lt;=700000),0,IF(((VLOOKUP($AR91,'Loyalty - Effec - 15July'!$B$5:$C$17,2,0)*$AT91)&lt;=120000),(VLOOKUP($AR91,'Loyalty - Effec - 15July'!$B$5:$C$17,2,0)*$AT91),120000))),0)</f>
        <v>0</v>
      </c>
      <c r="BF91" s="84">
        <f>ROUND(VLOOKUP($AR91,'Loyalty - Effec - 15July'!$B$5:$D$17,3,0)*$AT91,0)</f>
        <v>0</v>
      </c>
      <c r="BG91" s="85">
        <f t="shared" si="59"/>
        <v>0</v>
      </c>
      <c r="BH91" s="81">
        <f t="shared" si="60"/>
        <v>0</v>
      </c>
      <c r="BI91" s="85">
        <f t="shared" si="61"/>
        <v>0</v>
      </c>
      <c r="BJ91" s="85">
        <f t="shared" si="62"/>
        <v>0</v>
      </c>
      <c r="BK91" s="85">
        <f t="shared" si="63"/>
        <v>0</v>
      </c>
      <c r="BL91" s="85">
        <f t="shared" si="64"/>
        <v>0</v>
      </c>
      <c r="BM91" s="85">
        <f t="shared" si="65"/>
        <v>0</v>
      </c>
      <c r="BN91" s="85">
        <f t="shared" si="66"/>
        <v>0</v>
      </c>
      <c r="BO91" s="52" t="s">
        <v>85</v>
      </c>
      <c r="BP91" s="46"/>
      <c r="BQ91" s="46"/>
      <c r="BR91" s="47">
        <f t="shared" si="69"/>
        <v>0</v>
      </c>
      <c r="BU91" s="47">
        <f t="shared" si="68"/>
        <v>0</v>
      </c>
      <c r="BV91" s="53" t="s">
        <v>279</v>
      </c>
      <c r="BW91" s="53" t="s">
        <v>932</v>
      </c>
      <c r="BX91" s="53" t="s">
        <v>280</v>
      </c>
      <c r="BY91" s="53"/>
      <c r="BZ91" s="53"/>
    </row>
    <row r="92" spans="1:79">
      <c r="A92" s="42" t="s">
        <v>233</v>
      </c>
      <c r="B92" s="28" t="s">
        <v>79</v>
      </c>
      <c r="C92" s="28" t="s">
        <v>80</v>
      </c>
      <c r="D92" s="28" t="s">
        <v>932</v>
      </c>
      <c r="E92" s="43" t="s">
        <v>82</v>
      </c>
      <c r="F92" s="28" t="s">
        <v>902</v>
      </c>
      <c r="G92" s="44" t="s">
        <v>234</v>
      </c>
      <c r="H92" s="45">
        <v>44354</v>
      </c>
      <c r="I92" s="46" t="s">
        <v>984</v>
      </c>
      <c r="J92" s="48">
        <v>2.1</v>
      </c>
      <c r="K92" s="28" t="s">
        <v>413</v>
      </c>
      <c r="L92" s="28" t="s">
        <v>875</v>
      </c>
      <c r="M92" s="28" t="s">
        <v>1</v>
      </c>
      <c r="N92" s="28" t="str">
        <f t="shared" si="36"/>
        <v>AE3</v>
      </c>
      <c r="O92" s="81"/>
      <c r="P92" s="81">
        <f t="shared" si="37"/>
        <v>0</v>
      </c>
      <c r="Q92" s="81">
        <f t="shared" si="38"/>
        <v>0</v>
      </c>
      <c r="R92" s="81">
        <f t="shared" si="39"/>
        <v>0</v>
      </c>
      <c r="S92" s="81"/>
      <c r="T92" s="82">
        <f t="shared" si="40"/>
        <v>0</v>
      </c>
      <c r="U92" s="82">
        <f t="shared" si="41"/>
        <v>0</v>
      </c>
      <c r="V92" s="82">
        <f t="shared" si="42"/>
        <v>0</v>
      </c>
      <c r="W92" s="83">
        <v>0</v>
      </c>
      <c r="X92" s="83">
        <v>0</v>
      </c>
      <c r="Y92" s="83">
        <v>0</v>
      </c>
      <c r="Z92" s="84">
        <f>ROUND((IF(($O92&lt;=700000),0,IF(((VLOOKUP($M92,'Loyalty - Effec - 15July'!$B$5:$C$17,2,0)*$O92)&lt;=120000),(VLOOKUP($M92,'Loyalty - Effec - 15July'!$B$5:$C$17,2,0)*$O92),120000))),0)</f>
        <v>0</v>
      </c>
      <c r="AA92" s="84">
        <f>ROUND(VLOOKUP($M92,'Loyalty - Effec - 15July'!$B$5:$D$17,3,0)*$O92,0)</f>
        <v>0</v>
      </c>
      <c r="AB92" s="85">
        <f t="shared" si="43"/>
        <v>0</v>
      </c>
      <c r="AC92" s="86">
        <f t="shared" si="44"/>
        <v>0</v>
      </c>
      <c r="AD92" s="87">
        <f t="shared" si="45"/>
        <v>0</v>
      </c>
      <c r="AE92" s="88">
        <f t="shared" si="46"/>
        <v>0</v>
      </c>
      <c r="AF92" s="88">
        <f t="shared" si="47"/>
        <v>0</v>
      </c>
      <c r="AG92" s="49" t="s">
        <v>919</v>
      </c>
      <c r="AH92" s="49" t="s">
        <v>120</v>
      </c>
      <c r="AI92" s="50"/>
      <c r="AJ92" s="46"/>
      <c r="AK92" s="46"/>
      <c r="AL92" s="46"/>
      <c r="AM92" s="51">
        <f>IF($AL92=4,VLOOKUP($AR92,'Loyalty Incentive v1'!$L$3:$Q$15,2,FALSE),
IF($AL92=3,VLOOKUP($AR92,'Loyalty Incentive v1'!$L$3:$Q$15,3,FALSE),
IF($AL92=2,VLOOKUP($AR92,'Loyalty Incentive v1'!$L$3:$Q$15,4,FALSE),
IF($AL92=1,VLOOKUP($AR92,'Loyalty Incentive v1'!$L$3:$Q$15,5,FALSE),
IF($AL92=0,VLOOKUP($AR92,'Loyalty Incentive v1'!$L$3:$Q$15,6,FALSE),0)))))</f>
        <v>0</v>
      </c>
      <c r="AN92" s="51">
        <f>IFERROR(IF(I92&gt;="1",AM92,VLOOKUP(VALUE(I92),'Loyalty - Effec - 15July'!$I$5:$J$16,2,0)*AM92),0)</f>
        <v>0</v>
      </c>
      <c r="AO92" s="51">
        <v>0</v>
      </c>
      <c r="AP92" s="56">
        <f t="shared" si="48"/>
        <v>0</v>
      </c>
      <c r="AQ92" s="46" t="str">
        <f t="shared" si="49"/>
        <v>No</v>
      </c>
      <c r="AR92" s="46" t="str">
        <f t="shared" si="50"/>
        <v>AE3</v>
      </c>
      <c r="AS92" s="46" t="b">
        <f t="shared" si="51"/>
        <v>1</v>
      </c>
      <c r="AT92" s="82">
        <f t="shared" si="52"/>
        <v>0</v>
      </c>
      <c r="AU92" s="82">
        <f t="shared" si="53"/>
        <v>0</v>
      </c>
      <c r="AV92" s="82">
        <f t="shared" si="54"/>
        <v>0</v>
      </c>
      <c r="AW92" s="82">
        <f t="shared" si="55"/>
        <v>0</v>
      </c>
      <c r="AX92" s="85"/>
      <c r="AY92" s="82">
        <f t="shared" si="56"/>
        <v>0</v>
      </c>
      <c r="AZ92" s="82">
        <f t="shared" si="57"/>
        <v>0</v>
      </c>
      <c r="BA92" s="82">
        <f t="shared" si="58"/>
        <v>0</v>
      </c>
      <c r="BB92" s="83">
        <v>0</v>
      </c>
      <c r="BC92" s="83">
        <v>0</v>
      </c>
      <c r="BD92" s="83">
        <v>0</v>
      </c>
      <c r="BE92" s="84">
        <f>ROUND((IF(($AT92&lt;=700000),0,IF(((VLOOKUP($AR92,'Loyalty - Effec - 15July'!$B$5:$C$17,2,0)*$AT92)&lt;=120000),(VLOOKUP($AR92,'Loyalty - Effec - 15July'!$B$5:$C$17,2,0)*$AT92),120000))),0)</f>
        <v>0</v>
      </c>
      <c r="BF92" s="84">
        <f>ROUND(VLOOKUP($AR92,'Loyalty - Effec - 15July'!$B$5:$D$17,3,0)*$AT92,0)</f>
        <v>0</v>
      </c>
      <c r="BG92" s="85">
        <f t="shared" si="59"/>
        <v>0</v>
      </c>
      <c r="BH92" s="82">
        <f t="shared" si="60"/>
        <v>0</v>
      </c>
      <c r="BI92" s="85">
        <f t="shared" si="61"/>
        <v>0</v>
      </c>
      <c r="BJ92" s="85">
        <f t="shared" si="62"/>
        <v>0</v>
      </c>
      <c r="BK92" s="85">
        <f t="shared" si="63"/>
        <v>0</v>
      </c>
      <c r="BL92" s="85">
        <f t="shared" si="64"/>
        <v>0</v>
      </c>
      <c r="BM92" s="85">
        <f t="shared" si="65"/>
        <v>0</v>
      </c>
      <c r="BN92" s="85">
        <f t="shared" si="66"/>
        <v>0</v>
      </c>
      <c r="BO92" s="52" t="s">
        <v>85</v>
      </c>
      <c r="BP92" s="46"/>
      <c r="BQ92" s="46"/>
      <c r="BR92" s="47">
        <f t="shared" si="69"/>
        <v>0</v>
      </c>
      <c r="BU92" s="47">
        <f t="shared" si="68"/>
        <v>0</v>
      </c>
      <c r="BV92" s="53" t="s">
        <v>233</v>
      </c>
      <c r="BW92" s="53" t="s">
        <v>932</v>
      </c>
      <c r="BX92" s="53" t="s">
        <v>234</v>
      </c>
      <c r="BY92" s="53"/>
      <c r="BZ92" s="53"/>
    </row>
    <row r="93" spans="1:79">
      <c r="A93" s="42" t="s">
        <v>268</v>
      </c>
      <c r="B93" s="28" t="s">
        <v>79</v>
      </c>
      <c r="C93" s="28" t="s">
        <v>80</v>
      </c>
      <c r="D93" s="28" t="s">
        <v>81</v>
      </c>
      <c r="E93" s="43" t="s">
        <v>82</v>
      </c>
      <c r="F93" s="28" t="s">
        <v>901</v>
      </c>
      <c r="G93" s="44" t="s">
        <v>269</v>
      </c>
      <c r="H93" s="45">
        <v>44356</v>
      </c>
      <c r="I93" s="28" t="s">
        <v>984</v>
      </c>
      <c r="J93" s="28">
        <v>5</v>
      </c>
      <c r="K93" s="28" t="s">
        <v>418</v>
      </c>
      <c r="L93" s="28" t="s">
        <v>883</v>
      </c>
      <c r="M93" s="28" t="s">
        <v>6</v>
      </c>
      <c r="N93" s="28" t="str">
        <f t="shared" si="36"/>
        <v>E2</v>
      </c>
      <c r="O93" s="81"/>
      <c r="P93" s="81">
        <f t="shared" si="37"/>
        <v>0</v>
      </c>
      <c r="Q93" s="81">
        <f t="shared" si="38"/>
        <v>0</v>
      </c>
      <c r="R93" s="81">
        <f t="shared" si="39"/>
        <v>0</v>
      </c>
      <c r="S93" s="81"/>
      <c r="T93" s="82">
        <f t="shared" si="40"/>
        <v>0</v>
      </c>
      <c r="U93" s="82">
        <f t="shared" si="41"/>
        <v>0</v>
      </c>
      <c r="V93" s="82">
        <f t="shared" si="42"/>
        <v>0</v>
      </c>
      <c r="W93" s="83">
        <v>0</v>
      </c>
      <c r="X93" s="83">
        <v>0</v>
      </c>
      <c r="Y93" s="83">
        <v>0</v>
      </c>
      <c r="Z93" s="84">
        <f>ROUND((IF(($O93&lt;=700000),0,IF(((VLOOKUP($M93,'Loyalty - Effec - 15July'!$B$5:$C$17,2,0)*$O93)&lt;=120000),(VLOOKUP($M93,'Loyalty - Effec - 15July'!$B$5:$C$17,2,0)*$O93),120000))),0)</f>
        <v>0</v>
      </c>
      <c r="AA93" s="84">
        <f>ROUND(VLOOKUP($M93,'Loyalty - Effec - 15July'!$B$5:$D$17,3,0)*$O93,0)</f>
        <v>0</v>
      </c>
      <c r="AB93" s="85">
        <f t="shared" si="43"/>
        <v>0</v>
      </c>
      <c r="AC93" s="86">
        <f t="shared" si="44"/>
        <v>0</v>
      </c>
      <c r="AD93" s="87">
        <f t="shared" si="45"/>
        <v>0</v>
      </c>
      <c r="AE93" s="88">
        <f t="shared" si="46"/>
        <v>0</v>
      </c>
      <c r="AF93" s="88">
        <f t="shared" si="47"/>
        <v>0</v>
      </c>
      <c r="AG93" s="49" t="s">
        <v>381</v>
      </c>
      <c r="AH93" s="49" t="s">
        <v>904</v>
      </c>
      <c r="AI93" s="50"/>
      <c r="AJ93" s="50"/>
      <c r="AK93" s="50"/>
      <c r="AL93" s="46"/>
      <c r="AM93" s="51">
        <f>IF($AL93=4,VLOOKUP($AR93,'Loyalty Incentive v1'!$L$3:$Q$15,2,FALSE),
IF($AL93=3,VLOOKUP($AR93,'Loyalty Incentive v1'!$L$3:$Q$15,3,FALSE),
IF($AL93=2,VLOOKUP($AR93,'Loyalty Incentive v1'!$L$3:$Q$15,4,FALSE),
IF($AL93=1,VLOOKUP($AR93,'Loyalty Incentive v1'!$L$3:$Q$15,5,FALSE),
IF($AL93=0,VLOOKUP($AR93,'Loyalty Incentive v1'!$L$3:$Q$15,6,FALSE),0)))))</f>
        <v>0</v>
      </c>
      <c r="AN93" s="51">
        <f>IFERROR(IF(I93&gt;="1",AM93,VLOOKUP(VALUE(I93),'Loyalty - Effec - 15July'!$I$5:$J$16,2,0)*AM93),0)</f>
        <v>0</v>
      </c>
      <c r="AO93" s="56">
        <v>-0.02</v>
      </c>
      <c r="AP93" s="51">
        <f t="shared" si="48"/>
        <v>-0.02</v>
      </c>
      <c r="AQ93" s="46" t="str">
        <f t="shared" si="49"/>
        <v>No</v>
      </c>
      <c r="AR93" s="46" t="str">
        <f t="shared" si="50"/>
        <v>E2</v>
      </c>
      <c r="AS93" s="46" t="b">
        <f t="shared" si="51"/>
        <v>1</v>
      </c>
      <c r="AT93" s="82">
        <f t="shared" si="52"/>
        <v>0</v>
      </c>
      <c r="AU93" s="82">
        <f t="shared" si="53"/>
        <v>0</v>
      </c>
      <c r="AV93" s="82">
        <f t="shared" si="54"/>
        <v>0</v>
      </c>
      <c r="AW93" s="82">
        <f t="shared" si="55"/>
        <v>0</v>
      </c>
      <c r="AX93" s="85"/>
      <c r="AY93" s="82">
        <f t="shared" si="56"/>
        <v>0</v>
      </c>
      <c r="AZ93" s="82">
        <f t="shared" si="57"/>
        <v>0</v>
      </c>
      <c r="BA93" s="82">
        <f t="shared" si="58"/>
        <v>0</v>
      </c>
      <c r="BB93" s="83">
        <v>0</v>
      </c>
      <c r="BC93" s="83">
        <v>0</v>
      </c>
      <c r="BD93" s="83">
        <v>0</v>
      </c>
      <c r="BE93" s="84">
        <f>ROUND((IF(($AT93&lt;=700000),0,IF(((VLOOKUP($AR93,'Loyalty - Effec - 15July'!$B$5:$C$17,2,0)*$AT93)&lt;=120000),(VLOOKUP($AR93,'Loyalty - Effec - 15July'!$B$5:$C$17,2,0)*$AT93),120000))),0)</f>
        <v>0</v>
      </c>
      <c r="BF93" s="84">
        <f>ROUND(VLOOKUP($AR93,'Loyalty - Effec - 15July'!$B$5:$D$17,3,0)*$AT93,0)</f>
        <v>0</v>
      </c>
      <c r="BG93" s="85">
        <f t="shared" si="59"/>
        <v>0</v>
      </c>
      <c r="BH93" s="81">
        <f t="shared" si="60"/>
        <v>0</v>
      </c>
      <c r="BI93" s="85">
        <f t="shared" si="61"/>
        <v>0</v>
      </c>
      <c r="BJ93" s="85">
        <f t="shared" si="62"/>
        <v>0</v>
      </c>
      <c r="BK93" s="85">
        <f t="shared" si="63"/>
        <v>0</v>
      </c>
      <c r="BL93" s="85">
        <f t="shared" si="64"/>
        <v>0</v>
      </c>
      <c r="BM93" s="85">
        <f t="shared" si="65"/>
        <v>0</v>
      </c>
      <c r="BN93" s="85">
        <f t="shared" si="66"/>
        <v>0</v>
      </c>
      <c r="BO93" s="52" t="s">
        <v>85</v>
      </c>
      <c r="BP93" s="46">
        <v>2</v>
      </c>
      <c r="BQ93" s="46"/>
      <c r="BR93" s="47">
        <f t="shared" si="69"/>
        <v>0</v>
      </c>
      <c r="BS93" s="46">
        <v>2</v>
      </c>
      <c r="BT93" s="54">
        <v>7.0999999999999994E-2</v>
      </c>
      <c r="BU93" s="47">
        <f t="shared" si="68"/>
        <v>0</v>
      </c>
      <c r="BV93" s="53" t="s">
        <v>268</v>
      </c>
      <c r="BW93" s="53" t="s">
        <v>81</v>
      </c>
      <c r="BX93" s="53" t="s">
        <v>269</v>
      </c>
      <c r="BY93" s="53"/>
      <c r="BZ93" s="53"/>
      <c r="CA93" s="55"/>
    </row>
    <row r="94" spans="1:79">
      <c r="A94" s="42" t="s">
        <v>270</v>
      </c>
      <c r="B94" s="28" t="s">
        <v>79</v>
      </c>
      <c r="C94" s="28" t="s">
        <v>80</v>
      </c>
      <c r="D94" s="28" t="s">
        <v>932</v>
      </c>
      <c r="E94" s="43" t="s">
        <v>82</v>
      </c>
      <c r="F94" s="28" t="s">
        <v>901</v>
      </c>
      <c r="G94" s="44" t="s">
        <v>271</v>
      </c>
      <c r="H94" s="45">
        <v>44363</v>
      </c>
      <c r="I94" s="46" t="s">
        <v>984</v>
      </c>
      <c r="J94" s="28">
        <v>4</v>
      </c>
      <c r="K94" s="28" t="s">
        <v>413</v>
      </c>
      <c r="L94" s="28" t="s">
        <v>880</v>
      </c>
      <c r="M94" s="28" t="s">
        <v>0</v>
      </c>
      <c r="N94" s="28" t="str">
        <f t="shared" si="36"/>
        <v>AE2</v>
      </c>
      <c r="O94" s="81"/>
      <c r="P94" s="81">
        <f t="shared" si="37"/>
        <v>0</v>
      </c>
      <c r="Q94" s="81">
        <f t="shared" si="38"/>
        <v>0</v>
      </c>
      <c r="R94" s="81">
        <f t="shared" si="39"/>
        <v>0</v>
      </c>
      <c r="S94" s="81"/>
      <c r="T94" s="82">
        <f t="shared" si="40"/>
        <v>0</v>
      </c>
      <c r="U94" s="82">
        <f t="shared" si="41"/>
        <v>0</v>
      </c>
      <c r="V94" s="82">
        <f t="shared" si="42"/>
        <v>0</v>
      </c>
      <c r="W94" s="83">
        <v>0</v>
      </c>
      <c r="X94" s="83">
        <v>0</v>
      </c>
      <c r="Y94" s="83">
        <v>0</v>
      </c>
      <c r="Z94" s="84">
        <f>ROUND((IF(($O94&lt;=700000),0,IF(((VLOOKUP($M94,'Loyalty - Effec - 15July'!$B$5:$C$17,2,0)*$O94)&lt;=120000),(VLOOKUP($M94,'Loyalty - Effec - 15July'!$B$5:$C$17,2,0)*$O94),120000))),0)</f>
        <v>0</v>
      </c>
      <c r="AA94" s="84">
        <f>ROUND(VLOOKUP($M94,'Loyalty - Effec - 15July'!$B$5:$D$17,3,0)*$O94,0)</f>
        <v>0</v>
      </c>
      <c r="AB94" s="85">
        <f t="shared" si="43"/>
        <v>0</v>
      </c>
      <c r="AC94" s="86">
        <f t="shared" si="44"/>
        <v>0</v>
      </c>
      <c r="AD94" s="87">
        <f t="shared" si="45"/>
        <v>0</v>
      </c>
      <c r="AE94" s="88">
        <f t="shared" si="46"/>
        <v>0</v>
      </c>
      <c r="AF94" s="88">
        <f t="shared" si="47"/>
        <v>0</v>
      </c>
      <c r="AG94" s="49" t="s">
        <v>100</v>
      </c>
      <c r="AH94" s="49" t="s">
        <v>126</v>
      </c>
      <c r="AI94" s="50"/>
      <c r="AJ94" s="46"/>
      <c r="AK94" s="46"/>
      <c r="AL94" s="46"/>
      <c r="AM94" s="51">
        <f>IF($AL94=4,VLOOKUP($AR94,'Loyalty Incentive v1'!$L$3:$Q$15,2,FALSE),
IF($AL94=3,VLOOKUP($AR94,'Loyalty Incentive v1'!$L$3:$Q$15,3,FALSE),
IF($AL94=2,VLOOKUP($AR94,'Loyalty Incentive v1'!$L$3:$Q$15,4,FALSE),
IF($AL94=1,VLOOKUP($AR94,'Loyalty Incentive v1'!$L$3:$Q$15,5,FALSE),
IF($AL94=0,VLOOKUP($AR94,'Loyalty Incentive v1'!$L$3:$Q$15,6,FALSE),0)))))</f>
        <v>0</v>
      </c>
      <c r="AN94" s="51">
        <f>IFERROR(IF(I94&gt;="1",AM94,VLOOKUP(VALUE(I94),'Loyalty - Effec - 15July'!$I$5:$J$16,2,0)*AM94),0)</f>
        <v>0</v>
      </c>
      <c r="AO94" s="51">
        <v>0</v>
      </c>
      <c r="AP94" s="51">
        <f t="shared" si="48"/>
        <v>0</v>
      </c>
      <c r="AQ94" s="46" t="str">
        <f t="shared" si="49"/>
        <v>No</v>
      </c>
      <c r="AR94" s="46" t="str">
        <f t="shared" si="50"/>
        <v>AE2</v>
      </c>
      <c r="AS94" s="46" t="b">
        <f t="shared" si="51"/>
        <v>1</v>
      </c>
      <c r="AT94" s="82">
        <f t="shared" si="52"/>
        <v>0</v>
      </c>
      <c r="AU94" s="82">
        <f t="shared" si="53"/>
        <v>0</v>
      </c>
      <c r="AV94" s="82">
        <f t="shared" si="54"/>
        <v>0</v>
      </c>
      <c r="AW94" s="82">
        <f t="shared" si="55"/>
        <v>0</v>
      </c>
      <c r="AX94" s="85"/>
      <c r="AY94" s="82">
        <f t="shared" si="56"/>
        <v>0</v>
      </c>
      <c r="AZ94" s="82">
        <f t="shared" si="57"/>
        <v>0</v>
      </c>
      <c r="BA94" s="82">
        <f t="shared" si="58"/>
        <v>0</v>
      </c>
      <c r="BB94" s="83">
        <v>0</v>
      </c>
      <c r="BC94" s="83">
        <v>0</v>
      </c>
      <c r="BD94" s="83">
        <v>0</v>
      </c>
      <c r="BE94" s="84">
        <f>ROUND((IF(($AT94&lt;=700000),0,IF(((VLOOKUP($AR94,'Loyalty - Effec - 15July'!$B$5:$C$17,2,0)*$AT94)&lt;=120000),(VLOOKUP($AR94,'Loyalty - Effec - 15July'!$B$5:$C$17,2,0)*$AT94),120000))),0)</f>
        <v>0</v>
      </c>
      <c r="BF94" s="84">
        <f>ROUND(VLOOKUP($AR94,'Loyalty - Effec - 15July'!$B$5:$D$17,3,0)*$AT94,0)</f>
        <v>0</v>
      </c>
      <c r="BG94" s="85">
        <f t="shared" si="59"/>
        <v>0</v>
      </c>
      <c r="BH94" s="81">
        <f t="shared" si="60"/>
        <v>0</v>
      </c>
      <c r="BI94" s="85">
        <f t="shared" si="61"/>
        <v>0</v>
      </c>
      <c r="BJ94" s="85">
        <f t="shared" si="62"/>
        <v>0</v>
      </c>
      <c r="BK94" s="85">
        <f t="shared" si="63"/>
        <v>0</v>
      </c>
      <c r="BL94" s="85">
        <f t="shared" si="64"/>
        <v>0</v>
      </c>
      <c r="BM94" s="85">
        <f t="shared" si="65"/>
        <v>0</v>
      </c>
      <c r="BN94" s="85">
        <f t="shared" si="66"/>
        <v>0</v>
      </c>
      <c r="BO94" s="52" t="s">
        <v>85</v>
      </c>
      <c r="BP94" s="46"/>
      <c r="BQ94" s="46"/>
      <c r="BR94" s="47">
        <f t="shared" si="69"/>
        <v>0</v>
      </c>
      <c r="BU94" s="47">
        <f t="shared" si="68"/>
        <v>0</v>
      </c>
      <c r="BV94" s="53" t="s">
        <v>270</v>
      </c>
      <c r="BW94" s="53" t="s">
        <v>932</v>
      </c>
      <c r="BX94" s="53" t="s">
        <v>271</v>
      </c>
      <c r="BY94" s="53"/>
      <c r="BZ94" s="53"/>
    </row>
    <row r="95" spans="1:79">
      <c r="A95" s="42" t="s">
        <v>272</v>
      </c>
      <c r="B95" s="28" t="s">
        <v>79</v>
      </c>
      <c r="C95" s="28" t="s">
        <v>80</v>
      </c>
      <c r="D95" s="28" t="s">
        <v>932</v>
      </c>
      <c r="E95" s="43" t="s">
        <v>82</v>
      </c>
      <c r="F95" s="28" t="s">
        <v>902</v>
      </c>
      <c r="G95" s="44" t="s">
        <v>273</v>
      </c>
      <c r="H95" s="45">
        <v>44368</v>
      </c>
      <c r="I95" s="46" t="s">
        <v>984</v>
      </c>
      <c r="J95" s="28">
        <v>2.2999999999999998</v>
      </c>
      <c r="K95" s="28" t="s">
        <v>418</v>
      </c>
      <c r="L95" s="28" t="s">
        <v>274</v>
      </c>
      <c r="M95" s="28" t="s">
        <v>6</v>
      </c>
      <c r="N95" s="28" t="str">
        <f t="shared" si="36"/>
        <v>E2</v>
      </c>
      <c r="O95" s="81"/>
      <c r="P95" s="81">
        <f t="shared" si="37"/>
        <v>0</v>
      </c>
      <c r="Q95" s="81">
        <f t="shared" si="38"/>
        <v>0</v>
      </c>
      <c r="R95" s="81">
        <f t="shared" si="39"/>
        <v>0</v>
      </c>
      <c r="S95" s="81"/>
      <c r="T95" s="82">
        <f t="shared" si="40"/>
        <v>0</v>
      </c>
      <c r="U95" s="82">
        <f t="shared" si="41"/>
        <v>0</v>
      </c>
      <c r="V95" s="82">
        <f t="shared" si="42"/>
        <v>0</v>
      </c>
      <c r="W95" s="83">
        <v>0</v>
      </c>
      <c r="X95" s="83">
        <v>0</v>
      </c>
      <c r="Y95" s="83">
        <v>0</v>
      </c>
      <c r="Z95" s="84">
        <f>ROUND((IF(($O95&lt;=700000),0,IF(((VLOOKUP($M95,'Loyalty - Effec - 15July'!$B$5:$C$17,2,0)*$O95)&lt;=120000),(VLOOKUP($M95,'Loyalty - Effec - 15July'!$B$5:$C$17,2,0)*$O95),120000))),0)</f>
        <v>0</v>
      </c>
      <c r="AA95" s="84">
        <f>ROUND(VLOOKUP($M95,'Loyalty - Effec - 15July'!$B$5:$D$17,3,0)*$O95,0)</f>
        <v>0</v>
      </c>
      <c r="AB95" s="85">
        <f t="shared" si="43"/>
        <v>0</v>
      </c>
      <c r="AC95" s="86">
        <f t="shared" si="44"/>
        <v>0</v>
      </c>
      <c r="AD95" s="87">
        <f t="shared" si="45"/>
        <v>0</v>
      </c>
      <c r="AE95" s="88">
        <f t="shared" si="46"/>
        <v>0</v>
      </c>
      <c r="AF95" s="88">
        <f t="shared" si="47"/>
        <v>0</v>
      </c>
      <c r="AG95" s="49" t="s">
        <v>381</v>
      </c>
      <c r="AH95" s="49" t="s">
        <v>904</v>
      </c>
      <c r="AI95" s="50"/>
      <c r="AJ95" s="46"/>
      <c r="AK95" s="46"/>
      <c r="AL95" s="46"/>
      <c r="AM95" s="51">
        <f>IF($AL95=4,VLOOKUP($AR95,'Loyalty Incentive v1'!$L$3:$Q$15,2,FALSE),
IF($AL95=3,VLOOKUP($AR95,'Loyalty Incentive v1'!$L$3:$Q$15,3,FALSE),
IF($AL95=2,VLOOKUP($AR95,'Loyalty Incentive v1'!$L$3:$Q$15,4,FALSE),
IF($AL95=1,VLOOKUP($AR95,'Loyalty Incentive v1'!$L$3:$Q$15,5,FALSE),
IF($AL95=0,VLOOKUP($AR95,'Loyalty Incentive v1'!$L$3:$Q$15,6,FALSE),0)))))</f>
        <v>0</v>
      </c>
      <c r="AN95" s="51">
        <f>IFERROR(IF(I95&gt;="1",AM95,VLOOKUP(VALUE(I95),'Loyalty - Effec - 15July'!$I$5:$J$16,2,0)*AM95),0)</f>
        <v>0</v>
      </c>
      <c r="AO95" s="51">
        <v>0</v>
      </c>
      <c r="AP95" s="51">
        <f t="shared" si="48"/>
        <v>0</v>
      </c>
      <c r="AQ95" s="46" t="str">
        <f t="shared" si="49"/>
        <v>No</v>
      </c>
      <c r="AR95" s="46" t="str">
        <f t="shared" si="50"/>
        <v>E2</v>
      </c>
      <c r="AS95" s="46" t="b">
        <f t="shared" si="51"/>
        <v>1</v>
      </c>
      <c r="AT95" s="82">
        <f t="shared" si="52"/>
        <v>0</v>
      </c>
      <c r="AU95" s="82">
        <f t="shared" si="53"/>
        <v>0</v>
      </c>
      <c r="AV95" s="82">
        <f t="shared" si="54"/>
        <v>0</v>
      </c>
      <c r="AW95" s="82">
        <f t="shared" si="55"/>
        <v>0</v>
      </c>
      <c r="AX95" s="85"/>
      <c r="AY95" s="82">
        <f t="shared" si="56"/>
        <v>0</v>
      </c>
      <c r="AZ95" s="82">
        <f t="shared" si="57"/>
        <v>0</v>
      </c>
      <c r="BA95" s="82">
        <f t="shared" si="58"/>
        <v>0</v>
      </c>
      <c r="BB95" s="83">
        <v>0</v>
      </c>
      <c r="BC95" s="83">
        <v>0</v>
      </c>
      <c r="BD95" s="83">
        <v>0</v>
      </c>
      <c r="BE95" s="84">
        <f>ROUND((IF(($AT95&lt;=700000),0,IF(((VLOOKUP($AR95,'Loyalty - Effec - 15July'!$B$5:$C$17,2,0)*$AT95)&lt;=120000),(VLOOKUP($AR95,'Loyalty - Effec - 15July'!$B$5:$C$17,2,0)*$AT95),120000))),0)</f>
        <v>0</v>
      </c>
      <c r="BF95" s="84">
        <f>ROUND(VLOOKUP($AR95,'Loyalty - Effec - 15July'!$B$5:$D$17,3,0)*$AT95,0)</f>
        <v>0</v>
      </c>
      <c r="BG95" s="85">
        <f t="shared" si="59"/>
        <v>0</v>
      </c>
      <c r="BH95" s="81">
        <f t="shared" si="60"/>
        <v>0</v>
      </c>
      <c r="BI95" s="85">
        <f t="shared" si="61"/>
        <v>0</v>
      </c>
      <c r="BJ95" s="85">
        <f t="shared" si="62"/>
        <v>0</v>
      </c>
      <c r="BK95" s="85">
        <f t="shared" si="63"/>
        <v>0</v>
      </c>
      <c r="BL95" s="85">
        <f t="shared" si="64"/>
        <v>0</v>
      </c>
      <c r="BM95" s="85">
        <f t="shared" si="65"/>
        <v>0</v>
      </c>
      <c r="BN95" s="85">
        <f t="shared" si="66"/>
        <v>0</v>
      </c>
      <c r="BO95" s="52" t="s">
        <v>85</v>
      </c>
      <c r="BP95" s="46"/>
      <c r="BQ95" s="46"/>
      <c r="BR95" s="47">
        <f t="shared" si="69"/>
        <v>0</v>
      </c>
      <c r="BU95" s="47">
        <f t="shared" si="68"/>
        <v>0</v>
      </c>
      <c r="BV95" s="53" t="s">
        <v>272</v>
      </c>
      <c r="BW95" s="53" t="s">
        <v>932</v>
      </c>
      <c r="BX95" s="53" t="s">
        <v>273</v>
      </c>
      <c r="BY95" s="53"/>
      <c r="BZ95" s="53"/>
    </row>
    <row r="96" spans="1:79">
      <c r="A96" s="42" t="s">
        <v>277</v>
      </c>
      <c r="B96" s="28" t="s">
        <v>79</v>
      </c>
      <c r="C96" s="28" t="s">
        <v>80</v>
      </c>
      <c r="D96" s="28" t="s">
        <v>932</v>
      </c>
      <c r="E96" s="43" t="s">
        <v>82</v>
      </c>
      <c r="F96" s="28" t="s">
        <v>901</v>
      </c>
      <c r="G96" s="44" t="s">
        <v>278</v>
      </c>
      <c r="H96" s="45">
        <v>44392</v>
      </c>
      <c r="I96" s="46" t="s">
        <v>985</v>
      </c>
      <c r="J96" s="28">
        <v>3</v>
      </c>
      <c r="K96" s="28" t="s">
        <v>863</v>
      </c>
      <c r="L96" s="28" t="s">
        <v>865</v>
      </c>
      <c r="M96" s="28" t="s">
        <v>4</v>
      </c>
      <c r="N96" s="28" t="str">
        <f t="shared" si="36"/>
        <v>AE6</v>
      </c>
      <c r="O96" s="81"/>
      <c r="P96" s="81">
        <f t="shared" si="37"/>
        <v>0</v>
      </c>
      <c r="Q96" s="81">
        <f t="shared" si="38"/>
        <v>0</v>
      </c>
      <c r="R96" s="81">
        <f t="shared" si="39"/>
        <v>0</v>
      </c>
      <c r="S96" s="81"/>
      <c r="T96" s="82">
        <f t="shared" si="40"/>
        <v>0</v>
      </c>
      <c r="U96" s="82">
        <f t="shared" si="41"/>
        <v>0</v>
      </c>
      <c r="V96" s="82">
        <f t="shared" si="42"/>
        <v>0</v>
      </c>
      <c r="W96" s="83">
        <v>0</v>
      </c>
      <c r="X96" s="83">
        <v>0</v>
      </c>
      <c r="Y96" s="83">
        <v>0</v>
      </c>
      <c r="Z96" s="84">
        <f>ROUND((IF(($O96&lt;=700000),0,IF(((VLOOKUP($M96,'Loyalty - Effec - 15July'!$B$5:$C$17,2,0)*$O96)&lt;=120000),(VLOOKUP($M96,'Loyalty - Effec - 15July'!$B$5:$C$17,2,0)*$O96),120000))),0)</f>
        <v>0</v>
      </c>
      <c r="AA96" s="84">
        <f>ROUND(VLOOKUP($M96,'Loyalty - Effec - 15July'!$B$5:$D$17,3,0)*$O96,0)</f>
        <v>0</v>
      </c>
      <c r="AB96" s="85">
        <f t="shared" si="43"/>
        <v>0</v>
      </c>
      <c r="AC96" s="86">
        <f t="shared" si="44"/>
        <v>0</v>
      </c>
      <c r="AD96" s="87">
        <f t="shared" si="45"/>
        <v>0</v>
      </c>
      <c r="AE96" s="88">
        <f t="shared" si="46"/>
        <v>0</v>
      </c>
      <c r="AF96" s="88">
        <f t="shared" si="47"/>
        <v>0</v>
      </c>
      <c r="AG96" s="49" t="s">
        <v>811</v>
      </c>
      <c r="AH96" s="49" t="s">
        <v>774</v>
      </c>
      <c r="AI96" s="50"/>
      <c r="AJ96" s="46"/>
      <c r="AK96" s="46"/>
      <c r="AL96" s="46"/>
      <c r="AM96" s="51">
        <f>IF($AL96=4,VLOOKUP($AR96,'Loyalty Incentive v1'!$L$3:$Q$15,2,FALSE),
IF($AL96=3,VLOOKUP($AR96,'Loyalty Incentive v1'!$L$3:$Q$15,3,FALSE),
IF($AL96=2,VLOOKUP($AR96,'Loyalty Incentive v1'!$L$3:$Q$15,4,FALSE),
IF($AL96=1,VLOOKUP($AR96,'Loyalty Incentive v1'!$L$3:$Q$15,5,FALSE),
IF($AL96=0,VLOOKUP($AR96,'Loyalty Incentive v1'!$L$3:$Q$15,6,FALSE),0)))))</f>
        <v>0</v>
      </c>
      <c r="AN96" s="51">
        <f>IFERROR(IF(I96&gt;="1",AM96,VLOOKUP(VALUE(I96),'Loyalty - Effec - 15July'!$I$5:$J$16,2,0)*AM96),0)</f>
        <v>0</v>
      </c>
      <c r="AO96" s="51">
        <v>0</v>
      </c>
      <c r="AP96" s="51">
        <f t="shared" si="48"/>
        <v>0</v>
      </c>
      <c r="AQ96" s="46" t="str">
        <f t="shared" si="49"/>
        <v>No</v>
      </c>
      <c r="AR96" s="46" t="str">
        <f t="shared" si="50"/>
        <v>AE6</v>
      </c>
      <c r="AS96" s="46" t="b">
        <f t="shared" si="51"/>
        <v>1</v>
      </c>
      <c r="AT96" s="82">
        <f t="shared" si="52"/>
        <v>0</v>
      </c>
      <c r="AU96" s="82">
        <f t="shared" si="53"/>
        <v>0</v>
      </c>
      <c r="AV96" s="82">
        <f t="shared" si="54"/>
        <v>0</v>
      </c>
      <c r="AW96" s="82">
        <f t="shared" si="55"/>
        <v>0</v>
      </c>
      <c r="AX96" s="85"/>
      <c r="AY96" s="82">
        <f t="shared" si="56"/>
        <v>0</v>
      </c>
      <c r="AZ96" s="82">
        <f t="shared" si="57"/>
        <v>0</v>
      </c>
      <c r="BA96" s="82">
        <f t="shared" si="58"/>
        <v>0</v>
      </c>
      <c r="BB96" s="83">
        <v>0</v>
      </c>
      <c r="BC96" s="83">
        <v>0</v>
      </c>
      <c r="BD96" s="83">
        <v>0</v>
      </c>
      <c r="BE96" s="84">
        <f>ROUND((IF(($AT96&lt;=700000),0,IF(((VLOOKUP($AR96,'Loyalty - Effec - 15July'!$B$5:$C$17,2,0)*$AT96)&lt;=120000),(VLOOKUP($AR96,'Loyalty - Effec - 15July'!$B$5:$C$17,2,0)*$AT96),120000))),0)</f>
        <v>0</v>
      </c>
      <c r="BF96" s="84">
        <f>ROUND(VLOOKUP($AR96,'Loyalty - Effec - 15July'!$B$5:$D$17,3,0)*$AT96,0)</f>
        <v>0</v>
      </c>
      <c r="BG96" s="85">
        <f t="shared" si="59"/>
        <v>0</v>
      </c>
      <c r="BH96" s="81">
        <f t="shared" si="60"/>
        <v>0</v>
      </c>
      <c r="BI96" s="85">
        <f t="shared" si="61"/>
        <v>0</v>
      </c>
      <c r="BJ96" s="85">
        <f t="shared" si="62"/>
        <v>0</v>
      </c>
      <c r="BK96" s="85">
        <f t="shared" si="63"/>
        <v>0</v>
      </c>
      <c r="BL96" s="85">
        <f t="shared" si="64"/>
        <v>0</v>
      </c>
      <c r="BM96" s="85">
        <f t="shared" si="65"/>
        <v>0</v>
      </c>
      <c r="BN96" s="85">
        <f t="shared" si="66"/>
        <v>0</v>
      </c>
      <c r="BO96" s="52" t="s">
        <v>85</v>
      </c>
      <c r="BP96" s="46"/>
      <c r="BQ96" s="46"/>
      <c r="BR96" s="47">
        <f t="shared" si="69"/>
        <v>0</v>
      </c>
      <c r="BU96" s="47">
        <f t="shared" si="68"/>
        <v>0</v>
      </c>
      <c r="BV96" s="53" t="s">
        <v>277</v>
      </c>
      <c r="BW96" s="53" t="s">
        <v>932</v>
      </c>
      <c r="BX96" s="53" t="s">
        <v>278</v>
      </c>
      <c r="BY96" s="53"/>
      <c r="BZ96" s="53"/>
    </row>
    <row r="97" spans="1:79">
      <c r="A97" s="42" t="s">
        <v>275</v>
      </c>
      <c r="B97" s="28" t="s">
        <v>79</v>
      </c>
      <c r="C97" s="28" t="s">
        <v>80</v>
      </c>
      <c r="D97" s="28" t="s">
        <v>932</v>
      </c>
      <c r="E97" s="43" t="s">
        <v>82</v>
      </c>
      <c r="F97" s="28" t="s">
        <v>901</v>
      </c>
      <c r="G97" s="44" t="s">
        <v>276</v>
      </c>
      <c r="H97" s="45">
        <v>44396</v>
      </c>
      <c r="I97" s="46" t="s">
        <v>985</v>
      </c>
      <c r="J97" s="28">
        <v>3</v>
      </c>
      <c r="K97" s="28" t="s">
        <v>93</v>
      </c>
      <c r="L97" s="28" t="s">
        <v>873</v>
      </c>
      <c r="M97" s="28" t="s">
        <v>3</v>
      </c>
      <c r="N97" s="28" t="str">
        <f t="shared" si="36"/>
        <v>AE5</v>
      </c>
      <c r="O97" s="81"/>
      <c r="P97" s="81">
        <f t="shared" si="37"/>
        <v>0</v>
      </c>
      <c r="Q97" s="81">
        <f t="shared" si="38"/>
        <v>0</v>
      </c>
      <c r="R97" s="81">
        <f t="shared" si="39"/>
        <v>0</v>
      </c>
      <c r="S97" s="81"/>
      <c r="T97" s="82">
        <f t="shared" si="40"/>
        <v>0</v>
      </c>
      <c r="U97" s="82">
        <f t="shared" si="41"/>
        <v>0</v>
      </c>
      <c r="V97" s="82">
        <f t="shared" si="42"/>
        <v>0</v>
      </c>
      <c r="W97" s="83">
        <v>0</v>
      </c>
      <c r="X97" s="83">
        <v>0</v>
      </c>
      <c r="Y97" s="83">
        <v>0</v>
      </c>
      <c r="Z97" s="84">
        <f>ROUND((IF(($O97&lt;=700000),0,IF(((VLOOKUP($M97,'Loyalty - Effec - 15July'!$B$5:$C$17,2,0)*$O97)&lt;=120000),(VLOOKUP($M97,'Loyalty - Effec - 15July'!$B$5:$C$17,2,0)*$O97),120000))),0)</f>
        <v>0</v>
      </c>
      <c r="AA97" s="84">
        <f>ROUND(VLOOKUP($M97,'Loyalty - Effec - 15July'!$B$5:$D$17,3,0)*$O97,0)</f>
        <v>0</v>
      </c>
      <c r="AB97" s="85">
        <f t="shared" si="43"/>
        <v>0</v>
      </c>
      <c r="AC97" s="86">
        <f t="shared" si="44"/>
        <v>0</v>
      </c>
      <c r="AD97" s="87">
        <f t="shared" si="45"/>
        <v>0</v>
      </c>
      <c r="AE97" s="88">
        <f t="shared" si="46"/>
        <v>0</v>
      </c>
      <c r="AF97" s="88">
        <f t="shared" si="47"/>
        <v>0</v>
      </c>
      <c r="AG97" s="49" t="s">
        <v>278</v>
      </c>
      <c r="AH97" s="49" t="s">
        <v>811</v>
      </c>
      <c r="AI97" s="50"/>
      <c r="AJ97" s="46"/>
      <c r="AK97" s="46"/>
      <c r="AL97" s="46"/>
      <c r="AM97" s="51">
        <f>IF($AL97=4,VLOOKUP($AR97,'Loyalty Incentive v1'!$L$3:$Q$15,2,FALSE),
IF($AL97=3,VLOOKUP($AR97,'Loyalty Incentive v1'!$L$3:$Q$15,3,FALSE),
IF($AL97=2,VLOOKUP($AR97,'Loyalty Incentive v1'!$L$3:$Q$15,4,FALSE),
IF($AL97=1,VLOOKUP($AR97,'Loyalty Incentive v1'!$L$3:$Q$15,5,FALSE),
IF($AL97=0,VLOOKUP($AR97,'Loyalty Incentive v1'!$L$3:$Q$15,6,FALSE),0)))))</f>
        <v>0</v>
      </c>
      <c r="AN97" s="51">
        <f>IFERROR(IF(I97&gt;="1",AM97,VLOOKUP(VALUE(I97),'Loyalty - Effec - 15July'!$I$5:$J$16,2,0)*AM97),0)</f>
        <v>0</v>
      </c>
      <c r="AO97" s="51">
        <v>0</v>
      </c>
      <c r="AP97" s="51">
        <f t="shared" si="48"/>
        <v>0</v>
      </c>
      <c r="AQ97" s="46" t="str">
        <f t="shared" si="49"/>
        <v>No</v>
      </c>
      <c r="AR97" s="46" t="str">
        <f t="shared" si="50"/>
        <v>AE5</v>
      </c>
      <c r="AS97" s="46" t="b">
        <f t="shared" si="51"/>
        <v>1</v>
      </c>
      <c r="AT97" s="82">
        <f t="shared" si="52"/>
        <v>0</v>
      </c>
      <c r="AU97" s="82">
        <f t="shared" si="53"/>
        <v>0</v>
      </c>
      <c r="AV97" s="82">
        <f t="shared" si="54"/>
        <v>0</v>
      </c>
      <c r="AW97" s="82">
        <f t="shared" si="55"/>
        <v>0</v>
      </c>
      <c r="AX97" s="85"/>
      <c r="AY97" s="82">
        <f t="shared" si="56"/>
        <v>0</v>
      </c>
      <c r="AZ97" s="82">
        <f t="shared" si="57"/>
        <v>0</v>
      </c>
      <c r="BA97" s="82">
        <f t="shared" si="58"/>
        <v>0</v>
      </c>
      <c r="BB97" s="83">
        <v>0</v>
      </c>
      <c r="BC97" s="83">
        <v>0</v>
      </c>
      <c r="BD97" s="83">
        <v>0</v>
      </c>
      <c r="BE97" s="84">
        <f>ROUND((IF(($AT97&lt;=700000),0,IF(((VLOOKUP($AR97,'Loyalty - Effec - 15July'!$B$5:$C$17,2,0)*$AT97)&lt;=120000),(VLOOKUP($AR97,'Loyalty - Effec - 15July'!$B$5:$C$17,2,0)*$AT97),120000))),0)</f>
        <v>0</v>
      </c>
      <c r="BF97" s="84">
        <f>ROUND(VLOOKUP($AR97,'Loyalty - Effec - 15July'!$B$5:$D$17,3,0)*$AT97,0)</f>
        <v>0</v>
      </c>
      <c r="BG97" s="85">
        <f t="shared" si="59"/>
        <v>0</v>
      </c>
      <c r="BH97" s="81">
        <f t="shared" si="60"/>
        <v>0</v>
      </c>
      <c r="BI97" s="85">
        <f t="shared" si="61"/>
        <v>0</v>
      </c>
      <c r="BJ97" s="85">
        <f t="shared" si="62"/>
        <v>0</v>
      </c>
      <c r="BK97" s="85">
        <f t="shared" si="63"/>
        <v>0</v>
      </c>
      <c r="BL97" s="85">
        <f t="shared" si="64"/>
        <v>0</v>
      </c>
      <c r="BM97" s="85">
        <f t="shared" si="65"/>
        <v>0</v>
      </c>
      <c r="BN97" s="85">
        <f t="shared" si="66"/>
        <v>0</v>
      </c>
      <c r="BO97" s="52" t="s">
        <v>85</v>
      </c>
      <c r="BP97" s="52" t="s">
        <v>85</v>
      </c>
      <c r="BQ97" s="46"/>
      <c r="BR97" s="47">
        <f t="shared" si="69"/>
        <v>0</v>
      </c>
      <c r="BU97" s="47">
        <f t="shared" si="68"/>
        <v>0</v>
      </c>
      <c r="BV97" s="53" t="s">
        <v>275</v>
      </c>
      <c r="BW97" s="53" t="s">
        <v>932</v>
      </c>
      <c r="BX97" s="53" t="s">
        <v>276</v>
      </c>
      <c r="BY97" s="53"/>
      <c r="BZ97" s="53"/>
    </row>
    <row r="98" spans="1:79">
      <c r="A98" s="42" t="s">
        <v>281</v>
      </c>
      <c r="B98" s="28" t="s">
        <v>79</v>
      </c>
      <c r="C98" s="28" t="s">
        <v>80</v>
      </c>
      <c r="D98" s="28" t="s">
        <v>932</v>
      </c>
      <c r="E98" s="43" t="s">
        <v>82</v>
      </c>
      <c r="F98" s="28" t="s">
        <v>902</v>
      </c>
      <c r="G98" s="44" t="s">
        <v>282</v>
      </c>
      <c r="H98" s="45">
        <v>44417</v>
      </c>
      <c r="I98" s="46" t="s">
        <v>986</v>
      </c>
      <c r="J98" s="28">
        <v>2.6</v>
      </c>
      <c r="K98" s="28" t="s">
        <v>93</v>
      </c>
      <c r="L98" s="28" t="s">
        <v>873</v>
      </c>
      <c r="M98" s="28" t="s">
        <v>1</v>
      </c>
      <c r="N98" s="28" t="str">
        <f t="shared" si="36"/>
        <v>AE3</v>
      </c>
      <c r="O98" s="81"/>
      <c r="P98" s="81">
        <f t="shared" si="37"/>
        <v>0</v>
      </c>
      <c r="Q98" s="81">
        <f t="shared" si="38"/>
        <v>0</v>
      </c>
      <c r="R98" s="81">
        <f t="shared" si="39"/>
        <v>0</v>
      </c>
      <c r="S98" s="81"/>
      <c r="T98" s="82">
        <f t="shared" si="40"/>
        <v>0</v>
      </c>
      <c r="U98" s="82">
        <f t="shared" si="41"/>
        <v>0</v>
      </c>
      <c r="V98" s="82">
        <f t="shared" si="42"/>
        <v>0</v>
      </c>
      <c r="W98" s="83">
        <v>0</v>
      </c>
      <c r="X98" s="83">
        <v>0</v>
      </c>
      <c r="Y98" s="83">
        <v>0</v>
      </c>
      <c r="Z98" s="84">
        <f>ROUND((IF(($O98&lt;=700000),0,IF(((VLOOKUP($M98,'Loyalty - Effec - 15July'!$B$5:$C$17,2,0)*$O98)&lt;=120000),(VLOOKUP($M98,'Loyalty - Effec - 15July'!$B$5:$C$17,2,0)*$O98),120000))),0)</f>
        <v>0</v>
      </c>
      <c r="AA98" s="84">
        <f>ROUND(VLOOKUP($M98,'Loyalty - Effec - 15July'!$B$5:$D$17,3,0)*$O98,0)</f>
        <v>0</v>
      </c>
      <c r="AB98" s="85">
        <f t="shared" si="43"/>
        <v>0</v>
      </c>
      <c r="AC98" s="86">
        <f t="shared" si="44"/>
        <v>0</v>
      </c>
      <c r="AD98" s="87">
        <f t="shared" si="45"/>
        <v>0</v>
      </c>
      <c r="AE98" s="88">
        <f t="shared" si="46"/>
        <v>0</v>
      </c>
      <c r="AF98" s="88">
        <f t="shared" si="47"/>
        <v>0</v>
      </c>
      <c r="AG98" s="49" t="s">
        <v>916</v>
      </c>
      <c r="AH98" s="49" t="s">
        <v>909</v>
      </c>
      <c r="AI98" s="50"/>
      <c r="AJ98" s="46"/>
      <c r="AK98" s="46"/>
      <c r="AL98" s="46"/>
      <c r="AM98" s="51">
        <f>IF($AL98=4,VLOOKUP($AR98,'Loyalty Incentive v1'!$L$3:$Q$15,2,FALSE),
IF($AL98=3,VLOOKUP($AR98,'Loyalty Incentive v1'!$L$3:$Q$15,3,FALSE),
IF($AL98=2,VLOOKUP($AR98,'Loyalty Incentive v1'!$L$3:$Q$15,4,FALSE),
IF($AL98=1,VLOOKUP($AR98,'Loyalty Incentive v1'!$L$3:$Q$15,5,FALSE),
IF($AL98=0,VLOOKUP($AR98,'Loyalty Incentive v1'!$L$3:$Q$15,6,FALSE),0)))))</f>
        <v>0</v>
      </c>
      <c r="AN98" s="51">
        <f>IFERROR(IF(I98&gt;="1",AM98,VLOOKUP(VALUE(I98),'Loyalty - Effec - 15July'!$I$5:$J$16,2,0)*AM98),0)</f>
        <v>0</v>
      </c>
      <c r="AO98" s="51">
        <v>0</v>
      </c>
      <c r="AP98" s="56">
        <f t="shared" si="48"/>
        <v>0</v>
      </c>
      <c r="AQ98" s="46" t="str">
        <f t="shared" si="49"/>
        <v>No</v>
      </c>
      <c r="AR98" s="46" t="str">
        <f t="shared" si="50"/>
        <v>AE3</v>
      </c>
      <c r="AS98" s="46" t="b">
        <f t="shared" si="51"/>
        <v>1</v>
      </c>
      <c r="AT98" s="82">
        <f t="shared" si="52"/>
        <v>0</v>
      </c>
      <c r="AU98" s="82">
        <f t="shared" si="53"/>
        <v>0</v>
      </c>
      <c r="AV98" s="82">
        <f t="shared" si="54"/>
        <v>0</v>
      </c>
      <c r="AW98" s="82">
        <f t="shared" si="55"/>
        <v>0</v>
      </c>
      <c r="AX98" s="85"/>
      <c r="AY98" s="82">
        <f t="shared" si="56"/>
        <v>0</v>
      </c>
      <c r="AZ98" s="82">
        <f t="shared" si="57"/>
        <v>0</v>
      </c>
      <c r="BA98" s="82">
        <f t="shared" si="58"/>
        <v>0</v>
      </c>
      <c r="BB98" s="83">
        <v>0</v>
      </c>
      <c r="BC98" s="83">
        <v>0</v>
      </c>
      <c r="BD98" s="83">
        <v>0</v>
      </c>
      <c r="BE98" s="84">
        <f>ROUND((IF(($AT98&lt;=700000),0,IF(((VLOOKUP($AR98,'Loyalty - Effec - 15July'!$B$5:$C$17,2,0)*$AT98)&lt;=120000),(VLOOKUP($AR98,'Loyalty - Effec - 15July'!$B$5:$C$17,2,0)*$AT98),120000))),0)</f>
        <v>0</v>
      </c>
      <c r="BF98" s="84">
        <f>ROUND(VLOOKUP($AR98,'Loyalty - Effec - 15July'!$B$5:$D$17,3,0)*$AT98,0)</f>
        <v>0</v>
      </c>
      <c r="BG98" s="85">
        <f t="shared" si="59"/>
        <v>0</v>
      </c>
      <c r="BH98" s="82">
        <f t="shared" si="60"/>
        <v>0</v>
      </c>
      <c r="BI98" s="85">
        <f t="shared" si="61"/>
        <v>0</v>
      </c>
      <c r="BJ98" s="85">
        <f t="shared" si="62"/>
        <v>0</v>
      </c>
      <c r="BK98" s="85">
        <f t="shared" si="63"/>
        <v>0</v>
      </c>
      <c r="BL98" s="85">
        <f t="shared" si="64"/>
        <v>0</v>
      </c>
      <c r="BM98" s="85">
        <f t="shared" si="65"/>
        <v>0</v>
      </c>
      <c r="BN98" s="85">
        <f t="shared" si="66"/>
        <v>0</v>
      </c>
      <c r="BO98" s="52" t="s">
        <v>85</v>
      </c>
      <c r="BP98" s="46"/>
      <c r="BQ98" s="46"/>
      <c r="BR98" s="47">
        <f t="shared" si="69"/>
        <v>0</v>
      </c>
      <c r="BU98" s="47">
        <f t="shared" si="68"/>
        <v>0</v>
      </c>
      <c r="BV98" s="53" t="s">
        <v>281</v>
      </c>
      <c r="BW98" s="53" t="s">
        <v>932</v>
      </c>
      <c r="BX98" s="53" t="s">
        <v>282</v>
      </c>
      <c r="BY98" s="53"/>
      <c r="BZ98" s="53"/>
    </row>
    <row r="99" spans="1:79">
      <c r="A99" s="42" t="s">
        <v>283</v>
      </c>
      <c r="B99" s="28" t="s">
        <v>79</v>
      </c>
      <c r="C99" s="28" t="s">
        <v>80</v>
      </c>
      <c r="D99" s="28" t="s">
        <v>932</v>
      </c>
      <c r="E99" s="43" t="s">
        <v>82</v>
      </c>
      <c r="F99" s="28" t="s">
        <v>901</v>
      </c>
      <c r="G99" s="44" t="s">
        <v>284</v>
      </c>
      <c r="H99" s="45">
        <v>44417</v>
      </c>
      <c r="I99" s="46" t="s">
        <v>986</v>
      </c>
      <c r="J99" s="28">
        <v>3</v>
      </c>
      <c r="K99" s="28" t="s">
        <v>93</v>
      </c>
      <c r="L99" s="28" t="s">
        <v>873</v>
      </c>
      <c r="M99" s="28" t="s">
        <v>0</v>
      </c>
      <c r="N99" s="28" t="str">
        <f t="shared" si="36"/>
        <v>AE2</v>
      </c>
      <c r="O99" s="81"/>
      <c r="P99" s="81">
        <f t="shared" si="37"/>
        <v>0</v>
      </c>
      <c r="Q99" s="81">
        <f t="shared" si="38"/>
        <v>0</v>
      </c>
      <c r="R99" s="81">
        <f t="shared" si="39"/>
        <v>0</v>
      </c>
      <c r="S99" s="81"/>
      <c r="T99" s="82">
        <f t="shared" si="40"/>
        <v>0</v>
      </c>
      <c r="U99" s="82">
        <f t="shared" si="41"/>
        <v>0</v>
      </c>
      <c r="V99" s="82">
        <f t="shared" si="42"/>
        <v>0</v>
      </c>
      <c r="W99" s="83">
        <v>0</v>
      </c>
      <c r="X99" s="83">
        <v>0</v>
      </c>
      <c r="Y99" s="83">
        <v>0</v>
      </c>
      <c r="Z99" s="84">
        <f>ROUND((IF(($O99&lt;=700000),0,IF(((VLOOKUP($M99,'Loyalty - Effec - 15July'!$B$5:$C$17,2,0)*$O99)&lt;=120000),(VLOOKUP($M99,'Loyalty - Effec - 15July'!$B$5:$C$17,2,0)*$O99),120000))),0)</f>
        <v>0</v>
      </c>
      <c r="AA99" s="84">
        <f>ROUND(VLOOKUP($M99,'Loyalty - Effec - 15July'!$B$5:$D$17,3,0)*$O99,0)</f>
        <v>0</v>
      </c>
      <c r="AB99" s="85">
        <f t="shared" si="43"/>
        <v>0</v>
      </c>
      <c r="AC99" s="86">
        <f t="shared" si="44"/>
        <v>0</v>
      </c>
      <c r="AD99" s="87">
        <f t="shared" si="45"/>
        <v>0</v>
      </c>
      <c r="AE99" s="88">
        <f t="shared" si="46"/>
        <v>0</v>
      </c>
      <c r="AF99" s="88">
        <f t="shared" si="47"/>
        <v>0</v>
      </c>
      <c r="AG99" s="49" t="s">
        <v>278</v>
      </c>
      <c r="AH99" s="49" t="s">
        <v>811</v>
      </c>
      <c r="AI99" s="50"/>
      <c r="AJ99" s="46"/>
      <c r="AK99" s="46"/>
      <c r="AL99" s="46"/>
      <c r="AM99" s="51">
        <f>IF($AL99=4,VLOOKUP($AR99,'Loyalty Incentive v1'!$L$3:$Q$15,2,FALSE),
IF($AL99=3,VLOOKUP($AR99,'Loyalty Incentive v1'!$L$3:$Q$15,3,FALSE),
IF($AL99=2,VLOOKUP($AR99,'Loyalty Incentive v1'!$L$3:$Q$15,4,FALSE),
IF($AL99=1,VLOOKUP($AR99,'Loyalty Incentive v1'!$L$3:$Q$15,5,FALSE),
IF($AL99=0,VLOOKUP($AR99,'Loyalty Incentive v1'!$L$3:$Q$15,6,FALSE),0)))))</f>
        <v>0</v>
      </c>
      <c r="AN99" s="51">
        <f>IFERROR(IF(I99&gt;="1",AM99,VLOOKUP(VALUE(I99),'Loyalty - Effec - 15July'!$I$5:$J$16,2,0)*AM99),0)</f>
        <v>0</v>
      </c>
      <c r="AO99" s="51">
        <v>0</v>
      </c>
      <c r="AP99" s="56">
        <f t="shared" si="48"/>
        <v>0</v>
      </c>
      <c r="AQ99" s="46" t="str">
        <f t="shared" si="49"/>
        <v>No</v>
      </c>
      <c r="AR99" s="46" t="str">
        <f t="shared" si="50"/>
        <v>AE2</v>
      </c>
      <c r="AS99" s="46" t="b">
        <f t="shared" si="51"/>
        <v>1</v>
      </c>
      <c r="AT99" s="82">
        <f t="shared" si="52"/>
        <v>0</v>
      </c>
      <c r="AU99" s="82">
        <f t="shared" si="53"/>
        <v>0</v>
      </c>
      <c r="AV99" s="82">
        <f t="shared" si="54"/>
        <v>0</v>
      </c>
      <c r="AW99" s="82">
        <f t="shared" si="55"/>
        <v>0</v>
      </c>
      <c r="AX99" s="85"/>
      <c r="AY99" s="82">
        <f t="shared" si="56"/>
        <v>0</v>
      </c>
      <c r="AZ99" s="82">
        <f t="shared" si="57"/>
        <v>0</v>
      </c>
      <c r="BA99" s="82">
        <f t="shared" si="58"/>
        <v>0</v>
      </c>
      <c r="BB99" s="83">
        <v>0</v>
      </c>
      <c r="BC99" s="83">
        <v>0</v>
      </c>
      <c r="BD99" s="83">
        <v>0</v>
      </c>
      <c r="BE99" s="84">
        <f>ROUND((IF(($AT99&lt;=700000),0,IF(((VLOOKUP($AR99,'Loyalty - Effec - 15July'!$B$5:$C$17,2,0)*$AT99)&lt;=120000),(VLOOKUP($AR99,'Loyalty - Effec - 15July'!$B$5:$C$17,2,0)*$AT99),120000))),0)</f>
        <v>0</v>
      </c>
      <c r="BF99" s="84">
        <f>ROUND(VLOOKUP($AR99,'Loyalty - Effec - 15July'!$B$5:$D$17,3,0)*$AT99,0)</f>
        <v>0</v>
      </c>
      <c r="BG99" s="85">
        <f t="shared" si="59"/>
        <v>0</v>
      </c>
      <c r="BH99" s="82">
        <f t="shared" si="60"/>
        <v>0</v>
      </c>
      <c r="BI99" s="85">
        <f t="shared" si="61"/>
        <v>0</v>
      </c>
      <c r="BJ99" s="85">
        <f t="shared" si="62"/>
        <v>0</v>
      </c>
      <c r="BK99" s="85">
        <f t="shared" si="63"/>
        <v>0</v>
      </c>
      <c r="BL99" s="85">
        <f t="shared" si="64"/>
        <v>0</v>
      </c>
      <c r="BM99" s="85">
        <f t="shared" si="65"/>
        <v>0</v>
      </c>
      <c r="BN99" s="85">
        <f t="shared" si="66"/>
        <v>0</v>
      </c>
      <c r="BO99" s="52" t="s">
        <v>85</v>
      </c>
      <c r="BP99" s="46"/>
      <c r="BQ99" s="46"/>
      <c r="BR99" s="47">
        <f t="shared" si="69"/>
        <v>0</v>
      </c>
      <c r="BU99" s="47">
        <f t="shared" si="68"/>
        <v>0</v>
      </c>
      <c r="BV99" s="53" t="s">
        <v>283</v>
      </c>
      <c r="BW99" s="53" t="s">
        <v>932</v>
      </c>
      <c r="BX99" s="53" t="s">
        <v>284</v>
      </c>
      <c r="BY99" s="53"/>
      <c r="BZ99" s="53"/>
    </row>
    <row r="100" spans="1:79">
      <c r="A100" s="42" t="s">
        <v>286</v>
      </c>
      <c r="B100" s="28" t="s">
        <v>79</v>
      </c>
      <c r="C100" s="28" t="s">
        <v>80</v>
      </c>
      <c r="D100" s="28" t="s">
        <v>81</v>
      </c>
      <c r="E100" s="43" t="s">
        <v>82</v>
      </c>
      <c r="F100" s="28" t="s">
        <v>901</v>
      </c>
      <c r="G100" s="44" t="s">
        <v>287</v>
      </c>
      <c r="H100" s="45">
        <v>44417</v>
      </c>
      <c r="I100" s="28" t="s">
        <v>986</v>
      </c>
      <c r="J100" s="28">
        <v>0</v>
      </c>
      <c r="K100" s="28" t="s">
        <v>863</v>
      </c>
      <c r="L100" s="28" t="s">
        <v>865</v>
      </c>
      <c r="M100" s="28" t="s">
        <v>4</v>
      </c>
      <c r="N100" s="28" t="str">
        <f t="shared" si="36"/>
        <v>AE6</v>
      </c>
      <c r="O100" s="81"/>
      <c r="P100" s="81">
        <f t="shared" si="37"/>
        <v>0</v>
      </c>
      <c r="Q100" s="81">
        <f t="shared" si="38"/>
        <v>0</v>
      </c>
      <c r="R100" s="81">
        <f t="shared" si="39"/>
        <v>0</v>
      </c>
      <c r="S100" s="81"/>
      <c r="T100" s="82">
        <f t="shared" si="40"/>
        <v>0</v>
      </c>
      <c r="U100" s="82">
        <f t="shared" si="41"/>
        <v>0</v>
      </c>
      <c r="V100" s="82">
        <f t="shared" si="42"/>
        <v>0</v>
      </c>
      <c r="W100" s="83">
        <v>0</v>
      </c>
      <c r="X100" s="83">
        <v>0</v>
      </c>
      <c r="Y100" s="83">
        <v>0</v>
      </c>
      <c r="Z100" s="84">
        <f>ROUND((IF(($O100&lt;=700000),0,IF(((VLOOKUP($M100,'Loyalty - Effec - 15July'!$B$5:$C$17,2,0)*$O100)&lt;=120000),(VLOOKUP($M100,'Loyalty - Effec - 15July'!$B$5:$C$17,2,0)*$O100),120000))),0)</f>
        <v>0</v>
      </c>
      <c r="AA100" s="84">
        <f>ROUND(VLOOKUP($M100,'Loyalty - Effec - 15July'!$B$5:$D$17,3,0)*$O100,0)</f>
        <v>0</v>
      </c>
      <c r="AB100" s="85">
        <f t="shared" si="43"/>
        <v>0</v>
      </c>
      <c r="AC100" s="86">
        <f t="shared" si="44"/>
        <v>0</v>
      </c>
      <c r="AD100" s="87">
        <f t="shared" si="45"/>
        <v>0</v>
      </c>
      <c r="AE100" s="88">
        <f t="shared" si="46"/>
        <v>0</v>
      </c>
      <c r="AF100" s="88">
        <f t="shared" si="47"/>
        <v>0</v>
      </c>
      <c r="AG100" s="49" t="s">
        <v>120</v>
      </c>
      <c r="AH100" s="49" t="s">
        <v>774</v>
      </c>
      <c r="AI100" s="50"/>
      <c r="AJ100" s="50"/>
      <c r="AK100" s="50"/>
      <c r="AL100" s="46"/>
      <c r="AM100" s="51">
        <f>IF($AL100=4,VLOOKUP($AR100,'Loyalty Incentive v1'!$L$3:$Q$15,2,FALSE),
IF($AL100=3,VLOOKUP($AR100,'Loyalty Incentive v1'!$L$3:$Q$15,3,FALSE),
IF($AL100=2,VLOOKUP($AR100,'Loyalty Incentive v1'!$L$3:$Q$15,4,FALSE),
IF($AL100=1,VLOOKUP($AR100,'Loyalty Incentive v1'!$L$3:$Q$15,5,FALSE),
IF($AL100=0,VLOOKUP($AR100,'Loyalty Incentive v1'!$L$3:$Q$15,6,FALSE),0)))))</f>
        <v>0</v>
      </c>
      <c r="AN100" s="51">
        <f>IFERROR(IF(I100&gt;="1",AM100,VLOOKUP(VALUE(I100),'Loyalty - Effec - 15July'!$I$5:$J$16,2,0)*AM100),0)</f>
        <v>0</v>
      </c>
      <c r="AO100" s="51">
        <v>-8.1000000000000003E-2</v>
      </c>
      <c r="AP100" s="51">
        <f t="shared" si="48"/>
        <v>-8.1000000000000003E-2</v>
      </c>
      <c r="AQ100" s="46" t="str">
        <f t="shared" si="49"/>
        <v>No</v>
      </c>
      <c r="AR100" s="46" t="str">
        <f t="shared" si="50"/>
        <v>AE6</v>
      </c>
      <c r="AS100" s="46" t="b">
        <f t="shared" si="51"/>
        <v>1</v>
      </c>
      <c r="AT100" s="82">
        <f t="shared" si="52"/>
        <v>0</v>
      </c>
      <c r="AU100" s="82">
        <f t="shared" si="53"/>
        <v>0</v>
      </c>
      <c r="AV100" s="82">
        <f t="shared" si="54"/>
        <v>0</v>
      </c>
      <c r="AW100" s="82">
        <f t="shared" si="55"/>
        <v>0</v>
      </c>
      <c r="AX100" s="85"/>
      <c r="AY100" s="82">
        <f t="shared" si="56"/>
        <v>0</v>
      </c>
      <c r="AZ100" s="82">
        <f t="shared" si="57"/>
        <v>0</v>
      </c>
      <c r="BA100" s="82">
        <f t="shared" si="58"/>
        <v>0</v>
      </c>
      <c r="BB100" s="83">
        <v>0</v>
      </c>
      <c r="BC100" s="83">
        <v>0</v>
      </c>
      <c r="BD100" s="83">
        <v>0</v>
      </c>
      <c r="BE100" s="84">
        <f>ROUND((IF(($AT100&lt;=700000),0,IF(((VLOOKUP($AR100,'Loyalty - Effec - 15July'!$B$5:$C$17,2,0)*$AT100)&lt;=120000),(VLOOKUP($AR100,'Loyalty - Effec - 15July'!$B$5:$C$17,2,0)*$AT100),120000))),0)</f>
        <v>0</v>
      </c>
      <c r="BF100" s="84">
        <f>ROUND(VLOOKUP($AR100,'Loyalty - Effec - 15July'!$B$5:$D$17,3,0)*$AT100,0)</f>
        <v>0</v>
      </c>
      <c r="BG100" s="85">
        <f t="shared" si="59"/>
        <v>0</v>
      </c>
      <c r="BH100" s="81">
        <f t="shared" si="60"/>
        <v>0</v>
      </c>
      <c r="BI100" s="85">
        <f t="shared" si="61"/>
        <v>0</v>
      </c>
      <c r="BJ100" s="85">
        <f t="shared" si="62"/>
        <v>0</v>
      </c>
      <c r="BK100" s="85">
        <f t="shared" si="63"/>
        <v>0</v>
      </c>
      <c r="BL100" s="85">
        <f t="shared" si="64"/>
        <v>0</v>
      </c>
      <c r="BM100" s="85">
        <f t="shared" si="65"/>
        <v>0</v>
      </c>
      <c r="BN100" s="85">
        <f t="shared" si="66"/>
        <v>0</v>
      </c>
      <c r="BO100" s="52" t="s">
        <v>86</v>
      </c>
      <c r="BP100" s="46">
        <v>3</v>
      </c>
      <c r="BQ100" s="46"/>
      <c r="BR100" s="47">
        <f t="shared" si="69"/>
        <v>0</v>
      </c>
      <c r="BS100" s="46">
        <v>2</v>
      </c>
      <c r="BT100" s="54">
        <v>4.1000000000000002E-2</v>
      </c>
      <c r="BU100" s="47">
        <f t="shared" si="68"/>
        <v>0</v>
      </c>
      <c r="BV100" s="53" t="s">
        <v>286</v>
      </c>
      <c r="BW100" s="53" t="s">
        <v>81</v>
      </c>
      <c r="BX100" s="53" t="s">
        <v>287</v>
      </c>
      <c r="BY100" s="53"/>
      <c r="BZ100" s="53"/>
      <c r="CA100" s="55"/>
    </row>
    <row r="101" spans="1:79">
      <c r="A101" s="42" t="s">
        <v>237</v>
      </c>
      <c r="B101" s="28" t="s">
        <v>79</v>
      </c>
      <c r="C101" s="28" t="s">
        <v>80</v>
      </c>
      <c r="D101" s="28" t="s">
        <v>932</v>
      </c>
      <c r="E101" s="43" t="s">
        <v>82</v>
      </c>
      <c r="F101" s="28" t="s">
        <v>902</v>
      </c>
      <c r="G101" s="44" t="s">
        <v>646</v>
      </c>
      <c r="H101" s="45">
        <v>44424</v>
      </c>
      <c r="I101" s="46" t="s">
        <v>986</v>
      </c>
      <c r="J101" s="28">
        <v>0</v>
      </c>
      <c r="K101" s="28" t="s">
        <v>93</v>
      </c>
      <c r="L101" s="28" t="s">
        <v>94</v>
      </c>
      <c r="M101" s="28" t="s">
        <v>1</v>
      </c>
      <c r="N101" s="28" t="str">
        <f t="shared" si="36"/>
        <v>AE3</v>
      </c>
      <c r="O101" s="81"/>
      <c r="P101" s="81">
        <f t="shared" si="37"/>
        <v>0</v>
      </c>
      <c r="Q101" s="81">
        <f t="shared" si="38"/>
        <v>0</v>
      </c>
      <c r="R101" s="81">
        <f t="shared" si="39"/>
        <v>0</v>
      </c>
      <c r="S101" s="81"/>
      <c r="T101" s="82">
        <f t="shared" si="40"/>
        <v>0</v>
      </c>
      <c r="U101" s="82">
        <f t="shared" si="41"/>
        <v>0</v>
      </c>
      <c r="V101" s="82">
        <f t="shared" si="42"/>
        <v>0</v>
      </c>
      <c r="W101" s="83">
        <v>0</v>
      </c>
      <c r="X101" s="83">
        <v>0</v>
      </c>
      <c r="Y101" s="83">
        <v>0</v>
      </c>
      <c r="Z101" s="84">
        <f>ROUND((IF(($O101&lt;=700000),0,IF(((VLOOKUP($M101,'Loyalty - Effec - 15July'!$B$5:$C$17,2,0)*$O101)&lt;=120000),(VLOOKUP($M101,'Loyalty - Effec - 15July'!$B$5:$C$17,2,0)*$O101),120000))),0)</f>
        <v>0</v>
      </c>
      <c r="AA101" s="84">
        <f>ROUND(VLOOKUP($M101,'Loyalty - Effec - 15July'!$B$5:$D$17,3,0)*$O101,0)</f>
        <v>0</v>
      </c>
      <c r="AB101" s="85">
        <f t="shared" si="43"/>
        <v>0</v>
      </c>
      <c r="AC101" s="86">
        <f t="shared" si="44"/>
        <v>0</v>
      </c>
      <c r="AD101" s="87">
        <f t="shared" si="45"/>
        <v>0</v>
      </c>
      <c r="AE101" s="88">
        <f t="shared" si="46"/>
        <v>0</v>
      </c>
      <c r="AF101" s="88">
        <f t="shared" si="47"/>
        <v>0</v>
      </c>
      <c r="AG101" s="49" t="s">
        <v>210</v>
      </c>
      <c r="AH101" s="49" t="s">
        <v>126</v>
      </c>
      <c r="AI101" s="50"/>
      <c r="AJ101" s="46"/>
      <c r="AK101" s="46"/>
      <c r="AL101" s="46"/>
      <c r="AM101" s="51">
        <f>IF($AL101=4,VLOOKUP($AR101,'Loyalty Incentive v1'!$L$3:$Q$15,2,FALSE),
IF($AL101=3,VLOOKUP($AR101,'Loyalty Incentive v1'!$L$3:$Q$15,3,FALSE),
IF($AL101=2,VLOOKUP($AR101,'Loyalty Incentive v1'!$L$3:$Q$15,4,FALSE),
IF($AL101=1,VLOOKUP($AR101,'Loyalty Incentive v1'!$L$3:$Q$15,5,FALSE),
IF($AL101=0,VLOOKUP($AR101,'Loyalty Incentive v1'!$L$3:$Q$15,6,FALSE),0)))))</f>
        <v>0</v>
      </c>
      <c r="AN101" s="51">
        <f>IFERROR(IF(I101&gt;="1",AM101,VLOOKUP(VALUE(I101),'Loyalty - Effec - 15July'!$I$5:$J$16,2,0)*AM101),0)</f>
        <v>0</v>
      </c>
      <c r="AO101" s="51">
        <v>0</v>
      </c>
      <c r="AP101" s="51">
        <f t="shared" si="48"/>
        <v>0</v>
      </c>
      <c r="AQ101" s="46" t="str">
        <f t="shared" si="49"/>
        <v>No</v>
      </c>
      <c r="AR101" s="46" t="str">
        <f t="shared" si="50"/>
        <v>AE3</v>
      </c>
      <c r="AS101" s="46" t="b">
        <f t="shared" si="51"/>
        <v>1</v>
      </c>
      <c r="AT101" s="82">
        <f t="shared" si="52"/>
        <v>0</v>
      </c>
      <c r="AU101" s="82">
        <f t="shared" si="53"/>
        <v>0</v>
      </c>
      <c r="AV101" s="82">
        <f t="shared" si="54"/>
        <v>0</v>
      </c>
      <c r="AW101" s="82">
        <f t="shared" si="55"/>
        <v>0</v>
      </c>
      <c r="AX101" s="85"/>
      <c r="AY101" s="82">
        <f t="shared" si="56"/>
        <v>0</v>
      </c>
      <c r="AZ101" s="82">
        <f t="shared" si="57"/>
        <v>0</v>
      </c>
      <c r="BA101" s="82">
        <f t="shared" si="58"/>
        <v>0</v>
      </c>
      <c r="BB101" s="83">
        <v>0</v>
      </c>
      <c r="BC101" s="83">
        <v>0</v>
      </c>
      <c r="BD101" s="83">
        <v>0</v>
      </c>
      <c r="BE101" s="84">
        <f>ROUND((IF(($AT101&lt;=700000),0,IF(((VLOOKUP($AR101,'Loyalty - Effec - 15July'!$B$5:$C$17,2,0)*$AT101)&lt;=120000),(VLOOKUP($AR101,'Loyalty - Effec - 15July'!$B$5:$C$17,2,0)*$AT101),120000))),0)</f>
        <v>0</v>
      </c>
      <c r="BF101" s="84">
        <f>ROUND(VLOOKUP($AR101,'Loyalty - Effec - 15July'!$B$5:$D$17,3,0)*$AT101,0)</f>
        <v>0</v>
      </c>
      <c r="BG101" s="85">
        <f t="shared" si="59"/>
        <v>0</v>
      </c>
      <c r="BH101" s="81">
        <f t="shared" si="60"/>
        <v>0</v>
      </c>
      <c r="BI101" s="85">
        <f t="shared" si="61"/>
        <v>0</v>
      </c>
      <c r="BJ101" s="85">
        <f t="shared" si="62"/>
        <v>0</v>
      </c>
      <c r="BK101" s="85">
        <f t="shared" si="63"/>
        <v>0</v>
      </c>
      <c r="BL101" s="85">
        <f t="shared" si="64"/>
        <v>0</v>
      </c>
      <c r="BM101" s="85">
        <f t="shared" si="65"/>
        <v>0</v>
      </c>
      <c r="BN101" s="85">
        <f t="shared" si="66"/>
        <v>0</v>
      </c>
      <c r="BO101" s="52" t="s">
        <v>85</v>
      </c>
      <c r="BP101" s="46">
        <v>2</v>
      </c>
      <c r="BQ101" s="46"/>
      <c r="BR101" s="47">
        <f t="shared" si="69"/>
        <v>0</v>
      </c>
      <c r="BU101" s="47">
        <f t="shared" si="68"/>
        <v>0</v>
      </c>
      <c r="BV101" s="53" t="s">
        <v>237</v>
      </c>
      <c r="BW101" s="53" t="s">
        <v>932</v>
      </c>
      <c r="BX101" s="53" t="s">
        <v>646</v>
      </c>
      <c r="BY101" s="53"/>
      <c r="BZ101" s="53"/>
    </row>
    <row r="102" spans="1:79">
      <c r="A102" s="42" t="s">
        <v>292</v>
      </c>
      <c r="B102" s="28" t="s">
        <v>79</v>
      </c>
      <c r="C102" s="28" t="s">
        <v>80</v>
      </c>
      <c r="D102" s="28" t="s">
        <v>932</v>
      </c>
      <c r="E102" s="43" t="s">
        <v>82</v>
      </c>
      <c r="F102" s="28" t="s">
        <v>901</v>
      </c>
      <c r="G102" s="44" t="s">
        <v>293</v>
      </c>
      <c r="H102" s="45">
        <v>44424</v>
      </c>
      <c r="I102" s="46" t="s">
        <v>986</v>
      </c>
      <c r="J102" s="28">
        <v>0</v>
      </c>
      <c r="K102" s="28" t="s">
        <v>285</v>
      </c>
      <c r="L102" s="28" t="s">
        <v>285</v>
      </c>
      <c r="M102" s="28" t="s">
        <v>3</v>
      </c>
      <c r="N102" s="28" t="str">
        <f t="shared" si="36"/>
        <v>AE5</v>
      </c>
      <c r="O102" s="81"/>
      <c r="P102" s="81">
        <f t="shared" si="37"/>
        <v>0</v>
      </c>
      <c r="Q102" s="81">
        <f t="shared" si="38"/>
        <v>0</v>
      </c>
      <c r="R102" s="81">
        <f t="shared" si="39"/>
        <v>0</v>
      </c>
      <c r="S102" s="81"/>
      <c r="T102" s="82">
        <f t="shared" si="40"/>
        <v>0</v>
      </c>
      <c r="U102" s="82">
        <f t="shared" si="41"/>
        <v>0</v>
      </c>
      <c r="V102" s="82">
        <f t="shared" si="42"/>
        <v>0</v>
      </c>
      <c r="W102" s="83">
        <v>0</v>
      </c>
      <c r="X102" s="83">
        <v>0</v>
      </c>
      <c r="Y102" s="83">
        <v>0</v>
      </c>
      <c r="Z102" s="84">
        <f>ROUND((IF(($O102&lt;=700000),0,IF(((VLOOKUP($M102,'Loyalty - Effec - 15July'!$B$5:$C$17,2,0)*$O102)&lt;=120000),(VLOOKUP($M102,'Loyalty - Effec - 15July'!$B$5:$C$17,2,0)*$O102),120000))),0)</f>
        <v>0</v>
      </c>
      <c r="AA102" s="84">
        <f>ROUND(VLOOKUP($M102,'Loyalty - Effec - 15July'!$B$5:$D$17,3,0)*$O102,0)</f>
        <v>0</v>
      </c>
      <c r="AB102" s="85">
        <f t="shared" si="43"/>
        <v>0</v>
      </c>
      <c r="AC102" s="86">
        <f t="shared" si="44"/>
        <v>0</v>
      </c>
      <c r="AD102" s="87">
        <f t="shared" si="45"/>
        <v>0</v>
      </c>
      <c r="AE102" s="88">
        <f t="shared" si="46"/>
        <v>0</v>
      </c>
      <c r="AF102" s="88">
        <f t="shared" si="47"/>
        <v>0</v>
      </c>
      <c r="AG102" s="49" t="s">
        <v>109</v>
      </c>
      <c r="AH102" s="49" t="s">
        <v>918</v>
      </c>
      <c r="AI102" s="50"/>
      <c r="AJ102" s="46"/>
      <c r="AK102" s="46"/>
      <c r="AL102" s="46"/>
      <c r="AM102" s="51">
        <f>IF($AL102=4,VLOOKUP($AR102,'Loyalty Incentive v1'!$L$3:$Q$15,2,FALSE),
IF($AL102=3,VLOOKUP($AR102,'Loyalty Incentive v1'!$L$3:$Q$15,3,FALSE),
IF($AL102=2,VLOOKUP($AR102,'Loyalty Incentive v1'!$L$3:$Q$15,4,FALSE),
IF($AL102=1,VLOOKUP($AR102,'Loyalty Incentive v1'!$L$3:$Q$15,5,FALSE),
IF($AL102=0,VLOOKUP($AR102,'Loyalty Incentive v1'!$L$3:$Q$15,6,FALSE),0)))))</f>
        <v>0</v>
      </c>
      <c r="AN102" s="51">
        <f>IFERROR(IF(I102&gt;="1",AM102,VLOOKUP(VALUE(I102),'Loyalty - Effec - 15July'!$I$5:$J$16,2,0)*AM102),0)</f>
        <v>0</v>
      </c>
      <c r="AO102" s="51">
        <v>0</v>
      </c>
      <c r="AP102" s="51">
        <f t="shared" si="48"/>
        <v>0</v>
      </c>
      <c r="AQ102" s="46" t="str">
        <f t="shared" si="49"/>
        <v>No</v>
      </c>
      <c r="AR102" s="46" t="str">
        <f t="shared" si="50"/>
        <v>AE5</v>
      </c>
      <c r="AS102" s="46" t="b">
        <f t="shared" si="51"/>
        <v>1</v>
      </c>
      <c r="AT102" s="82">
        <f t="shared" si="52"/>
        <v>0</v>
      </c>
      <c r="AU102" s="82">
        <f t="shared" si="53"/>
        <v>0</v>
      </c>
      <c r="AV102" s="82">
        <f t="shared" si="54"/>
        <v>0</v>
      </c>
      <c r="AW102" s="82">
        <f t="shared" si="55"/>
        <v>0</v>
      </c>
      <c r="AX102" s="85"/>
      <c r="AY102" s="82">
        <f t="shared" si="56"/>
        <v>0</v>
      </c>
      <c r="AZ102" s="82">
        <f t="shared" si="57"/>
        <v>0</v>
      </c>
      <c r="BA102" s="82">
        <f t="shared" si="58"/>
        <v>0</v>
      </c>
      <c r="BB102" s="83">
        <v>0</v>
      </c>
      <c r="BC102" s="83">
        <v>0</v>
      </c>
      <c r="BD102" s="83">
        <v>0</v>
      </c>
      <c r="BE102" s="84">
        <f>ROUND((IF(($AT102&lt;=700000),0,IF(((VLOOKUP($AR102,'Loyalty - Effec - 15July'!$B$5:$C$17,2,0)*$AT102)&lt;=120000),(VLOOKUP($AR102,'Loyalty - Effec - 15July'!$B$5:$C$17,2,0)*$AT102),120000))),0)</f>
        <v>0</v>
      </c>
      <c r="BF102" s="84">
        <f>ROUND(VLOOKUP($AR102,'Loyalty - Effec - 15July'!$B$5:$D$17,3,0)*$AT102,0)</f>
        <v>0</v>
      </c>
      <c r="BG102" s="85">
        <f t="shared" si="59"/>
        <v>0</v>
      </c>
      <c r="BH102" s="81">
        <f t="shared" si="60"/>
        <v>0</v>
      </c>
      <c r="BI102" s="85">
        <f t="shared" si="61"/>
        <v>0</v>
      </c>
      <c r="BJ102" s="85">
        <f t="shared" si="62"/>
        <v>0</v>
      </c>
      <c r="BK102" s="85">
        <f t="shared" si="63"/>
        <v>0</v>
      </c>
      <c r="BL102" s="85">
        <f t="shared" si="64"/>
        <v>0</v>
      </c>
      <c r="BM102" s="85">
        <f t="shared" si="65"/>
        <v>0</v>
      </c>
      <c r="BN102" s="85">
        <f t="shared" si="66"/>
        <v>0</v>
      </c>
      <c r="BO102" s="52" t="s">
        <v>85</v>
      </c>
      <c r="BP102" s="46">
        <v>0</v>
      </c>
      <c r="BQ102" s="46"/>
      <c r="BR102" s="47">
        <f t="shared" si="69"/>
        <v>0</v>
      </c>
      <c r="BU102" s="47">
        <f t="shared" si="68"/>
        <v>0</v>
      </c>
      <c r="BV102" s="53" t="s">
        <v>292</v>
      </c>
      <c r="BW102" s="53" t="s">
        <v>932</v>
      </c>
      <c r="BX102" s="53" t="s">
        <v>293</v>
      </c>
      <c r="BY102" s="53"/>
      <c r="BZ102" s="53"/>
    </row>
    <row r="103" spans="1:79">
      <c r="A103" s="42" t="s">
        <v>235</v>
      </c>
      <c r="B103" s="28" t="s">
        <v>79</v>
      </c>
      <c r="C103" s="28" t="s">
        <v>80</v>
      </c>
      <c r="D103" s="28" t="s">
        <v>932</v>
      </c>
      <c r="E103" s="43" t="s">
        <v>82</v>
      </c>
      <c r="F103" s="28" t="s">
        <v>902</v>
      </c>
      <c r="G103" s="44" t="s">
        <v>236</v>
      </c>
      <c r="H103" s="45">
        <v>44426</v>
      </c>
      <c r="I103" s="46" t="s">
        <v>986</v>
      </c>
      <c r="J103" s="28">
        <v>0</v>
      </c>
      <c r="K103" s="28" t="s">
        <v>413</v>
      </c>
      <c r="L103" s="28" t="s">
        <v>880</v>
      </c>
      <c r="M103" s="28" t="s">
        <v>1</v>
      </c>
      <c r="N103" s="28" t="str">
        <f t="shared" si="36"/>
        <v>AE3</v>
      </c>
      <c r="O103" s="81"/>
      <c r="P103" s="81">
        <f t="shared" si="37"/>
        <v>0</v>
      </c>
      <c r="Q103" s="81">
        <f t="shared" si="38"/>
        <v>0</v>
      </c>
      <c r="R103" s="81">
        <f t="shared" si="39"/>
        <v>0</v>
      </c>
      <c r="S103" s="81"/>
      <c r="T103" s="82">
        <f t="shared" si="40"/>
        <v>0</v>
      </c>
      <c r="U103" s="82">
        <f t="shared" si="41"/>
        <v>0</v>
      </c>
      <c r="V103" s="82">
        <f t="shared" si="42"/>
        <v>0</v>
      </c>
      <c r="W103" s="83">
        <v>0</v>
      </c>
      <c r="X103" s="83">
        <v>0</v>
      </c>
      <c r="Y103" s="83">
        <v>0</v>
      </c>
      <c r="Z103" s="84">
        <f>ROUND((IF(($O103&lt;=700000),0,IF(((VLOOKUP($M103,'Loyalty - Effec - 15July'!$B$5:$C$17,2,0)*$O103)&lt;=120000),(VLOOKUP($M103,'Loyalty - Effec - 15July'!$B$5:$C$17,2,0)*$O103),120000))),0)</f>
        <v>0</v>
      </c>
      <c r="AA103" s="84">
        <f>ROUND(VLOOKUP($M103,'Loyalty - Effec - 15July'!$B$5:$D$17,3,0)*$O103,0)</f>
        <v>0</v>
      </c>
      <c r="AB103" s="85">
        <f t="shared" si="43"/>
        <v>0</v>
      </c>
      <c r="AC103" s="86">
        <f t="shared" si="44"/>
        <v>0</v>
      </c>
      <c r="AD103" s="87">
        <f t="shared" si="45"/>
        <v>0</v>
      </c>
      <c r="AE103" s="88">
        <f t="shared" si="46"/>
        <v>0</v>
      </c>
      <c r="AF103" s="88">
        <f t="shared" si="47"/>
        <v>0</v>
      </c>
      <c r="AG103" s="49" t="s">
        <v>174</v>
      </c>
      <c r="AH103" s="49" t="s">
        <v>120</v>
      </c>
      <c r="AI103" s="50"/>
      <c r="AJ103" s="46"/>
      <c r="AK103" s="46"/>
      <c r="AL103" s="46"/>
      <c r="AM103" s="51">
        <f>IF($AL103=4,VLOOKUP($AR103,'Loyalty Incentive v1'!$L$3:$Q$15,2,FALSE),
IF($AL103=3,VLOOKUP($AR103,'Loyalty Incentive v1'!$L$3:$Q$15,3,FALSE),
IF($AL103=2,VLOOKUP($AR103,'Loyalty Incentive v1'!$L$3:$Q$15,4,FALSE),
IF($AL103=1,VLOOKUP($AR103,'Loyalty Incentive v1'!$L$3:$Q$15,5,FALSE),
IF($AL103=0,VLOOKUP($AR103,'Loyalty Incentive v1'!$L$3:$Q$15,6,FALSE),0)))))</f>
        <v>0</v>
      </c>
      <c r="AN103" s="51">
        <f>IFERROR(IF(I103&gt;="1",AM103,VLOOKUP(VALUE(I103),'Loyalty - Effec - 15July'!$I$5:$J$16,2,0)*AM103),0)</f>
        <v>0</v>
      </c>
      <c r="AO103" s="51">
        <v>0</v>
      </c>
      <c r="AP103" s="51">
        <f t="shared" si="48"/>
        <v>0</v>
      </c>
      <c r="AQ103" s="46" t="str">
        <f t="shared" si="49"/>
        <v>No</v>
      </c>
      <c r="AR103" s="46" t="str">
        <f t="shared" si="50"/>
        <v>AE3</v>
      </c>
      <c r="AS103" s="46" t="b">
        <f t="shared" si="51"/>
        <v>1</v>
      </c>
      <c r="AT103" s="82">
        <f t="shared" si="52"/>
        <v>0</v>
      </c>
      <c r="AU103" s="82">
        <f t="shared" si="53"/>
        <v>0</v>
      </c>
      <c r="AV103" s="82">
        <f t="shared" si="54"/>
        <v>0</v>
      </c>
      <c r="AW103" s="82">
        <f t="shared" si="55"/>
        <v>0</v>
      </c>
      <c r="AX103" s="85"/>
      <c r="AY103" s="82">
        <f t="shared" si="56"/>
        <v>0</v>
      </c>
      <c r="AZ103" s="82">
        <f t="shared" si="57"/>
        <v>0</v>
      </c>
      <c r="BA103" s="82">
        <f t="shared" si="58"/>
        <v>0</v>
      </c>
      <c r="BB103" s="83">
        <v>0</v>
      </c>
      <c r="BC103" s="83">
        <v>0</v>
      </c>
      <c r="BD103" s="83">
        <v>0</v>
      </c>
      <c r="BE103" s="84">
        <f>ROUND((IF(($AT103&lt;=700000),0,IF(((VLOOKUP($AR103,'Loyalty - Effec - 15July'!$B$5:$C$17,2,0)*$AT103)&lt;=120000),(VLOOKUP($AR103,'Loyalty - Effec - 15July'!$B$5:$C$17,2,0)*$AT103),120000))),0)</f>
        <v>0</v>
      </c>
      <c r="BF103" s="84">
        <f>ROUND(VLOOKUP($AR103,'Loyalty - Effec - 15July'!$B$5:$D$17,3,0)*$AT103,0)</f>
        <v>0</v>
      </c>
      <c r="BG103" s="85">
        <f t="shared" si="59"/>
        <v>0</v>
      </c>
      <c r="BH103" s="81">
        <f t="shared" si="60"/>
        <v>0</v>
      </c>
      <c r="BI103" s="85">
        <f t="shared" si="61"/>
        <v>0</v>
      </c>
      <c r="BJ103" s="85">
        <f t="shared" si="62"/>
        <v>0</v>
      </c>
      <c r="BK103" s="85">
        <f t="shared" si="63"/>
        <v>0</v>
      </c>
      <c r="BL103" s="85">
        <f t="shared" si="64"/>
        <v>0</v>
      </c>
      <c r="BM103" s="85">
        <f t="shared" si="65"/>
        <v>0</v>
      </c>
      <c r="BN103" s="85">
        <f t="shared" si="66"/>
        <v>0</v>
      </c>
      <c r="BO103" s="52" t="s">
        <v>85</v>
      </c>
      <c r="BP103" s="46">
        <v>0</v>
      </c>
      <c r="BQ103" s="46"/>
      <c r="BR103" s="47">
        <f t="shared" si="69"/>
        <v>0</v>
      </c>
      <c r="BU103" s="47">
        <f t="shared" si="68"/>
        <v>0</v>
      </c>
      <c r="BV103" s="53" t="s">
        <v>235</v>
      </c>
      <c r="BW103" s="53" t="s">
        <v>932</v>
      </c>
      <c r="BX103" s="53" t="s">
        <v>236</v>
      </c>
      <c r="BY103" s="53"/>
      <c r="BZ103" s="53"/>
    </row>
    <row r="104" spans="1:79">
      <c r="A104" s="42" t="s">
        <v>294</v>
      </c>
      <c r="B104" s="28" t="s">
        <v>79</v>
      </c>
      <c r="C104" s="28" t="s">
        <v>80</v>
      </c>
      <c r="D104" s="28" t="s">
        <v>932</v>
      </c>
      <c r="E104" s="43" t="s">
        <v>82</v>
      </c>
      <c r="F104" s="28" t="s">
        <v>902</v>
      </c>
      <c r="G104" s="44" t="s">
        <v>295</v>
      </c>
      <c r="H104" s="45">
        <v>44440</v>
      </c>
      <c r="I104" s="46" t="s">
        <v>986</v>
      </c>
      <c r="J104" s="28">
        <v>0</v>
      </c>
      <c r="K104" s="28" t="s">
        <v>417</v>
      </c>
      <c r="L104" s="28" t="s">
        <v>872</v>
      </c>
      <c r="M104" s="28" t="s">
        <v>0</v>
      </c>
      <c r="N104" s="28" t="str">
        <f t="shared" si="36"/>
        <v>AE2</v>
      </c>
      <c r="O104" s="81"/>
      <c r="P104" s="81">
        <f t="shared" si="37"/>
        <v>0</v>
      </c>
      <c r="Q104" s="81">
        <f t="shared" si="38"/>
        <v>0</v>
      </c>
      <c r="R104" s="81">
        <f t="shared" si="39"/>
        <v>0</v>
      </c>
      <c r="S104" s="81"/>
      <c r="T104" s="82">
        <f t="shared" si="40"/>
        <v>0</v>
      </c>
      <c r="U104" s="82">
        <f t="shared" si="41"/>
        <v>0</v>
      </c>
      <c r="V104" s="82">
        <f t="shared" si="42"/>
        <v>0</v>
      </c>
      <c r="W104" s="83">
        <v>0</v>
      </c>
      <c r="X104" s="83">
        <v>0</v>
      </c>
      <c r="Y104" s="83">
        <v>0</v>
      </c>
      <c r="Z104" s="84">
        <f>ROUND((IF(($O104&lt;=700000),0,IF(((VLOOKUP($M104,'Loyalty - Effec - 15July'!$B$5:$C$17,2,0)*$O104)&lt;=120000),(VLOOKUP($M104,'Loyalty - Effec - 15July'!$B$5:$C$17,2,0)*$O104),120000))),0)</f>
        <v>0</v>
      </c>
      <c r="AA104" s="84">
        <f>ROUND(VLOOKUP($M104,'Loyalty - Effec - 15July'!$B$5:$D$17,3,0)*$O104,0)</f>
        <v>0</v>
      </c>
      <c r="AB104" s="85">
        <f t="shared" si="43"/>
        <v>0</v>
      </c>
      <c r="AC104" s="86">
        <f t="shared" si="44"/>
        <v>0</v>
      </c>
      <c r="AD104" s="87">
        <f t="shared" si="45"/>
        <v>0</v>
      </c>
      <c r="AE104" s="88">
        <f t="shared" si="46"/>
        <v>0</v>
      </c>
      <c r="AF104" s="88">
        <f t="shared" si="47"/>
        <v>0</v>
      </c>
      <c r="AG104" s="49" t="s">
        <v>144</v>
      </c>
      <c r="AH104" s="49" t="s">
        <v>126</v>
      </c>
      <c r="AI104" s="50"/>
      <c r="AJ104" s="46"/>
      <c r="AK104" s="46"/>
      <c r="AL104" s="46"/>
      <c r="AM104" s="51">
        <f>IF($AL104=4,VLOOKUP($AR104,'Loyalty Incentive v1'!$L$3:$Q$15,2,FALSE),
IF($AL104=3,VLOOKUP($AR104,'Loyalty Incentive v1'!$L$3:$Q$15,3,FALSE),
IF($AL104=2,VLOOKUP($AR104,'Loyalty Incentive v1'!$L$3:$Q$15,4,FALSE),
IF($AL104=1,VLOOKUP($AR104,'Loyalty Incentive v1'!$L$3:$Q$15,5,FALSE),
IF($AL104=0,VLOOKUP($AR104,'Loyalty Incentive v1'!$L$3:$Q$15,6,FALSE),0)))))</f>
        <v>0</v>
      </c>
      <c r="AN104" s="51">
        <f>IFERROR(IF(I104&gt;="1",AM104,VLOOKUP(VALUE(I104),'Loyalty - Effec - 15July'!$I$5:$J$16,2,0)*AM104),0)</f>
        <v>0</v>
      </c>
      <c r="AO104" s="51">
        <v>0</v>
      </c>
      <c r="AP104" s="51">
        <f t="shared" si="48"/>
        <v>0</v>
      </c>
      <c r="AQ104" s="46" t="str">
        <f t="shared" si="49"/>
        <v>No</v>
      </c>
      <c r="AR104" s="46" t="str">
        <f t="shared" si="50"/>
        <v>AE2</v>
      </c>
      <c r="AS104" s="46" t="b">
        <f t="shared" si="51"/>
        <v>1</v>
      </c>
      <c r="AT104" s="82">
        <f t="shared" si="52"/>
        <v>0</v>
      </c>
      <c r="AU104" s="82">
        <f t="shared" si="53"/>
        <v>0</v>
      </c>
      <c r="AV104" s="82">
        <f t="shared" si="54"/>
        <v>0</v>
      </c>
      <c r="AW104" s="82">
        <f t="shared" si="55"/>
        <v>0</v>
      </c>
      <c r="AX104" s="85"/>
      <c r="AY104" s="82">
        <f t="shared" si="56"/>
        <v>0</v>
      </c>
      <c r="AZ104" s="82">
        <f t="shared" si="57"/>
        <v>0</v>
      </c>
      <c r="BA104" s="82">
        <f t="shared" si="58"/>
        <v>0</v>
      </c>
      <c r="BB104" s="83">
        <v>0</v>
      </c>
      <c r="BC104" s="83">
        <v>0</v>
      </c>
      <c r="BD104" s="83">
        <v>0</v>
      </c>
      <c r="BE104" s="84">
        <f>ROUND((IF(($AT104&lt;=700000),0,IF(((VLOOKUP($AR104,'Loyalty - Effec - 15July'!$B$5:$C$17,2,0)*$AT104)&lt;=120000),(VLOOKUP($AR104,'Loyalty - Effec - 15July'!$B$5:$C$17,2,0)*$AT104),120000))),0)</f>
        <v>0</v>
      </c>
      <c r="BF104" s="84">
        <f>ROUND(VLOOKUP($AR104,'Loyalty - Effec - 15July'!$B$5:$D$17,3,0)*$AT104,0)</f>
        <v>0</v>
      </c>
      <c r="BG104" s="85">
        <f t="shared" si="59"/>
        <v>0</v>
      </c>
      <c r="BH104" s="81">
        <f t="shared" si="60"/>
        <v>0</v>
      </c>
      <c r="BI104" s="85">
        <f t="shared" si="61"/>
        <v>0</v>
      </c>
      <c r="BJ104" s="85">
        <f t="shared" si="62"/>
        <v>0</v>
      </c>
      <c r="BK104" s="85">
        <f t="shared" si="63"/>
        <v>0</v>
      </c>
      <c r="BL104" s="85">
        <f t="shared" si="64"/>
        <v>0</v>
      </c>
      <c r="BM104" s="85">
        <f t="shared" si="65"/>
        <v>0</v>
      </c>
      <c r="BN104" s="85">
        <f t="shared" si="66"/>
        <v>0</v>
      </c>
      <c r="BO104" s="52" t="s">
        <v>85</v>
      </c>
      <c r="BP104" s="46"/>
      <c r="BQ104" s="46"/>
      <c r="BR104" s="47">
        <f t="shared" si="69"/>
        <v>0</v>
      </c>
      <c r="BU104" s="47">
        <f t="shared" si="68"/>
        <v>0</v>
      </c>
      <c r="BV104" s="53" t="s">
        <v>294</v>
      </c>
      <c r="BW104" s="53" t="s">
        <v>932</v>
      </c>
      <c r="BX104" s="53" t="s">
        <v>295</v>
      </c>
      <c r="BY104" s="53"/>
      <c r="BZ104" s="53"/>
    </row>
    <row r="105" spans="1:79">
      <c r="A105" s="42" t="s">
        <v>296</v>
      </c>
      <c r="B105" s="28" t="s">
        <v>79</v>
      </c>
      <c r="C105" s="28" t="s">
        <v>80</v>
      </c>
      <c r="D105" s="28" t="s">
        <v>932</v>
      </c>
      <c r="E105" s="43" t="s">
        <v>82</v>
      </c>
      <c r="F105" s="28" t="s">
        <v>902</v>
      </c>
      <c r="G105" s="44" t="s">
        <v>297</v>
      </c>
      <c r="H105" s="45">
        <v>44440</v>
      </c>
      <c r="I105" s="46" t="s">
        <v>986</v>
      </c>
      <c r="J105" s="28">
        <v>0</v>
      </c>
      <c r="K105" s="28" t="s">
        <v>417</v>
      </c>
      <c r="L105" s="28" t="s">
        <v>872</v>
      </c>
      <c r="M105" s="28" t="s">
        <v>0</v>
      </c>
      <c r="N105" s="28" t="str">
        <f t="shared" si="36"/>
        <v>AE2</v>
      </c>
      <c r="O105" s="81"/>
      <c r="P105" s="81">
        <f t="shared" si="37"/>
        <v>0</v>
      </c>
      <c r="Q105" s="81">
        <f t="shared" si="38"/>
        <v>0</v>
      </c>
      <c r="R105" s="81">
        <f t="shared" si="39"/>
        <v>0</v>
      </c>
      <c r="S105" s="81"/>
      <c r="T105" s="82">
        <f t="shared" si="40"/>
        <v>0</v>
      </c>
      <c r="U105" s="82">
        <f t="shared" si="41"/>
        <v>0</v>
      </c>
      <c r="V105" s="82">
        <f t="shared" si="42"/>
        <v>0</v>
      </c>
      <c r="W105" s="83">
        <v>0</v>
      </c>
      <c r="X105" s="83">
        <v>0</v>
      </c>
      <c r="Y105" s="83">
        <v>0</v>
      </c>
      <c r="Z105" s="84">
        <f>ROUND((IF(($O105&lt;=700000),0,IF(((VLOOKUP($M105,'Loyalty - Effec - 15July'!$B$5:$C$17,2,0)*$O105)&lt;=120000),(VLOOKUP($M105,'Loyalty - Effec - 15July'!$B$5:$C$17,2,0)*$O105),120000))),0)</f>
        <v>0</v>
      </c>
      <c r="AA105" s="84">
        <f>ROUND(VLOOKUP($M105,'Loyalty - Effec - 15July'!$B$5:$D$17,3,0)*$O105,0)</f>
        <v>0</v>
      </c>
      <c r="AB105" s="85">
        <f t="shared" si="43"/>
        <v>0</v>
      </c>
      <c r="AC105" s="86">
        <f t="shared" si="44"/>
        <v>0</v>
      </c>
      <c r="AD105" s="87">
        <f t="shared" si="45"/>
        <v>0</v>
      </c>
      <c r="AE105" s="88">
        <f t="shared" si="46"/>
        <v>0</v>
      </c>
      <c r="AF105" s="88">
        <f t="shared" si="47"/>
        <v>0</v>
      </c>
      <c r="AG105" s="49" t="s">
        <v>142</v>
      </c>
      <c r="AH105" s="49" t="s">
        <v>911</v>
      </c>
      <c r="AI105" s="50"/>
      <c r="AJ105" s="46"/>
      <c r="AK105" s="46"/>
      <c r="AL105" s="46"/>
      <c r="AM105" s="51">
        <f>IF($AL105=4,VLOOKUP($AR105,'Loyalty Incentive v1'!$L$3:$Q$15,2,FALSE),
IF($AL105=3,VLOOKUP($AR105,'Loyalty Incentive v1'!$L$3:$Q$15,3,FALSE),
IF($AL105=2,VLOOKUP($AR105,'Loyalty Incentive v1'!$L$3:$Q$15,4,FALSE),
IF($AL105=1,VLOOKUP($AR105,'Loyalty Incentive v1'!$L$3:$Q$15,5,FALSE),
IF($AL105=0,VLOOKUP($AR105,'Loyalty Incentive v1'!$L$3:$Q$15,6,FALSE),0)))))</f>
        <v>0</v>
      </c>
      <c r="AN105" s="51">
        <f>IFERROR(IF(I105&gt;="1",AM105,VLOOKUP(VALUE(I105),'Loyalty - Effec - 15July'!$I$5:$J$16,2,0)*AM105),0)</f>
        <v>0</v>
      </c>
      <c r="AO105" s="51">
        <v>0</v>
      </c>
      <c r="AP105" s="51">
        <f t="shared" si="48"/>
        <v>0</v>
      </c>
      <c r="AQ105" s="46" t="str">
        <f t="shared" si="49"/>
        <v>No</v>
      </c>
      <c r="AR105" s="46" t="str">
        <f t="shared" si="50"/>
        <v>AE2</v>
      </c>
      <c r="AS105" s="46" t="b">
        <f t="shared" si="51"/>
        <v>1</v>
      </c>
      <c r="AT105" s="82">
        <f t="shared" si="52"/>
        <v>0</v>
      </c>
      <c r="AU105" s="82">
        <f t="shared" si="53"/>
        <v>0</v>
      </c>
      <c r="AV105" s="82">
        <f t="shared" si="54"/>
        <v>0</v>
      </c>
      <c r="AW105" s="82">
        <f t="shared" si="55"/>
        <v>0</v>
      </c>
      <c r="AX105" s="85"/>
      <c r="AY105" s="82">
        <f t="shared" si="56"/>
        <v>0</v>
      </c>
      <c r="AZ105" s="82">
        <f t="shared" si="57"/>
        <v>0</v>
      </c>
      <c r="BA105" s="82">
        <f t="shared" si="58"/>
        <v>0</v>
      </c>
      <c r="BB105" s="83">
        <v>0</v>
      </c>
      <c r="BC105" s="83">
        <v>0</v>
      </c>
      <c r="BD105" s="83">
        <v>0</v>
      </c>
      <c r="BE105" s="84">
        <f>ROUND((IF(($AT105&lt;=700000),0,IF(((VLOOKUP($AR105,'Loyalty - Effec - 15July'!$B$5:$C$17,2,0)*$AT105)&lt;=120000),(VLOOKUP($AR105,'Loyalty - Effec - 15July'!$B$5:$C$17,2,0)*$AT105),120000))),0)</f>
        <v>0</v>
      </c>
      <c r="BF105" s="84">
        <f>ROUND(VLOOKUP($AR105,'Loyalty - Effec - 15July'!$B$5:$D$17,3,0)*$AT105,0)</f>
        <v>0</v>
      </c>
      <c r="BG105" s="85">
        <f t="shared" si="59"/>
        <v>0</v>
      </c>
      <c r="BH105" s="81">
        <f t="shared" si="60"/>
        <v>0</v>
      </c>
      <c r="BI105" s="85">
        <f t="shared" si="61"/>
        <v>0</v>
      </c>
      <c r="BJ105" s="85">
        <f t="shared" si="62"/>
        <v>0</v>
      </c>
      <c r="BK105" s="85">
        <f t="shared" si="63"/>
        <v>0</v>
      </c>
      <c r="BL105" s="85">
        <f t="shared" si="64"/>
        <v>0</v>
      </c>
      <c r="BM105" s="85">
        <f t="shared" si="65"/>
        <v>0</v>
      </c>
      <c r="BN105" s="85">
        <f t="shared" si="66"/>
        <v>0</v>
      </c>
      <c r="BO105" s="52" t="s">
        <v>85</v>
      </c>
      <c r="BP105" s="46"/>
      <c r="BQ105" s="46"/>
      <c r="BR105" s="47">
        <f t="shared" si="69"/>
        <v>0</v>
      </c>
      <c r="BU105" s="47">
        <f t="shared" si="68"/>
        <v>0</v>
      </c>
      <c r="BV105" s="53" t="s">
        <v>296</v>
      </c>
      <c r="BW105" s="53" t="s">
        <v>932</v>
      </c>
      <c r="BX105" s="53" t="s">
        <v>297</v>
      </c>
      <c r="BY105" s="53"/>
      <c r="BZ105" s="53"/>
    </row>
    <row r="106" spans="1:79">
      <c r="A106" s="42" t="s">
        <v>171</v>
      </c>
      <c r="B106" s="28" t="s">
        <v>79</v>
      </c>
      <c r="C106" s="28" t="s">
        <v>80</v>
      </c>
      <c r="D106" s="28" t="s">
        <v>932</v>
      </c>
      <c r="E106" s="43" t="s">
        <v>82</v>
      </c>
      <c r="F106" s="28" t="s">
        <v>902</v>
      </c>
      <c r="G106" s="44" t="s">
        <v>172</v>
      </c>
      <c r="H106" s="45">
        <v>44448</v>
      </c>
      <c r="I106" s="46" t="s">
        <v>987</v>
      </c>
      <c r="J106" s="28">
        <v>4.3</v>
      </c>
      <c r="K106" s="28" t="s">
        <v>93</v>
      </c>
      <c r="L106" s="28" t="s">
        <v>873</v>
      </c>
      <c r="M106" s="28" t="s">
        <v>1</v>
      </c>
      <c r="N106" s="28" t="str">
        <f t="shared" si="36"/>
        <v>AE3</v>
      </c>
      <c r="O106" s="81"/>
      <c r="P106" s="81">
        <f t="shared" si="37"/>
        <v>0</v>
      </c>
      <c r="Q106" s="81">
        <f t="shared" si="38"/>
        <v>0</v>
      </c>
      <c r="R106" s="81">
        <f t="shared" si="39"/>
        <v>0</v>
      </c>
      <c r="S106" s="81"/>
      <c r="T106" s="82">
        <f t="shared" si="40"/>
        <v>0</v>
      </c>
      <c r="U106" s="82">
        <f t="shared" si="41"/>
        <v>0</v>
      </c>
      <c r="V106" s="82">
        <f t="shared" si="42"/>
        <v>0</v>
      </c>
      <c r="W106" s="83">
        <v>0</v>
      </c>
      <c r="X106" s="83">
        <v>0</v>
      </c>
      <c r="Y106" s="83">
        <v>0</v>
      </c>
      <c r="Z106" s="84">
        <f>ROUND((IF(($O106&lt;=700000),0,IF(((VLOOKUP($M106,'Loyalty - Effec - 15July'!$B$5:$C$17,2,0)*$O106)&lt;=120000),(VLOOKUP($M106,'Loyalty - Effec - 15July'!$B$5:$C$17,2,0)*$O106),120000))),0)</f>
        <v>0</v>
      </c>
      <c r="AA106" s="84">
        <f>ROUND(VLOOKUP($M106,'Loyalty - Effec - 15July'!$B$5:$D$17,3,0)*$O106,0)</f>
        <v>0</v>
      </c>
      <c r="AB106" s="85">
        <f t="shared" si="43"/>
        <v>0</v>
      </c>
      <c r="AC106" s="86">
        <f t="shared" si="44"/>
        <v>0</v>
      </c>
      <c r="AD106" s="87">
        <f t="shared" si="45"/>
        <v>0</v>
      </c>
      <c r="AE106" s="88">
        <f t="shared" si="46"/>
        <v>0</v>
      </c>
      <c r="AF106" s="88">
        <f t="shared" si="47"/>
        <v>0</v>
      </c>
      <c r="AG106" s="49" t="s">
        <v>206</v>
      </c>
      <c r="AH106" s="49" t="s">
        <v>126</v>
      </c>
      <c r="AI106" s="50"/>
      <c r="AJ106" s="46"/>
      <c r="AK106" s="46"/>
      <c r="AL106" s="46"/>
      <c r="AM106" s="51">
        <f>IF($AL106=4,VLOOKUP($AR106,'Loyalty Incentive v1'!$L$3:$Q$15,2,FALSE),
IF($AL106=3,VLOOKUP($AR106,'Loyalty Incentive v1'!$L$3:$Q$15,3,FALSE),
IF($AL106=2,VLOOKUP($AR106,'Loyalty Incentive v1'!$L$3:$Q$15,4,FALSE),
IF($AL106=1,VLOOKUP($AR106,'Loyalty Incentive v1'!$L$3:$Q$15,5,FALSE),
IF($AL106=0,VLOOKUP($AR106,'Loyalty Incentive v1'!$L$3:$Q$15,6,FALSE),0)))))</f>
        <v>0</v>
      </c>
      <c r="AN106" s="51">
        <f>IFERROR(IF(I106&gt;="1",AM106,VLOOKUP(VALUE(I106),'Loyalty - Effec - 15July'!$I$5:$J$16,2,0)*AM106),0)</f>
        <v>0</v>
      </c>
      <c r="AO106" s="51">
        <v>0</v>
      </c>
      <c r="AP106" s="51">
        <f t="shared" si="48"/>
        <v>0</v>
      </c>
      <c r="AQ106" s="46" t="str">
        <f t="shared" si="49"/>
        <v>No</v>
      </c>
      <c r="AR106" s="46" t="str">
        <f t="shared" si="50"/>
        <v>AE3</v>
      </c>
      <c r="AS106" s="46" t="b">
        <f t="shared" si="51"/>
        <v>1</v>
      </c>
      <c r="AT106" s="82">
        <f t="shared" si="52"/>
        <v>0</v>
      </c>
      <c r="AU106" s="82">
        <f t="shared" si="53"/>
        <v>0</v>
      </c>
      <c r="AV106" s="82">
        <f t="shared" si="54"/>
        <v>0</v>
      </c>
      <c r="AW106" s="82">
        <f t="shared" si="55"/>
        <v>0</v>
      </c>
      <c r="AX106" s="85"/>
      <c r="AY106" s="82">
        <f t="shared" si="56"/>
        <v>0</v>
      </c>
      <c r="AZ106" s="82">
        <f t="shared" si="57"/>
        <v>0</v>
      </c>
      <c r="BA106" s="82">
        <f t="shared" si="58"/>
        <v>0</v>
      </c>
      <c r="BB106" s="83">
        <v>0</v>
      </c>
      <c r="BC106" s="83">
        <v>0</v>
      </c>
      <c r="BD106" s="83">
        <v>0</v>
      </c>
      <c r="BE106" s="84">
        <f>ROUND((IF(($AT106&lt;=700000),0,IF(((VLOOKUP($AR106,'Loyalty - Effec - 15July'!$B$5:$C$17,2,0)*$AT106)&lt;=120000),(VLOOKUP($AR106,'Loyalty - Effec - 15July'!$B$5:$C$17,2,0)*$AT106),120000))),0)</f>
        <v>0</v>
      </c>
      <c r="BF106" s="84">
        <f>ROUND(VLOOKUP($AR106,'Loyalty - Effec - 15July'!$B$5:$D$17,3,0)*$AT106,0)</f>
        <v>0</v>
      </c>
      <c r="BG106" s="85">
        <f t="shared" si="59"/>
        <v>0</v>
      </c>
      <c r="BH106" s="81">
        <f t="shared" si="60"/>
        <v>0</v>
      </c>
      <c r="BI106" s="85">
        <f t="shared" si="61"/>
        <v>0</v>
      </c>
      <c r="BJ106" s="85">
        <f t="shared" si="62"/>
        <v>0</v>
      </c>
      <c r="BK106" s="85">
        <f t="shared" si="63"/>
        <v>0</v>
      </c>
      <c r="BL106" s="85">
        <f t="shared" si="64"/>
        <v>0</v>
      </c>
      <c r="BM106" s="85">
        <f t="shared" si="65"/>
        <v>0</v>
      </c>
      <c r="BN106" s="85">
        <f t="shared" si="66"/>
        <v>0</v>
      </c>
      <c r="BO106" s="52" t="s">
        <v>85</v>
      </c>
      <c r="BP106" s="46"/>
      <c r="BQ106" s="46"/>
      <c r="BR106" s="47">
        <f t="shared" si="69"/>
        <v>0</v>
      </c>
      <c r="BU106" s="47">
        <f t="shared" si="68"/>
        <v>0</v>
      </c>
      <c r="BV106" s="53" t="s">
        <v>171</v>
      </c>
      <c r="BW106" s="53" t="s">
        <v>932</v>
      </c>
      <c r="BX106" s="53" t="s">
        <v>172</v>
      </c>
      <c r="BY106" s="53"/>
      <c r="BZ106" s="53"/>
    </row>
    <row r="107" spans="1:79">
      <c r="A107" s="42" t="s">
        <v>300</v>
      </c>
      <c r="B107" s="28" t="s">
        <v>79</v>
      </c>
      <c r="C107" s="28" t="s">
        <v>80</v>
      </c>
      <c r="D107" s="28" t="s">
        <v>932</v>
      </c>
      <c r="E107" s="43" t="s">
        <v>82</v>
      </c>
      <c r="F107" s="28" t="s">
        <v>901</v>
      </c>
      <c r="G107" s="44" t="s">
        <v>301</v>
      </c>
      <c r="H107" s="45">
        <v>44473</v>
      </c>
      <c r="I107" s="46" t="s">
        <v>988</v>
      </c>
      <c r="J107" s="28">
        <v>7.6</v>
      </c>
      <c r="K107" s="28" t="s">
        <v>418</v>
      </c>
      <c r="L107" s="28" t="s">
        <v>884</v>
      </c>
      <c r="M107" s="28" t="s">
        <v>5</v>
      </c>
      <c r="N107" s="28" t="str">
        <f t="shared" si="36"/>
        <v>E1</v>
      </c>
      <c r="O107" s="81"/>
      <c r="P107" s="81">
        <f t="shared" si="37"/>
        <v>0</v>
      </c>
      <c r="Q107" s="81">
        <f t="shared" si="38"/>
        <v>0</v>
      </c>
      <c r="R107" s="81">
        <f t="shared" si="39"/>
        <v>0</v>
      </c>
      <c r="S107" s="81"/>
      <c r="T107" s="82">
        <f t="shared" si="40"/>
        <v>0</v>
      </c>
      <c r="U107" s="82">
        <f t="shared" si="41"/>
        <v>0</v>
      </c>
      <c r="V107" s="82">
        <f t="shared" si="42"/>
        <v>0</v>
      </c>
      <c r="W107" s="83">
        <v>0</v>
      </c>
      <c r="X107" s="83">
        <v>0</v>
      </c>
      <c r="Y107" s="83">
        <v>0</v>
      </c>
      <c r="Z107" s="84">
        <f>ROUND((IF(($O107&lt;=700000),0,IF(((VLOOKUP($M107,'Loyalty - Effec - 15July'!$B$5:$C$17,2,0)*$O107)&lt;=120000),(VLOOKUP($M107,'Loyalty - Effec - 15July'!$B$5:$C$17,2,0)*$O107),120000))),0)</f>
        <v>0</v>
      </c>
      <c r="AA107" s="84">
        <f>ROUND(VLOOKUP($M107,'Loyalty - Effec - 15July'!$B$5:$D$17,3,0)*$O107,0)</f>
        <v>0</v>
      </c>
      <c r="AB107" s="85">
        <f t="shared" si="43"/>
        <v>0</v>
      </c>
      <c r="AC107" s="86">
        <f t="shared" si="44"/>
        <v>0</v>
      </c>
      <c r="AD107" s="87">
        <f t="shared" si="45"/>
        <v>0</v>
      </c>
      <c r="AE107" s="88">
        <f t="shared" si="46"/>
        <v>0</v>
      </c>
      <c r="AF107" s="88">
        <f t="shared" si="47"/>
        <v>0</v>
      </c>
      <c r="AG107" s="49" t="s">
        <v>381</v>
      </c>
      <c r="AH107" s="49" t="s">
        <v>904</v>
      </c>
      <c r="AI107" s="50"/>
      <c r="AJ107" s="46"/>
      <c r="AK107" s="46"/>
      <c r="AL107" s="46"/>
      <c r="AM107" s="51">
        <f>IF($AL107=4,VLOOKUP($AR107,'Loyalty Incentive v1'!$L$3:$Q$15,2,FALSE),
IF($AL107=3,VLOOKUP($AR107,'Loyalty Incentive v1'!$L$3:$Q$15,3,FALSE),
IF($AL107=2,VLOOKUP($AR107,'Loyalty Incentive v1'!$L$3:$Q$15,4,FALSE),
IF($AL107=1,VLOOKUP($AR107,'Loyalty Incentive v1'!$L$3:$Q$15,5,FALSE),
IF($AL107=0,VLOOKUP($AR107,'Loyalty Incentive v1'!$L$3:$Q$15,6,FALSE),0)))))</f>
        <v>0</v>
      </c>
      <c r="AN107" s="51">
        <f>IFERROR(IF(I107&gt;="1",AM107,VLOOKUP(VALUE(I107),'Loyalty - Effec - 15July'!$I$5:$J$16,2,0)*AM107),0)</f>
        <v>0</v>
      </c>
      <c r="AO107" s="51">
        <v>0</v>
      </c>
      <c r="AP107" s="51">
        <f t="shared" si="48"/>
        <v>0</v>
      </c>
      <c r="AQ107" s="46" t="str">
        <f t="shared" si="49"/>
        <v>No</v>
      </c>
      <c r="AR107" s="46" t="str">
        <f t="shared" si="50"/>
        <v>E1</v>
      </c>
      <c r="AS107" s="46" t="b">
        <f t="shared" si="51"/>
        <v>1</v>
      </c>
      <c r="AT107" s="82">
        <f t="shared" si="52"/>
        <v>0</v>
      </c>
      <c r="AU107" s="82">
        <f t="shared" si="53"/>
        <v>0</v>
      </c>
      <c r="AV107" s="82">
        <f t="shared" si="54"/>
        <v>0</v>
      </c>
      <c r="AW107" s="82">
        <f t="shared" si="55"/>
        <v>0</v>
      </c>
      <c r="AX107" s="85"/>
      <c r="AY107" s="82">
        <f t="shared" si="56"/>
        <v>0</v>
      </c>
      <c r="AZ107" s="82">
        <f t="shared" si="57"/>
        <v>0</v>
      </c>
      <c r="BA107" s="82">
        <f t="shared" si="58"/>
        <v>0</v>
      </c>
      <c r="BB107" s="83">
        <v>0</v>
      </c>
      <c r="BC107" s="83">
        <v>0</v>
      </c>
      <c r="BD107" s="83">
        <v>0</v>
      </c>
      <c r="BE107" s="84">
        <f>ROUND((IF(($AT107&lt;=700000),0,IF(((VLOOKUP($AR107,'Loyalty - Effec - 15July'!$B$5:$C$17,2,0)*$AT107)&lt;=120000),(VLOOKUP($AR107,'Loyalty - Effec - 15July'!$B$5:$C$17,2,0)*$AT107),120000))),0)</f>
        <v>0</v>
      </c>
      <c r="BF107" s="84">
        <f>ROUND(VLOOKUP($AR107,'Loyalty - Effec - 15July'!$B$5:$D$17,3,0)*$AT107,0)</f>
        <v>0</v>
      </c>
      <c r="BG107" s="85">
        <f t="shared" si="59"/>
        <v>0</v>
      </c>
      <c r="BH107" s="81">
        <f t="shared" si="60"/>
        <v>0</v>
      </c>
      <c r="BI107" s="85">
        <f t="shared" si="61"/>
        <v>0</v>
      </c>
      <c r="BJ107" s="85">
        <f t="shared" si="62"/>
        <v>0</v>
      </c>
      <c r="BK107" s="85">
        <f t="shared" si="63"/>
        <v>0</v>
      </c>
      <c r="BL107" s="85">
        <f t="shared" si="64"/>
        <v>0</v>
      </c>
      <c r="BM107" s="85">
        <f t="shared" si="65"/>
        <v>0</v>
      </c>
      <c r="BN107" s="85">
        <f t="shared" si="66"/>
        <v>0</v>
      </c>
      <c r="BO107" s="52" t="s">
        <v>85</v>
      </c>
      <c r="BP107" s="46"/>
      <c r="BQ107" s="52" t="s">
        <v>121</v>
      </c>
      <c r="BR107" s="47">
        <f t="shared" si="69"/>
        <v>0</v>
      </c>
      <c r="BU107" s="47">
        <f t="shared" si="68"/>
        <v>0</v>
      </c>
      <c r="BV107" s="53" t="s">
        <v>300</v>
      </c>
      <c r="BW107" s="53" t="s">
        <v>932</v>
      </c>
      <c r="BX107" s="53" t="s">
        <v>301</v>
      </c>
      <c r="BY107" s="53"/>
      <c r="BZ107" s="53"/>
    </row>
    <row r="108" spans="1:79">
      <c r="A108" s="42" t="s">
        <v>290</v>
      </c>
      <c r="B108" s="28" t="s">
        <v>79</v>
      </c>
      <c r="C108" s="28" t="s">
        <v>80</v>
      </c>
      <c r="D108" s="28" t="s">
        <v>932</v>
      </c>
      <c r="E108" s="43" t="s">
        <v>82</v>
      </c>
      <c r="F108" s="28" t="s">
        <v>902</v>
      </c>
      <c r="G108" s="44" t="s">
        <v>291</v>
      </c>
      <c r="H108" s="45">
        <v>44473</v>
      </c>
      <c r="I108" s="46" t="s">
        <v>988</v>
      </c>
      <c r="J108" s="28">
        <v>5</v>
      </c>
      <c r="K108" s="28" t="s">
        <v>93</v>
      </c>
      <c r="L108" s="28" t="s">
        <v>873</v>
      </c>
      <c r="M108" s="28" t="s">
        <v>2</v>
      </c>
      <c r="N108" s="28" t="str">
        <f t="shared" si="36"/>
        <v>AE4</v>
      </c>
      <c r="O108" s="81"/>
      <c r="P108" s="81">
        <f t="shared" si="37"/>
        <v>0</v>
      </c>
      <c r="Q108" s="81">
        <f t="shared" si="38"/>
        <v>0</v>
      </c>
      <c r="R108" s="81">
        <f t="shared" si="39"/>
        <v>0</v>
      </c>
      <c r="S108" s="81"/>
      <c r="T108" s="82">
        <f t="shared" si="40"/>
        <v>0</v>
      </c>
      <c r="U108" s="82">
        <f t="shared" si="41"/>
        <v>0</v>
      </c>
      <c r="V108" s="82">
        <f t="shared" si="42"/>
        <v>0</v>
      </c>
      <c r="W108" s="83">
        <v>0</v>
      </c>
      <c r="X108" s="83">
        <v>0</v>
      </c>
      <c r="Y108" s="83">
        <v>0</v>
      </c>
      <c r="Z108" s="84">
        <f>ROUND((IF(($O108&lt;=700000),0,IF(((VLOOKUP($M108,'Loyalty - Effec - 15July'!$B$5:$C$17,2,0)*$O108)&lt;=120000),(VLOOKUP($M108,'Loyalty - Effec - 15July'!$B$5:$C$17,2,0)*$O108),120000))),0)</f>
        <v>0</v>
      </c>
      <c r="AA108" s="84">
        <f>ROUND(VLOOKUP($M108,'Loyalty - Effec - 15July'!$B$5:$D$17,3,0)*$O108,0)</f>
        <v>0</v>
      </c>
      <c r="AB108" s="85">
        <f t="shared" si="43"/>
        <v>0</v>
      </c>
      <c r="AC108" s="86">
        <f t="shared" si="44"/>
        <v>0</v>
      </c>
      <c r="AD108" s="87">
        <f t="shared" si="45"/>
        <v>0</v>
      </c>
      <c r="AE108" s="88">
        <f t="shared" si="46"/>
        <v>0</v>
      </c>
      <c r="AF108" s="88">
        <f t="shared" si="47"/>
        <v>0</v>
      </c>
      <c r="AG108" s="49" t="s">
        <v>206</v>
      </c>
      <c r="AH108" s="49" t="s">
        <v>126</v>
      </c>
      <c r="AI108" s="50"/>
      <c r="AJ108" s="46"/>
      <c r="AK108" s="46"/>
      <c r="AL108" s="46"/>
      <c r="AM108" s="51">
        <f>IF($AL108=4,VLOOKUP($AR108,'Loyalty Incentive v1'!$L$3:$Q$15,2,FALSE),
IF($AL108=3,VLOOKUP($AR108,'Loyalty Incentive v1'!$L$3:$Q$15,3,FALSE),
IF($AL108=2,VLOOKUP($AR108,'Loyalty Incentive v1'!$L$3:$Q$15,4,FALSE),
IF($AL108=1,VLOOKUP($AR108,'Loyalty Incentive v1'!$L$3:$Q$15,5,FALSE),
IF($AL108=0,VLOOKUP($AR108,'Loyalty Incentive v1'!$L$3:$Q$15,6,FALSE),0)))))</f>
        <v>0</v>
      </c>
      <c r="AN108" s="51">
        <f>IFERROR(IF(I108&gt;="1",AM108,VLOOKUP(VALUE(I108),'Loyalty - Effec - 15July'!$I$5:$J$16,2,0)*AM108),0)</f>
        <v>0</v>
      </c>
      <c r="AO108" s="51">
        <v>0</v>
      </c>
      <c r="AP108" s="51">
        <f t="shared" si="48"/>
        <v>0</v>
      </c>
      <c r="AQ108" s="46" t="str">
        <f t="shared" si="49"/>
        <v>No</v>
      </c>
      <c r="AR108" s="46" t="str">
        <f t="shared" si="50"/>
        <v>AE4</v>
      </c>
      <c r="AS108" s="46" t="b">
        <f t="shared" si="51"/>
        <v>1</v>
      </c>
      <c r="AT108" s="82">
        <f t="shared" si="52"/>
        <v>0</v>
      </c>
      <c r="AU108" s="82">
        <f t="shared" si="53"/>
        <v>0</v>
      </c>
      <c r="AV108" s="82">
        <f t="shared" si="54"/>
        <v>0</v>
      </c>
      <c r="AW108" s="82">
        <f t="shared" si="55"/>
        <v>0</v>
      </c>
      <c r="AX108" s="85"/>
      <c r="AY108" s="82">
        <f t="shared" si="56"/>
        <v>0</v>
      </c>
      <c r="AZ108" s="82">
        <f t="shared" si="57"/>
        <v>0</v>
      </c>
      <c r="BA108" s="82">
        <f t="shared" si="58"/>
        <v>0</v>
      </c>
      <c r="BB108" s="83">
        <v>0</v>
      </c>
      <c r="BC108" s="83">
        <v>0</v>
      </c>
      <c r="BD108" s="83">
        <v>0</v>
      </c>
      <c r="BE108" s="84">
        <f>ROUND((IF(($AT108&lt;=700000),0,IF(((VLOOKUP($AR108,'Loyalty - Effec - 15July'!$B$5:$C$17,2,0)*$AT108)&lt;=120000),(VLOOKUP($AR108,'Loyalty - Effec - 15July'!$B$5:$C$17,2,0)*$AT108),120000))),0)</f>
        <v>0</v>
      </c>
      <c r="BF108" s="84">
        <f>ROUND(VLOOKUP($AR108,'Loyalty - Effec - 15July'!$B$5:$D$17,3,0)*$AT108,0)</f>
        <v>0</v>
      </c>
      <c r="BG108" s="85">
        <f t="shared" si="59"/>
        <v>0</v>
      </c>
      <c r="BH108" s="81">
        <f t="shared" si="60"/>
        <v>0</v>
      </c>
      <c r="BI108" s="85">
        <f t="shared" si="61"/>
        <v>0</v>
      </c>
      <c r="BJ108" s="85">
        <f t="shared" si="62"/>
        <v>0</v>
      </c>
      <c r="BK108" s="85">
        <f t="shared" si="63"/>
        <v>0</v>
      </c>
      <c r="BL108" s="85">
        <f t="shared" si="64"/>
        <v>0</v>
      </c>
      <c r="BM108" s="85">
        <f t="shared" si="65"/>
        <v>0</v>
      </c>
      <c r="BN108" s="85">
        <f t="shared" si="66"/>
        <v>0</v>
      </c>
      <c r="BO108" s="52" t="s">
        <v>85</v>
      </c>
      <c r="BP108" s="46"/>
      <c r="BQ108" s="46"/>
      <c r="BR108" s="47">
        <f t="shared" si="69"/>
        <v>0</v>
      </c>
      <c r="BU108" s="47">
        <f t="shared" si="68"/>
        <v>0</v>
      </c>
      <c r="BV108" s="53" t="s">
        <v>290</v>
      </c>
      <c r="BW108" s="53" t="s">
        <v>932</v>
      </c>
      <c r="BX108" s="53" t="s">
        <v>291</v>
      </c>
      <c r="BY108" s="53"/>
      <c r="BZ108" s="53"/>
    </row>
    <row r="109" spans="1:79">
      <c r="A109" s="42" t="s">
        <v>312</v>
      </c>
      <c r="B109" s="28" t="s">
        <v>79</v>
      </c>
      <c r="C109" s="28" t="s">
        <v>80</v>
      </c>
      <c r="D109" s="28" t="s">
        <v>932</v>
      </c>
      <c r="E109" s="43" t="s">
        <v>82</v>
      </c>
      <c r="F109" s="28" t="s">
        <v>901</v>
      </c>
      <c r="G109" s="44" t="s">
        <v>313</v>
      </c>
      <c r="H109" s="45">
        <v>44473</v>
      </c>
      <c r="I109" s="46" t="s">
        <v>988</v>
      </c>
      <c r="J109" s="28">
        <v>9</v>
      </c>
      <c r="K109" s="28" t="s">
        <v>93</v>
      </c>
      <c r="L109" s="28" t="s">
        <v>873</v>
      </c>
      <c r="M109" s="28" t="s">
        <v>2</v>
      </c>
      <c r="N109" s="28" t="str">
        <f t="shared" si="36"/>
        <v>AE4</v>
      </c>
      <c r="O109" s="81"/>
      <c r="P109" s="81">
        <f t="shared" si="37"/>
        <v>0</v>
      </c>
      <c r="Q109" s="81">
        <f t="shared" si="38"/>
        <v>0</v>
      </c>
      <c r="R109" s="81">
        <f t="shared" si="39"/>
        <v>0</v>
      </c>
      <c r="S109" s="81"/>
      <c r="T109" s="82">
        <f t="shared" si="40"/>
        <v>0</v>
      </c>
      <c r="U109" s="82">
        <f t="shared" si="41"/>
        <v>0</v>
      </c>
      <c r="V109" s="82">
        <f t="shared" si="42"/>
        <v>0</v>
      </c>
      <c r="W109" s="83">
        <v>0</v>
      </c>
      <c r="X109" s="83">
        <v>0</v>
      </c>
      <c r="Y109" s="83">
        <v>0</v>
      </c>
      <c r="Z109" s="84">
        <f>ROUND((IF(($O109&lt;=700000),0,IF(((VLOOKUP($M109,'Loyalty - Effec - 15July'!$B$5:$C$17,2,0)*$O109)&lt;=120000),(VLOOKUP($M109,'Loyalty - Effec - 15July'!$B$5:$C$17,2,0)*$O109),120000))),0)</f>
        <v>0</v>
      </c>
      <c r="AA109" s="84">
        <f>ROUND(VLOOKUP($M109,'Loyalty - Effec - 15July'!$B$5:$D$17,3,0)*$O109,0)</f>
        <v>0</v>
      </c>
      <c r="AB109" s="85">
        <f t="shared" si="43"/>
        <v>0</v>
      </c>
      <c r="AC109" s="86">
        <f t="shared" si="44"/>
        <v>0</v>
      </c>
      <c r="AD109" s="87">
        <f t="shared" si="45"/>
        <v>0</v>
      </c>
      <c r="AE109" s="88">
        <f t="shared" si="46"/>
        <v>0</v>
      </c>
      <c r="AF109" s="88">
        <f t="shared" si="47"/>
        <v>0</v>
      </c>
      <c r="AG109" s="49" t="s">
        <v>303</v>
      </c>
      <c r="AH109" s="49" t="s">
        <v>126</v>
      </c>
      <c r="AI109" s="50"/>
      <c r="AJ109" s="46"/>
      <c r="AK109" s="46"/>
      <c r="AL109" s="46"/>
      <c r="AM109" s="51">
        <f>IF($AL109=4,VLOOKUP($AR109,'Loyalty Incentive v1'!$L$3:$Q$15,2,FALSE),
IF($AL109=3,VLOOKUP($AR109,'Loyalty Incentive v1'!$L$3:$Q$15,3,FALSE),
IF($AL109=2,VLOOKUP($AR109,'Loyalty Incentive v1'!$L$3:$Q$15,4,FALSE),
IF($AL109=1,VLOOKUP($AR109,'Loyalty Incentive v1'!$L$3:$Q$15,5,FALSE),
IF($AL109=0,VLOOKUP($AR109,'Loyalty Incentive v1'!$L$3:$Q$15,6,FALSE),0)))))</f>
        <v>0</v>
      </c>
      <c r="AN109" s="51">
        <f>IFERROR(IF(I109&gt;="1",AM109,VLOOKUP(VALUE(I109),'Loyalty - Effec - 15July'!$I$5:$J$16,2,0)*AM109),0)</f>
        <v>0</v>
      </c>
      <c r="AO109" s="51">
        <v>0</v>
      </c>
      <c r="AP109" s="51">
        <f t="shared" si="48"/>
        <v>0</v>
      </c>
      <c r="AQ109" s="46" t="str">
        <f t="shared" si="49"/>
        <v>No</v>
      </c>
      <c r="AR109" s="46" t="str">
        <f t="shared" si="50"/>
        <v>AE4</v>
      </c>
      <c r="AS109" s="46" t="b">
        <f t="shared" si="51"/>
        <v>1</v>
      </c>
      <c r="AT109" s="82">
        <f t="shared" si="52"/>
        <v>0</v>
      </c>
      <c r="AU109" s="82">
        <f t="shared" si="53"/>
        <v>0</v>
      </c>
      <c r="AV109" s="82">
        <f t="shared" si="54"/>
        <v>0</v>
      </c>
      <c r="AW109" s="82">
        <f t="shared" si="55"/>
        <v>0</v>
      </c>
      <c r="AX109" s="85"/>
      <c r="AY109" s="82">
        <f t="shared" si="56"/>
        <v>0</v>
      </c>
      <c r="AZ109" s="82">
        <f t="shared" si="57"/>
        <v>0</v>
      </c>
      <c r="BA109" s="82">
        <f t="shared" si="58"/>
        <v>0</v>
      </c>
      <c r="BB109" s="83">
        <v>0</v>
      </c>
      <c r="BC109" s="83">
        <v>0</v>
      </c>
      <c r="BD109" s="83">
        <v>0</v>
      </c>
      <c r="BE109" s="84">
        <f>ROUND((IF(($AT109&lt;=700000),0,IF(((VLOOKUP($AR109,'Loyalty - Effec - 15July'!$B$5:$C$17,2,0)*$AT109)&lt;=120000),(VLOOKUP($AR109,'Loyalty - Effec - 15July'!$B$5:$C$17,2,0)*$AT109),120000))),0)</f>
        <v>0</v>
      </c>
      <c r="BF109" s="84">
        <f>ROUND(VLOOKUP($AR109,'Loyalty - Effec - 15July'!$B$5:$D$17,3,0)*$AT109,0)</f>
        <v>0</v>
      </c>
      <c r="BG109" s="85">
        <f t="shared" si="59"/>
        <v>0</v>
      </c>
      <c r="BH109" s="81">
        <f t="shared" si="60"/>
        <v>0</v>
      </c>
      <c r="BI109" s="85">
        <f t="shared" si="61"/>
        <v>0</v>
      </c>
      <c r="BJ109" s="85">
        <f t="shared" si="62"/>
        <v>0</v>
      </c>
      <c r="BK109" s="85">
        <f t="shared" si="63"/>
        <v>0</v>
      </c>
      <c r="BL109" s="85">
        <f t="shared" si="64"/>
        <v>0</v>
      </c>
      <c r="BM109" s="85">
        <f t="shared" si="65"/>
        <v>0</v>
      </c>
      <c r="BN109" s="85">
        <f t="shared" si="66"/>
        <v>0</v>
      </c>
      <c r="BO109" s="52" t="s">
        <v>85</v>
      </c>
      <c r="BP109" s="46"/>
      <c r="BQ109" s="46"/>
      <c r="BR109" s="47">
        <f t="shared" si="69"/>
        <v>0</v>
      </c>
      <c r="BU109" s="47">
        <f t="shared" si="68"/>
        <v>0</v>
      </c>
      <c r="BV109" s="53" t="s">
        <v>312</v>
      </c>
      <c r="BW109" s="53" t="s">
        <v>932</v>
      </c>
      <c r="BX109" s="53" t="s">
        <v>313</v>
      </c>
      <c r="BY109" s="53"/>
      <c r="BZ109" s="53"/>
    </row>
    <row r="110" spans="1:79">
      <c r="A110" s="42" t="s">
        <v>304</v>
      </c>
      <c r="B110" s="28" t="s">
        <v>903</v>
      </c>
      <c r="C110" s="28" t="s">
        <v>80</v>
      </c>
      <c r="D110" s="28" t="s">
        <v>932</v>
      </c>
      <c r="E110" s="43" t="s">
        <v>82</v>
      </c>
      <c r="F110" s="28" t="s">
        <v>901</v>
      </c>
      <c r="G110" s="44" t="s">
        <v>305</v>
      </c>
      <c r="H110" s="45">
        <v>44480</v>
      </c>
      <c r="I110" s="46" t="s">
        <v>988</v>
      </c>
      <c r="J110" s="28">
        <v>8.5</v>
      </c>
      <c r="K110" s="28" t="s">
        <v>415</v>
      </c>
      <c r="L110" s="28" t="s">
        <v>116</v>
      </c>
      <c r="M110" s="28" t="s">
        <v>1</v>
      </c>
      <c r="N110" s="28" t="str">
        <f t="shared" si="36"/>
        <v>AE3</v>
      </c>
      <c r="O110" s="81"/>
      <c r="P110" s="81">
        <f t="shared" si="37"/>
        <v>0</v>
      </c>
      <c r="Q110" s="81">
        <f t="shared" si="38"/>
        <v>0</v>
      </c>
      <c r="R110" s="81">
        <f t="shared" si="39"/>
        <v>0</v>
      </c>
      <c r="S110" s="81"/>
      <c r="T110" s="82">
        <f t="shared" si="40"/>
        <v>0</v>
      </c>
      <c r="U110" s="82">
        <f t="shared" si="41"/>
        <v>0</v>
      </c>
      <c r="V110" s="82">
        <f t="shared" si="42"/>
        <v>0</v>
      </c>
      <c r="W110" s="83">
        <v>0</v>
      </c>
      <c r="X110" s="83">
        <v>0</v>
      </c>
      <c r="Y110" s="83">
        <v>0</v>
      </c>
      <c r="Z110" s="84">
        <f>ROUND((IF(($O110&lt;=700000),0,IF(((VLOOKUP($M110,'Loyalty - Effec - 15July'!$B$5:$C$17,2,0)*$O110)&lt;=120000),(VLOOKUP($M110,'Loyalty - Effec - 15July'!$B$5:$C$17,2,0)*$O110),120000))),0)</f>
        <v>0</v>
      </c>
      <c r="AA110" s="84">
        <f>ROUND(VLOOKUP($M110,'Loyalty - Effec - 15July'!$B$5:$D$17,3,0)*$O110,0)</f>
        <v>0</v>
      </c>
      <c r="AB110" s="85">
        <f t="shared" si="43"/>
        <v>0</v>
      </c>
      <c r="AC110" s="86">
        <f t="shared" si="44"/>
        <v>0</v>
      </c>
      <c r="AD110" s="87">
        <f t="shared" si="45"/>
        <v>0</v>
      </c>
      <c r="AE110" s="88">
        <f t="shared" si="46"/>
        <v>0</v>
      </c>
      <c r="AF110" s="88">
        <f t="shared" si="47"/>
        <v>0</v>
      </c>
      <c r="AG110" s="49" t="s">
        <v>907</v>
      </c>
      <c r="AH110" s="49" t="s">
        <v>927</v>
      </c>
      <c r="AI110" s="50"/>
      <c r="AJ110" s="46"/>
      <c r="AK110" s="46"/>
      <c r="AL110" s="46"/>
      <c r="AM110" s="51">
        <f>IF($AL110=4,VLOOKUP($AR110,'Loyalty Incentive v1'!$L$3:$Q$15,2,FALSE),
IF($AL110=3,VLOOKUP($AR110,'Loyalty Incentive v1'!$L$3:$Q$15,3,FALSE),
IF($AL110=2,VLOOKUP($AR110,'Loyalty Incentive v1'!$L$3:$Q$15,4,FALSE),
IF($AL110=1,VLOOKUP($AR110,'Loyalty Incentive v1'!$L$3:$Q$15,5,FALSE),
IF($AL110=0,VLOOKUP($AR110,'Loyalty Incentive v1'!$L$3:$Q$15,6,FALSE),0)))))</f>
        <v>0</v>
      </c>
      <c r="AN110" s="51">
        <f>IFERROR(IF(I110&gt;="1",AM110,VLOOKUP(VALUE(I110),'Loyalty - Effec - 15July'!$I$5:$J$16,2,0)*AM110),0)</f>
        <v>0</v>
      </c>
      <c r="AO110" s="51">
        <v>0</v>
      </c>
      <c r="AP110" s="51">
        <f t="shared" si="48"/>
        <v>0</v>
      </c>
      <c r="AQ110" s="46" t="str">
        <f t="shared" si="49"/>
        <v>No</v>
      </c>
      <c r="AR110" s="46" t="str">
        <f t="shared" si="50"/>
        <v>AE3</v>
      </c>
      <c r="AS110" s="46" t="b">
        <f t="shared" si="51"/>
        <v>1</v>
      </c>
      <c r="AT110" s="82">
        <f t="shared" si="52"/>
        <v>0</v>
      </c>
      <c r="AU110" s="82">
        <f t="shared" si="53"/>
        <v>0</v>
      </c>
      <c r="AV110" s="82">
        <f t="shared" si="54"/>
        <v>0</v>
      </c>
      <c r="AW110" s="82">
        <f t="shared" si="55"/>
        <v>0</v>
      </c>
      <c r="AX110" s="85"/>
      <c r="AY110" s="82">
        <f t="shared" si="56"/>
        <v>0</v>
      </c>
      <c r="AZ110" s="82">
        <f t="shared" si="57"/>
        <v>0</v>
      </c>
      <c r="BA110" s="82">
        <f t="shared" si="58"/>
        <v>0</v>
      </c>
      <c r="BB110" s="83">
        <v>0</v>
      </c>
      <c r="BC110" s="83">
        <v>0</v>
      </c>
      <c r="BD110" s="83">
        <v>0</v>
      </c>
      <c r="BE110" s="84">
        <f>ROUND((IF(($AT110&lt;=700000),0,IF(((VLOOKUP($AR110,'Loyalty - Effec - 15July'!$B$5:$C$17,2,0)*$AT110)&lt;=120000),(VLOOKUP($AR110,'Loyalty - Effec - 15July'!$B$5:$C$17,2,0)*$AT110),120000))),0)</f>
        <v>0</v>
      </c>
      <c r="BF110" s="84">
        <f>ROUND(VLOOKUP($AR110,'Loyalty - Effec - 15July'!$B$5:$D$17,3,0)*$AT110,0)</f>
        <v>0</v>
      </c>
      <c r="BG110" s="85">
        <f t="shared" si="59"/>
        <v>0</v>
      </c>
      <c r="BH110" s="81">
        <f t="shared" si="60"/>
        <v>0</v>
      </c>
      <c r="BI110" s="85">
        <f t="shared" si="61"/>
        <v>0</v>
      </c>
      <c r="BJ110" s="85">
        <f t="shared" si="62"/>
        <v>0</v>
      </c>
      <c r="BK110" s="85">
        <f t="shared" si="63"/>
        <v>0</v>
      </c>
      <c r="BL110" s="85">
        <f t="shared" si="64"/>
        <v>0</v>
      </c>
      <c r="BM110" s="85">
        <f t="shared" si="65"/>
        <v>0</v>
      </c>
      <c r="BN110" s="85">
        <f t="shared" si="66"/>
        <v>0</v>
      </c>
      <c r="BO110" s="52" t="s">
        <v>85</v>
      </c>
      <c r="BP110" s="46"/>
      <c r="BQ110" s="46"/>
      <c r="BR110" s="47">
        <f t="shared" si="69"/>
        <v>0</v>
      </c>
      <c r="BU110" s="47">
        <f t="shared" si="68"/>
        <v>0</v>
      </c>
      <c r="BV110" s="53" t="s">
        <v>304</v>
      </c>
      <c r="BW110" s="53" t="s">
        <v>932</v>
      </c>
      <c r="BX110" s="53" t="s">
        <v>305</v>
      </c>
      <c r="BY110" s="53"/>
      <c r="BZ110" s="53"/>
    </row>
    <row r="111" spans="1:79">
      <c r="A111" s="42" t="s">
        <v>310</v>
      </c>
      <c r="B111" s="28" t="s">
        <v>79</v>
      </c>
      <c r="C111" s="28" t="s">
        <v>80</v>
      </c>
      <c r="D111" s="28" t="s">
        <v>932</v>
      </c>
      <c r="E111" s="43" t="s">
        <v>82</v>
      </c>
      <c r="F111" s="28" t="s">
        <v>901</v>
      </c>
      <c r="G111" s="44" t="s">
        <v>311</v>
      </c>
      <c r="H111" s="45">
        <v>44487</v>
      </c>
      <c r="I111" s="46" t="s">
        <v>988</v>
      </c>
      <c r="J111" s="28">
        <v>2.5</v>
      </c>
      <c r="K111" s="28" t="s">
        <v>863</v>
      </c>
      <c r="L111" s="28" t="s">
        <v>867</v>
      </c>
      <c r="M111" s="28" t="s">
        <v>3</v>
      </c>
      <c r="N111" s="28" t="str">
        <f t="shared" si="36"/>
        <v>AE5</v>
      </c>
      <c r="O111" s="81"/>
      <c r="P111" s="81">
        <f t="shared" si="37"/>
        <v>0</v>
      </c>
      <c r="Q111" s="81">
        <f t="shared" si="38"/>
        <v>0</v>
      </c>
      <c r="R111" s="81">
        <f t="shared" si="39"/>
        <v>0</v>
      </c>
      <c r="S111" s="81"/>
      <c r="T111" s="82">
        <f t="shared" si="40"/>
        <v>0</v>
      </c>
      <c r="U111" s="82">
        <f t="shared" si="41"/>
        <v>0</v>
      </c>
      <c r="V111" s="82">
        <f t="shared" si="42"/>
        <v>0</v>
      </c>
      <c r="W111" s="83">
        <v>0</v>
      </c>
      <c r="X111" s="83">
        <v>0</v>
      </c>
      <c r="Y111" s="83">
        <v>0</v>
      </c>
      <c r="Z111" s="84">
        <f>ROUND((IF(($O111&lt;=700000),0,IF(((VLOOKUP($M111,'Loyalty - Effec - 15July'!$B$5:$C$17,2,0)*$O111)&lt;=120000),(VLOOKUP($M111,'Loyalty - Effec - 15July'!$B$5:$C$17,2,0)*$O111),120000))),0)</f>
        <v>0</v>
      </c>
      <c r="AA111" s="84">
        <f>ROUND(VLOOKUP($M111,'Loyalty - Effec - 15July'!$B$5:$D$17,3,0)*$O111,0)</f>
        <v>0</v>
      </c>
      <c r="AB111" s="85">
        <f t="shared" si="43"/>
        <v>0</v>
      </c>
      <c r="AC111" s="86">
        <f t="shared" si="44"/>
        <v>0</v>
      </c>
      <c r="AD111" s="87">
        <f t="shared" si="45"/>
        <v>0</v>
      </c>
      <c r="AE111" s="88">
        <f t="shared" si="46"/>
        <v>0</v>
      </c>
      <c r="AF111" s="88">
        <f t="shared" si="47"/>
        <v>0</v>
      </c>
      <c r="AG111" s="49" t="s">
        <v>811</v>
      </c>
      <c r="AH111" s="49" t="s">
        <v>774</v>
      </c>
      <c r="AI111" s="50"/>
      <c r="AJ111" s="46"/>
      <c r="AK111" s="46"/>
      <c r="AL111" s="46"/>
      <c r="AM111" s="51">
        <f>IF($AL111=4,VLOOKUP($AR111,'Loyalty Incentive v1'!$L$3:$Q$15,2,FALSE),
IF($AL111=3,VLOOKUP($AR111,'Loyalty Incentive v1'!$L$3:$Q$15,3,FALSE),
IF($AL111=2,VLOOKUP($AR111,'Loyalty Incentive v1'!$L$3:$Q$15,4,FALSE),
IF($AL111=1,VLOOKUP($AR111,'Loyalty Incentive v1'!$L$3:$Q$15,5,FALSE),
IF($AL111=0,VLOOKUP($AR111,'Loyalty Incentive v1'!$L$3:$Q$15,6,FALSE),0)))))</f>
        <v>0</v>
      </c>
      <c r="AN111" s="51">
        <f>IFERROR(IF(I111&gt;="1",AM111,VLOOKUP(VALUE(I111),'Loyalty - Effec - 15July'!$I$5:$J$16,2,0)*AM111),0)</f>
        <v>0</v>
      </c>
      <c r="AO111" s="51">
        <v>0</v>
      </c>
      <c r="AP111" s="51">
        <f t="shared" si="48"/>
        <v>0</v>
      </c>
      <c r="AQ111" s="46" t="str">
        <f t="shared" si="49"/>
        <v>No</v>
      </c>
      <c r="AR111" s="46" t="str">
        <f t="shared" si="50"/>
        <v>AE5</v>
      </c>
      <c r="AS111" s="46" t="b">
        <f t="shared" si="51"/>
        <v>1</v>
      </c>
      <c r="AT111" s="82">
        <f t="shared" si="52"/>
        <v>0</v>
      </c>
      <c r="AU111" s="82">
        <f t="shared" si="53"/>
        <v>0</v>
      </c>
      <c r="AV111" s="82">
        <f t="shared" si="54"/>
        <v>0</v>
      </c>
      <c r="AW111" s="82">
        <f t="shared" si="55"/>
        <v>0</v>
      </c>
      <c r="AX111" s="85"/>
      <c r="AY111" s="82">
        <f t="shared" si="56"/>
        <v>0</v>
      </c>
      <c r="AZ111" s="82">
        <f t="shared" si="57"/>
        <v>0</v>
      </c>
      <c r="BA111" s="82">
        <f t="shared" si="58"/>
        <v>0</v>
      </c>
      <c r="BB111" s="83">
        <v>0</v>
      </c>
      <c r="BC111" s="83">
        <v>0</v>
      </c>
      <c r="BD111" s="83">
        <v>0</v>
      </c>
      <c r="BE111" s="84">
        <f>ROUND((IF(($AT111&lt;=700000),0,IF(((VLOOKUP($AR111,'Loyalty - Effec - 15July'!$B$5:$C$17,2,0)*$AT111)&lt;=120000),(VLOOKUP($AR111,'Loyalty - Effec - 15July'!$B$5:$C$17,2,0)*$AT111),120000))),0)</f>
        <v>0</v>
      </c>
      <c r="BF111" s="84">
        <f>ROUND(VLOOKUP($AR111,'Loyalty - Effec - 15July'!$B$5:$D$17,3,0)*$AT111,0)</f>
        <v>0</v>
      </c>
      <c r="BG111" s="85">
        <f t="shared" si="59"/>
        <v>0</v>
      </c>
      <c r="BH111" s="81">
        <f t="shared" si="60"/>
        <v>0</v>
      </c>
      <c r="BI111" s="85">
        <f t="shared" si="61"/>
        <v>0</v>
      </c>
      <c r="BJ111" s="85">
        <f t="shared" si="62"/>
        <v>0</v>
      </c>
      <c r="BK111" s="85">
        <f t="shared" si="63"/>
        <v>0</v>
      </c>
      <c r="BL111" s="85">
        <f t="shared" si="64"/>
        <v>0</v>
      </c>
      <c r="BM111" s="85">
        <f t="shared" si="65"/>
        <v>0</v>
      </c>
      <c r="BN111" s="85">
        <f t="shared" si="66"/>
        <v>0</v>
      </c>
      <c r="BO111" s="52" t="s">
        <v>85</v>
      </c>
      <c r="BP111" s="46"/>
      <c r="BQ111" s="46"/>
      <c r="BR111" s="47">
        <f t="shared" ref="BR111:BR116" si="70">BG111-AT111</f>
        <v>0</v>
      </c>
      <c r="BU111" s="47">
        <f t="shared" si="68"/>
        <v>0</v>
      </c>
      <c r="BV111" s="53" t="s">
        <v>310</v>
      </c>
      <c r="BW111" s="53" t="s">
        <v>932</v>
      </c>
      <c r="BX111" s="53" t="s">
        <v>311</v>
      </c>
      <c r="BY111" s="53"/>
      <c r="BZ111" s="53"/>
    </row>
    <row r="112" spans="1:79">
      <c r="A112" s="42" t="s">
        <v>314</v>
      </c>
      <c r="B112" s="28" t="s">
        <v>79</v>
      </c>
      <c r="C112" s="28" t="s">
        <v>80</v>
      </c>
      <c r="D112" s="28" t="s">
        <v>932</v>
      </c>
      <c r="E112" s="43" t="s">
        <v>82</v>
      </c>
      <c r="F112" s="28" t="s">
        <v>902</v>
      </c>
      <c r="G112" s="44" t="s">
        <v>315</v>
      </c>
      <c r="H112" s="45">
        <v>44515</v>
      </c>
      <c r="I112" s="46" t="s">
        <v>989</v>
      </c>
      <c r="J112" s="28">
        <v>3</v>
      </c>
      <c r="K112" s="28" t="s">
        <v>413</v>
      </c>
      <c r="L112" s="28" t="s">
        <v>880</v>
      </c>
      <c r="M112" s="28" t="s">
        <v>0</v>
      </c>
      <c r="N112" s="28" t="str">
        <f t="shared" si="36"/>
        <v>AE2</v>
      </c>
      <c r="O112" s="81"/>
      <c r="P112" s="81">
        <f t="shared" si="37"/>
        <v>0</v>
      </c>
      <c r="Q112" s="81">
        <f t="shared" si="38"/>
        <v>0</v>
      </c>
      <c r="R112" s="81">
        <f t="shared" si="39"/>
        <v>0</v>
      </c>
      <c r="S112" s="81"/>
      <c r="T112" s="82">
        <f t="shared" si="40"/>
        <v>0</v>
      </c>
      <c r="U112" s="82">
        <f t="shared" si="41"/>
        <v>0</v>
      </c>
      <c r="V112" s="82">
        <f t="shared" si="42"/>
        <v>0</v>
      </c>
      <c r="W112" s="83">
        <v>0</v>
      </c>
      <c r="X112" s="83">
        <v>0</v>
      </c>
      <c r="Y112" s="83">
        <v>0</v>
      </c>
      <c r="Z112" s="84">
        <f>ROUND((IF(($O112&lt;=700000),0,IF(((VLOOKUP($M112,'Loyalty - Effec - 15July'!$B$5:$C$17,2,0)*$O112)&lt;=120000),(VLOOKUP($M112,'Loyalty - Effec - 15July'!$B$5:$C$17,2,0)*$O112),120000))),0)</f>
        <v>0</v>
      </c>
      <c r="AA112" s="84">
        <f>ROUND(VLOOKUP($M112,'Loyalty - Effec - 15July'!$B$5:$D$17,3,0)*$O112,0)</f>
        <v>0</v>
      </c>
      <c r="AB112" s="85">
        <f t="shared" si="43"/>
        <v>0</v>
      </c>
      <c r="AC112" s="86">
        <f t="shared" si="44"/>
        <v>0</v>
      </c>
      <c r="AD112" s="87">
        <f t="shared" si="45"/>
        <v>0</v>
      </c>
      <c r="AE112" s="88">
        <f t="shared" si="46"/>
        <v>0</v>
      </c>
      <c r="AF112" s="88">
        <f t="shared" si="47"/>
        <v>0</v>
      </c>
      <c r="AG112" s="49" t="s">
        <v>178</v>
      </c>
      <c r="AH112" s="49" t="s">
        <v>928</v>
      </c>
      <c r="AI112" s="50"/>
      <c r="AJ112" s="46"/>
      <c r="AK112" s="46"/>
      <c r="AL112" s="46"/>
      <c r="AM112" s="51">
        <f>IF($AL112=4,VLOOKUP($AR112,'Loyalty Incentive v1'!$L$3:$Q$15,2,FALSE),
IF($AL112=3,VLOOKUP($AR112,'Loyalty Incentive v1'!$L$3:$Q$15,3,FALSE),
IF($AL112=2,VLOOKUP($AR112,'Loyalty Incentive v1'!$L$3:$Q$15,4,FALSE),
IF($AL112=1,VLOOKUP($AR112,'Loyalty Incentive v1'!$L$3:$Q$15,5,FALSE),
IF($AL112=0,VLOOKUP($AR112,'Loyalty Incentive v1'!$L$3:$Q$15,6,FALSE),0)))))</f>
        <v>0</v>
      </c>
      <c r="AN112" s="51">
        <f>IFERROR(IF(I112&gt;="1",AM112,VLOOKUP(VALUE(I112),'Loyalty - Effec - 15July'!$I$5:$J$16,2,0)*AM112),0)</f>
        <v>0</v>
      </c>
      <c r="AO112" s="51">
        <v>0</v>
      </c>
      <c r="AP112" s="51">
        <f t="shared" si="48"/>
        <v>0</v>
      </c>
      <c r="AQ112" s="46" t="str">
        <f t="shared" si="49"/>
        <v>No</v>
      </c>
      <c r="AR112" s="46" t="str">
        <f t="shared" si="50"/>
        <v>AE2</v>
      </c>
      <c r="AS112" s="46" t="b">
        <f t="shared" si="51"/>
        <v>1</v>
      </c>
      <c r="AT112" s="82">
        <f t="shared" si="52"/>
        <v>0</v>
      </c>
      <c r="AU112" s="82">
        <f t="shared" si="53"/>
        <v>0</v>
      </c>
      <c r="AV112" s="82">
        <f t="shared" si="54"/>
        <v>0</v>
      </c>
      <c r="AW112" s="82">
        <f t="shared" si="55"/>
        <v>0</v>
      </c>
      <c r="AX112" s="85"/>
      <c r="AY112" s="82">
        <f t="shared" si="56"/>
        <v>0</v>
      </c>
      <c r="AZ112" s="82">
        <f t="shared" si="57"/>
        <v>0</v>
      </c>
      <c r="BA112" s="82">
        <f t="shared" si="58"/>
        <v>0</v>
      </c>
      <c r="BB112" s="83">
        <v>0</v>
      </c>
      <c r="BC112" s="83">
        <v>0</v>
      </c>
      <c r="BD112" s="83">
        <v>0</v>
      </c>
      <c r="BE112" s="84">
        <f>ROUND((IF(($AT112&lt;=700000),0,IF(((VLOOKUP($AR112,'Loyalty - Effec - 15July'!$B$5:$C$17,2,0)*$AT112)&lt;=120000),(VLOOKUP($AR112,'Loyalty - Effec - 15July'!$B$5:$C$17,2,0)*$AT112),120000))),0)</f>
        <v>0</v>
      </c>
      <c r="BF112" s="84">
        <f>ROUND(VLOOKUP($AR112,'Loyalty - Effec - 15July'!$B$5:$D$17,3,0)*$AT112,0)</f>
        <v>0</v>
      </c>
      <c r="BG112" s="85">
        <f t="shared" si="59"/>
        <v>0</v>
      </c>
      <c r="BH112" s="81">
        <f t="shared" si="60"/>
        <v>0</v>
      </c>
      <c r="BI112" s="85">
        <f t="shared" si="61"/>
        <v>0</v>
      </c>
      <c r="BJ112" s="85">
        <f t="shared" si="62"/>
        <v>0</v>
      </c>
      <c r="BK112" s="85">
        <f t="shared" si="63"/>
        <v>0</v>
      </c>
      <c r="BL112" s="85">
        <f t="shared" si="64"/>
        <v>0</v>
      </c>
      <c r="BM112" s="85">
        <f t="shared" si="65"/>
        <v>0</v>
      </c>
      <c r="BN112" s="85">
        <f t="shared" si="66"/>
        <v>0</v>
      </c>
      <c r="BO112" s="52" t="s">
        <v>85</v>
      </c>
      <c r="BP112" s="52" t="s">
        <v>85</v>
      </c>
      <c r="BQ112" s="46"/>
      <c r="BR112" s="47">
        <f t="shared" si="70"/>
        <v>0</v>
      </c>
      <c r="BU112" s="47">
        <f t="shared" si="68"/>
        <v>0</v>
      </c>
      <c r="BV112" s="53" t="s">
        <v>314</v>
      </c>
      <c r="BW112" s="53" t="s">
        <v>932</v>
      </c>
      <c r="BX112" s="53" t="s">
        <v>315</v>
      </c>
      <c r="BY112" s="53"/>
      <c r="BZ112" s="53"/>
    </row>
    <row r="113" spans="1:78">
      <c r="A113" s="42" t="s">
        <v>316</v>
      </c>
      <c r="B113" s="28" t="s">
        <v>79</v>
      </c>
      <c r="C113" s="28" t="s">
        <v>80</v>
      </c>
      <c r="D113" s="28" t="s">
        <v>932</v>
      </c>
      <c r="E113" s="43" t="s">
        <v>82</v>
      </c>
      <c r="F113" s="28" t="s">
        <v>902</v>
      </c>
      <c r="G113" s="44" t="s">
        <v>317</v>
      </c>
      <c r="H113" s="45">
        <v>44515</v>
      </c>
      <c r="I113" s="46" t="s">
        <v>989</v>
      </c>
      <c r="J113" s="28">
        <v>5</v>
      </c>
      <c r="K113" s="28" t="s">
        <v>413</v>
      </c>
      <c r="L113" s="28" t="s">
        <v>880</v>
      </c>
      <c r="M113" s="28" t="s">
        <v>0</v>
      </c>
      <c r="N113" s="28" t="str">
        <f t="shared" si="36"/>
        <v>AE2</v>
      </c>
      <c r="O113" s="81"/>
      <c r="P113" s="81">
        <f t="shared" si="37"/>
        <v>0</v>
      </c>
      <c r="Q113" s="81">
        <f t="shared" si="38"/>
        <v>0</v>
      </c>
      <c r="R113" s="81">
        <f t="shared" si="39"/>
        <v>0</v>
      </c>
      <c r="S113" s="81"/>
      <c r="T113" s="82">
        <f t="shared" si="40"/>
        <v>0</v>
      </c>
      <c r="U113" s="82">
        <f t="shared" si="41"/>
        <v>0</v>
      </c>
      <c r="V113" s="82">
        <f t="shared" si="42"/>
        <v>0</v>
      </c>
      <c r="W113" s="83">
        <v>0</v>
      </c>
      <c r="X113" s="83">
        <v>0</v>
      </c>
      <c r="Y113" s="83">
        <v>0</v>
      </c>
      <c r="Z113" s="84">
        <f>ROUND((IF(($O113&lt;=700000),0,IF(((VLOOKUP($M113,'Loyalty - Effec - 15July'!$B$5:$C$17,2,0)*$O113)&lt;=120000),(VLOOKUP($M113,'Loyalty - Effec - 15July'!$B$5:$C$17,2,0)*$O113),120000))),0)</f>
        <v>0</v>
      </c>
      <c r="AA113" s="84">
        <f>ROUND(VLOOKUP($M113,'Loyalty - Effec - 15July'!$B$5:$D$17,3,0)*$O113,0)</f>
        <v>0</v>
      </c>
      <c r="AB113" s="85">
        <f t="shared" si="43"/>
        <v>0</v>
      </c>
      <c r="AC113" s="86">
        <f t="shared" si="44"/>
        <v>0</v>
      </c>
      <c r="AD113" s="87">
        <f t="shared" si="45"/>
        <v>0</v>
      </c>
      <c r="AE113" s="88">
        <f t="shared" si="46"/>
        <v>0</v>
      </c>
      <c r="AF113" s="88">
        <f t="shared" si="47"/>
        <v>0</v>
      </c>
      <c r="AG113" s="49" t="s">
        <v>178</v>
      </c>
      <c r="AH113" s="49" t="s">
        <v>928</v>
      </c>
      <c r="AI113" s="50"/>
      <c r="AJ113" s="46"/>
      <c r="AK113" s="46"/>
      <c r="AL113" s="46"/>
      <c r="AM113" s="51">
        <f>IF($AL113=4,VLOOKUP($AR113,'Loyalty Incentive v1'!$L$3:$Q$15,2,FALSE),
IF($AL113=3,VLOOKUP($AR113,'Loyalty Incentive v1'!$L$3:$Q$15,3,FALSE),
IF($AL113=2,VLOOKUP($AR113,'Loyalty Incentive v1'!$L$3:$Q$15,4,FALSE),
IF($AL113=1,VLOOKUP($AR113,'Loyalty Incentive v1'!$L$3:$Q$15,5,FALSE),
IF($AL113=0,VLOOKUP($AR113,'Loyalty Incentive v1'!$L$3:$Q$15,6,FALSE),0)))))</f>
        <v>0</v>
      </c>
      <c r="AN113" s="51">
        <f>IFERROR(IF(I113&gt;="1",AM113,VLOOKUP(VALUE(I113),'Loyalty - Effec - 15July'!$I$5:$J$16,2,0)*AM113),0)</f>
        <v>0</v>
      </c>
      <c r="AO113" s="51">
        <v>0</v>
      </c>
      <c r="AP113" s="51">
        <f t="shared" si="48"/>
        <v>0</v>
      </c>
      <c r="AQ113" s="46" t="str">
        <f t="shared" si="49"/>
        <v>No</v>
      </c>
      <c r="AR113" s="46" t="str">
        <f t="shared" si="50"/>
        <v>AE2</v>
      </c>
      <c r="AS113" s="46" t="b">
        <f t="shared" si="51"/>
        <v>1</v>
      </c>
      <c r="AT113" s="82">
        <f t="shared" si="52"/>
        <v>0</v>
      </c>
      <c r="AU113" s="82">
        <f t="shared" si="53"/>
        <v>0</v>
      </c>
      <c r="AV113" s="82">
        <f t="shared" si="54"/>
        <v>0</v>
      </c>
      <c r="AW113" s="82">
        <f t="shared" si="55"/>
        <v>0</v>
      </c>
      <c r="AX113" s="85"/>
      <c r="AY113" s="82">
        <f t="shared" si="56"/>
        <v>0</v>
      </c>
      <c r="AZ113" s="82">
        <f t="shared" si="57"/>
        <v>0</v>
      </c>
      <c r="BA113" s="82">
        <f t="shared" si="58"/>
        <v>0</v>
      </c>
      <c r="BB113" s="83">
        <v>0</v>
      </c>
      <c r="BC113" s="83">
        <v>0</v>
      </c>
      <c r="BD113" s="83">
        <v>0</v>
      </c>
      <c r="BE113" s="84">
        <f>ROUND((IF(($AT113&lt;=700000),0,IF(((VLOOKUP($AR113,'Loyalty - Effec - 15July'!$B$5:$C$17,2,0)*$AT113)&lt;=120000),(VLOOKUP($AR113,'Loyalty - Effec - 15July'!$B$5:$C$17,2,0)*$AT113),120000))),0)</f>
        <v>0</v>
      </c>
      <c r="BF113" s="84">
        <f>ROUND(VLOOKUP($AR113,'Loyalty - Effec - 15July'!$B$5:$D$17,3,0)*$AT113,0)</f>
        <v>0</v>
      </c>
      <c r="BG113" s="85">
        <f t="shared" si="59"/>
        <v>0</v>
      </c>
      <c r="BH113" s="81">
        <f t="shared" si="60"/>
        <v>0</v>
      </c>
      <c r="BI113" s="85">
        <f t="shared" si="61"/>
        <v>0</v>
      </c>
      <c r="BJ113" s="85">
        <f t="shared" si="62"/>
        <v>0</v>
      </c>
      <c r="BK113" s="85">
        <f t="shared" si="63"/>
        <v>0</v>
      </c>
      <c r="BL113" s="85">
        <f t="shared" si="64"/>
        <v>0</v>
      </c>
      <c r="BM113" s="85">
        <f t="shared" si="65"/>
        <v>0</v>
      </c>
      <c r="BN113" s="85">
        <f t="shared" si="66"/>
        <v>0</v>
      </c>
      <c r="BO113" s="52" t="s">
        <v>85</v>
      </c>
      <c r="BP113" s="46"/>
      <c r="BQ113" s="46"/>
      <c r="BR113" s="47">
        <f t="shared" si="70"/>
        <v>0</v>
      </c>
      <c r="BU113" s="47">
        <f t="shared" si="68"/>
        <v>0</v>
      </c>
      <c r="BV113" s="53" t="s">
        <v>316</v>
      </c>
      <c r="BW113" s="53" t="s">
        <v>932</v>
      </c>
      <c r="BX113" s="53" t="s">
        <v>317</v>
      </c>
      <c r="BY113" s="53"/>
      <c r="BZ113" s="53"/>
    </row>
    <row r="114" spans="1:78">
      <c r="A114" s="42" t="s">
        <v>318</v>
      </c>
      <c r="B114" s="28" t="s">
        <v>79</v>
      </c>
      <c r="C114" s="28" t="s">
        <v>80</v>
      </c>
      <c r="D114" s="28" t="s">
        <v>932</v>
      </c>
      <c r="E114" s="43" t="s">
        <v>82</v>
      </c>
      <c r="F114" s="28" t="s">
        <v>901</v>
      </c>
      <c r="G114" s="44" t="s">
        <v>319</v>
      </c>
      <c r="H114" s="45">
        <v>44515</v>
      </c>
      <c r="I114" s="46" t="s">
        <v>989</v>
      </c>
      <c r="J114" s="28">
        <v>4</v>
      </c>
      <c r="K114" s="28" t="s">
        <v>413</v>
      </c>
      <c r="L114" s="28" t="s">
        <v>875</v>
      </c>
      <c r="M114" s="28" t="s">
        <v>0</v>
      </c>
      <c r="N114" s="28" t="str">
        <f t="shared" si="36"/>
        <v>AE2</v>
      </c>
      <c r="O114" s="81"/>
      <c r="P114" s="81">
        <f t="shared" si="37"/>
        <v>0</v>
      </c>
      <c r="Q114" s="81">
        <f t="shared" si="38"/>
        <v>0</v>
      </c>
      <c r="R114" s="81">
        <f t="shared" si="39"/>
        <v>0</v>
      </c>
      <c r="S114" s="81"/>
      <c r="T114" s="82">
        <f t="shared" si="40"/>
        <v>0</v>
      </c>
      <c r="U114" s="82">
        <f t="shared" si="41"/>
        <v>0</v>
      </c>
      <c r="V114" s="82">
        <f t="shared" si="42"/>
        <v>0</v>
      </c>
      <c r="W114" s="83">
        <v>0</v>
      </c>
      <c r="X114" s="83">
        <v>0</v>
      </c>
      <c r="Y114" s="83">
        <v>0</v>
      </c>
      <c r="Z114" s="84">
        <f>ROUND((IF(($O114&lt;=700000),0,IF(((VLOOKUP($M114,'Loyalty - Effec - 15July'!$B$5:$C$17,2,0)*$O114)&lt;=120000),(VLOOKUP($M114,'Loyalty - Effec - 15July'!$B$5:$C$17,2,0)*$O114),120000))),0)</f>
        <v>0</v>
      </c>
      <c r="AA114" s="84">
        <f>ROUND(VLOOKUP($M114,'Loyalty - Effec - 15July'!$B$5:$D$17,3,0)*$O114,0)</f>
        <v>0</v>
      </c>
      <c r="AB114" s="85">
        <f t="shared" si="43"/>
        <v>0</v>
      </c>
      <c r="AC114" s="86">
        <f t="shared" si="44"/>
        <v>0</v>
      </c>
      <c r="AD114" s="87">
        <f t="shared" si="45"/>
        <v>0</v>
      </c>
      <c r="AE114" s="88">
        <f t="shared" si="46"/>
        <v>0</v>
      </c>
      <c r="AF114" s="88">
        <f t="shared" si="47"/>
        <v>0</v>
      </c>
      <c r="AG114" s="49" t="s">
        <v>170</v>
      </c>
      <c r="AH114" s="49" t="s">
        <v>909</v>
      </c>
      <c r="AI114" s="50"/>
      <c r="AJ114" s="46"/>
      <c r="AK114" s="46"/>
      <c r="AL114" s="46"/>
      <c r="AM114" s="51">
        <f>IF($AL114=4,VLOOKUP($AR114,'Loyalty Incentive v1'!$L$3:$Q$15,2,FALSE),
IF($AL114=3,VLOOKUP($AR114,'Loyalty Incentive v1'!$L$3:$Q$15,3,FALSE),
IF($AL114=2,VLOOKUP($AR114,'Loyalty Incentive v1'!$L$3:$Q$15,4,FALSE),
IF($AL114=1,VLOOKUP($AR114,'Loyalty Incentive v1'!$L$3:$Q$15,5,FALSE),
IF($AL114=0,VLOOKUP($AR114,'Loyalty Incentive v1'!$L$3:$Q$15,6,FALSE),0)))))</f>
        <v>0</v>
      </c>
      <c r="AN114" s="51">
        <f>IFERROR(IF(I114&gt;="1",AM114,VLOOKUP(VALUE(I114),'Loyalty - Effec - 15July'!$I$5:$J$16,2,0)*AM114),0)</f>
        <v>0</v>
      </c>
      <c r="AO114" s="51">
        <v>0</v>
      </c>
      <c r="AP114" s="51">
        <f t="shared" si="48"/>
        <v>0</v>
      </c>
      <c r="AQ114" s="46" t="str">
        <f t="shared" si="49"/>
        <v>No</v>
      </c>
      <c r="AR114" s="46" t="str">
        <f t="shared" si="50"/>
        <v>AE2</v>
      </c>
      <c r="AS114" s="46" t="b">
        <f t="shared" si="51"/>
        <v>1</v>
      </c>
      <c r="AT114" s="82">
        <f t="shared" si="52"/>
        <v>0</v>
      </c>
      <c r="AU114" s="82">
        <f t="shared" si="53"/>
        <v>0</v>
      </c>
      <c r="AV114" s="82">
        <f t="shared" si="54"/>
        <v>0</v>
      </c>
      <c r="AW114" s="82">
        <f t="shared" si="55"/>
        <v>0</v>
      </c>
      <c r="AX114" s="85"/>
      <c r="AY114" s="82">
        <f t="shared" si="56"/>
        <v>0</v>
      </c>
      <c r="AZ114" s="82">
        <f t="shared" si="57"/>
        <v>0</v>
      </c>
      <c r="BA114" s="82">
        <f t="shared" si="58"/>
        <v>0</v>
      </c>
      <c r="BB114" s="83">
        <v>0</v>
      </c>
      <c r="BC114" s="83">
        <v>0</v>
      </c>
      <c r="BD114" s="83">
        <v>0</v>
      </c>
      <c r="BE114" s="84">
        <f>ROUND((IF(($AT114&lt;=700000),0,IF(((VLOOKUP($AR114,'Loyalty - Effec - 15July'!$B$5:$C$17,2,0)*$AT114)&lt;=120000),(VLOOKUP($AR114,'Loyalty - Effec - 15July'!$B$5:$C$17,2,0)*$AT114),120000))),0)</f>
        <v>0</v>
      </c>
      <c r="BF114" s="84">
        <f>ROUND(VLOOKUP($AR114,'Loyalty - Effec - 15July'!$B$5:$D$17,3,0)*$AT114,0)</f>
        <v>0</v>
      </c>
      <c r="BG114" s="85">
        <f t="shared" si="59"/>
        <v>0</v>
      </c>
      <c r="BH114" s="81">
        <f t="shared" si="60"/>
        <v>0</v>
      </c>
      <c r="BI114" s="85">
        <f t="shared" si="61"/>
        <v>0</v>
      </c>
      <c r="BJ114" s="85">
        <f t="shared" si="62"/>
        <v>0</v>
      </c>
      <c r="BK114" s="85">
        <f t="shared" si="63"/>
        <v>0</v>
      </c>
      <c r="BL114" s="85">
        <f t="shared" si="64"/>
        <v>0</v>
      </c>
      <c r="BM114" s="85">
        <f t="shared" si="65"/>
        <v>0</v>
      </c>
      <c r="BN114" s="85">
        <f t="shared" si="66"/>
        <v>0</v>
      </c>
      <c r="BO114" s="52" t="s">
        <v>85</v>
      </c>
      <c r="BP114" s="46"/>
      <c r="BQ114" s="46"/>
      <c r="BR114" s="47">
        <f t="shared" si="70"/>
        <v>0</v>
      </c>
      <c r="BU114" s="47">
        <f t="shared" si="68"/>
        <v>0</v>
      </c>
      <c r="BV114" s="53" t="s">
        <v>318</v>
      </c>
      <c r="BW114" s="53" t="s">
        <v>932</v>
      </c>
      <c r="BX114" s="53" t="s">
        <v>319</v>
      </c>
      <c r="BY114" s="53"/>
      <c r="BZ114" s="53"/>
    </row>
    <row r="115" spans="1:78">
      <c r="A115" s="42" t="s">
        <v>320</v>
      </c>
      <c r="B115" s="28" t="s">
        <v>79</v>
      </c>
      <c r="C115" s="28" t="s">
        <v>80</v>
      </c>
      <c r="D115" s="28" t="s">
        <v>932</v>
      </c>
      <c r="E115" s="43" t="s">
        <v>82</v>
      </c>
      <c r="F115" s="28" t="s">
        <v>901</v>
      </c>
      <c r="G115" s="44" t="s">
        <v>321</v>
      </c>
      <c r="H115" s="45">
        <v>44515</v>
      </c>
      <c r="I115" s="46" t="s">
        <v>989</v>
      </c>
      <c r="J115" s="28">
        <v>5.0999999999999996</v>
      </c>
      <c r="K115" s="28" t="s">
        <v>413</v>
      </c>
      <c r="L115" s="28" t="s">
        <v>880</v>
      </c>
      <c r="M115" s="28" t="s">
        <v>0</v>
      </c>
      <c r="N115" s="28" t="str">
        <f t="shared" si="36"/>
        <v>AE2</v>
      </c>
      <c r="O115" s="81"/>
      <c r="P115" s="81">
        <f t="shared" si="37"/>
        <v>0</v>
      </c>
      <c r="Q115" s="81">
        <f t="shared" si="38"/>
        <v>0</v>
      </c>
      <c r="R115" s="81">
        <f t="shared" si="39"/>
        <v>0</v>
      </c>
      <c r="S115" s="81"/>
      <c r="T115" s="82">
        <f t="shared" si="40"/>
        <v>0</v>
      </c>
      <c r="U115" s="82">
        <f t="shared" si="41"/>
        <v>0</v>
      </c>
      <c r="V115" s="82">
        <f t="shared" si="42"/>
        <v>0</v>
      </c>
      <c r="W115" s="83">
        <v>0</v>
      </c>
      <c r="X115" s="83">
        <v>0</v>
      </c>
      <c r="Y115" s="83">
        <v>0</v>
      </c>
      <c r="Z115" s="84">
        <f>ROUND((IF(($O115&lt;=700000),0,IF(((VLOOKUP($M115,'Loyalty - Effec - 15July'!$B$5:$C$17,2,0)*$O115)&lt;=120000),(VLOOKUP($M115,'Loyalty - Effec - 15July'!$B$5:$C$17,2,0)*$O115),120000))),0)</f>
        <v>0</v>
      </c>
      <c r="AA115" s="84">
        <f>ROUND(VLOOKUP($M115,'Loyalty - Effec - 15July'!$B$5:$D$17,3,0)*$O115,0)</f>
        <v>0</v>
      </c>
      <c r="AB115" s="85">
        <f t="shared" si="43"/>
        <v>0</v>
      </c>
      <c r="AC115" s="86">
        <f t="shared" si="44"/>
        <v>0</v>
      </c>
      <c r="AD115" s="87">
        <f t="shared" si="45"/>
        <v>0</v>
      </c>
      <c r="AE115" s="88">
        <f t="shared" si="46"/>
        <v>0</v>
      </c>
      <c r="AF115" s="88">
        <f t="shared" si="47"/>
        <v>0</v>
      </c>
      <c r="AG115" s="49" t="s">
        <v>311</v>
      </c>
      <c r="AH115" s="49" t="s">
        <v>811</v>
      </c>
      <c r="AI115" s="50"/>
      <c r="AJ115" s="46"/>
      <c r="AK115" s="46"/>
      <c r="AL115" s="46"/>
      <c r="AM115" s="51">
        <f>IF($AL115=4,VLOOKUP($AR115,'Loyalty Incentive v1'!$L$3:$Q$15,2,FALSE),
IF($AL115=3,VLOOKUP($AR115,'Loyalty Incentive v1'!$L$3:$Q$15,3,FALSE),
IF($AL115=2,VLOOKUP($AR115,'Loyalty Incentive v1'!$L$3:$Q$15,4,FALSE),
IF($AL115=1,VLOOKUP($AR115,'Loyalty Incentive v1'!$L$3:$Q$15,5,FALSE),
IF($AL115=0,VLOOKUP($AR115,'Loyalty Incentive v1'!$L$3:$Q$15,6,FALSE),0)))))</f>
        <v>0</v>
      </c>
      <c r="AN115" s="51">
        <f>IFERROR(IF(I115&gt;="1",AM115,VLOOKUP(VALUE(I115),'Loyalty - Effec - 15July'!$I$5:$J$16,2,0)*AM115),0)</f>
        <v>0</v>
      </c>
      <c r="AO115" s="51">
        <v>0</v>
      </c>
      <c r="AP115" s="51">
        <f t="shared" si="48"/>
        <v>0</v>
      </c>
      <c r="AQ115" s="46" t="str">
        <f t="shared" si="49"/>
        <v>No</v>
      </c>
      <c r="AR115" s="46" t="str">
        <f t="shared" si="50"/>
        <v>AE2</v>
      </c>
      <c r="AS115" s="46" t="b">
        <f t="shared" si="51"/>
        <v>1</v>
      </c>
      <c r="AT115" s="82">
        <f t="shared" si="52"/>
        <v>0</v>
      </c>
      <c r="AU115" s="82">
        <f t="shared" si="53"/>
        <v>0</v>
      </c>
      <c r="AV115" s="82">
        <f t="shared" si="54"/>
        <v>0</v>
      </c>
      <c r="AW115" s="82">
        <f t="shared" si="55"/>
        <v>0</v>
      </c>
      <c r="AX115" s="85"/>
      <c r="AY115" s="82">
        <f t="shared" si="56"/>
        <v>0</v>
      </c>
      <c r="AZ115" s="82">
        <f t="shared" si="57"/>
        <v>0</v>
      </c>
      <c r="BA115" s="82">
        <f t="shared" si="58"/>
        <v>0</v>
      </c>
      <c r="BB115" s="83">
        <v>0</v>
      </c>
      <c r="BC115" s="83">
        <v>0</v>
      </c>
      <c r="BD115" s="83">
        <v>0</v>
      </c>
      <c r="BE115" s="84">
        <f>ROUND((IF(($AT115&lt;=700000),0,IF(((VLOOKUP($AR115,'Loyalty - Effec - 15July'!$B$5:$C$17,2,0)*$AT115)&lt;=120000),(VLOOKUP($AR115,'Loyalty - Effec - 15July'!$B$5:$C$17,2,0)*$AT115),120000))),0)</f>
        <v>0</v>
      </c>
      <c r="BF115" s="84">
        <f>ROUND(VLOOKUP($AR115,'Loyalty - Effec - 15July'!$B$5:$D$17,3,0)*$AT115,0)</f>
        <v>0</v>
      </c>
      <c r="BG115" s="85">
        <f t="shared" si="59"/>
        <v>0</v>
      </c>
      <c r="BH115" s="81">
        <f t="shared" si="60"/>
        <v>0</v>
      </c>
      <c r="BI115" s="85">
        <f t="shared" si="61"/>
        <v>0</v>
      </c>
      <c r="BJ115" s="85">
        <f t="shared" si="62"/>
        <v>0</v>
      </c>
      <c r="BK115" s="85">
        <f t="shared" si="63"/>
        <v>0</v>
      </c>
      <c r="BL115" s="85">
        <f t="shared" si="64"/>
        <v>0</v>
      </c>
      <c r="BM115" s="85">
        <f t="shared" si="65"/>
        <v>0</v>
      </c>
      <c r="BN115" s="85">
        <f t="shared" si="66"/>
        <v>0</v>
      </c>
      <c r="BO115" s="52" t="s">
        <v>85</v>
      </c>
      <c r="BP115" s="46"/>
      <c r="BQ115" s="46"/>
      <c r="BR115" s="47">
        <f t="shared" si="70"/>
        <v>0</v>
      </c>
      <c r="BU115" s="47">
        <f t="shared" si="68"/>
        <v>0</v>
      </c>
      <c r="BV115" s="53" t="s">
        <v>320</v>
      </c>
      <c r="BW115" s="53" t="s">
        <v>932</v>
      </c>
      <c r="BX115" s="53" t="s">
        <v>321</v>
      </c>
      <c r="BY115" s="53"/>
      <c r="BZ115" s="53"/>
    </row>
    <row r="116" spans="1:78">
      <c r="A116" s="42" t="s">
        <v>322</v>
      </c>
      <c r="B116" s="28" t="s">
        <v>79</v>
      </c>
      <c r="C116" s="28" t="s">
        <v>80</v>
      </c>
      <c r="D116" s="28" t="s">
        <v>932</v>
      </c>
      <c r="E116" s="43" t="s">
        <v>82</v>
      </c>
      <c r="F116" s="28" t="s">
        <v>901</v>
      </c>
      <c r="G116" s="44" t="s">
        <v>323</v>
      </c>
      <c r="H116" s="45">
        <v>44515</v>
      </c>
      <c r="I116" s="46" t="s">
        <v>989</v>
      </c>
      <c r="J116" s="28">
        <v>4</v>
      </c>
      <c r="K116" s="28" t="s">
        <v>407</v>
      </c>
      <c r="L116" s="28" t="s">
        <v>868</v>
      </c>
      <c r="M116" s="28" t="s">
        <v>0</v>
      </c>
      <c r="N116" s="28" t="str">
        <f t="shared" si="36"/>
        <v>AE2</v>
      </c>
      <c r="O116" s="81"/>
      <c r="P116" s="81">
        <f t="shared" si="37"/>
        <v>0</v>
      </c>
      <c r="Q116" s="81">
        <f t="shared" si="38"/>
        <v>0</v>
      </c>
      <c r="R116" s="81">
        <f t="shared" si="39"/>
        <v>0</v>
      </c>
      <c r="S116" s="81"/>
      <c r="T116" s="82">
        <f t="shared" si="40"/>
        <v>0</v>
      </c>
      <c r="U116" s="82">
        <f t="shared" si="41"/>
        <v>0</v>
      </c>
      <c r="V116" s="82">
        <f t="shared" si="42"/>
        <v>0</v>
      </c>
      <c r="W116" s="83">
        <v>0</v>
      </c>
      <c r="X116" s="83">
        <v>0</v>
      </c>
      <c r="Y116" s="83">
        <v>0</v>
      </c>
      <c r="Z116" s="84">
        <f>ROUND((IF(($O116&lt;=700000),0,IF(((VLOOKUP($M116,'Loyalty - Effec - 15July'!$B$5:$C$17,2,0)*$O116)&lt;=120000),(VLOOKUP($M116,'Loyalty - Effec - 15July'!$B$5:$C$17,2,0)*$O116),120000))),0)</f>
        <v>0</v>
      </c>
      <c r="AA116" s="84">
        <f>ROUND(VLOOKUP($M116,'Loyalty - Effec - 15July'!$B$5:$D$17,3,0)*$O116,0)</f>
        <v>0</v>
      </c>
      <c r="AB116" s="85">
        <f t="shared" si="43"/>
        <v>0</v>
      </c>
      <c r="AC116" s="86">
        <f t="shared" si="44"/>
        <v>0</v>
      </c>
      <c r="AD116" s="87">
        <f t="shared" si="45"/>
        <v>0</v>
      </c>
      <c r="AE116" s="88">
        <f t="shared" si="46"/>
        <v>0</v>
      </c>
      <c r="AF116" s="88">
        <f t="shared" si="47"/>
        <v>0</v>
      </c>
      <c r="AG116" s="49" t="s">
        <v>702</v>
      </c>
      <c r="AH116" s="49" t="s">
        <v>349</v>
      </c>
      <c r="AI116" s="50"/>
      <c r="AJ116" s="46"/>
      <c r="AK116" s="46"/>
      <c r="AL116" s="46"/>
      <c r="AM116" s="51">
        <f>IF($AL116=4,VLOOKUP($AR116,'Loyalty Incentive v1'!$L$3:$Q$15,2,FALSE),
IF($AL116=3,VLOOKUP($AR116,'Loyalty Incentive v1'!$L$3:$Q$15,3,FALSE),
IF($AL116=2,VLOOKUP($AR116,'Loyalty Incentive v1'!$L$3:$Q$15,4,FALSE),
IF($AL116=1,VLOOKUP($AR116,'Loyalty Incentive v1'!$L$3:$Q$15,5,FALSE),
IF($AL116=0,VLOOKUP($AR116,'Loyalty Incentive v1'!$L$3:$Q$15,6,FALSE),0)))))</f>
        <v>0</v>
      </c>
      <c r="AN116" s="51">
        <f>IFERROR(IF(I116&gt;="1",AM116,VLOOKUP(VALUE(I116),'Loyalty - Effec - 15July'!$I$5:$J$16,2,0)*AM116),0)</f>
        <v>0</v>
      </c>
      <c r="AO116" s="51">
        <v>0</v>
      </c>
      <c r="AP116" s="51">
        <f t="shared" si="48"/>
        <v>0</v>
      </c>
      <c r="AQ116" s="46" t="str">
        <f t="shared" si="49"/>
        <v>No</v>
      </c>
      <c r="AR116" s="46" t="str">
        <f t="shared" si="50"/>
        <v>AE2</v>
      </c>
      <c r="AS116" s="46" t="b">
        <f t="shared" si="51"/>
        <v>1</v>
      </c>
      <c r="AT116" s="82">
        <f t="shared" si="52"/>
        <v>0</v>
      </c>
      <c r="AU116" s="82">
        <f t="shared" si="53"/>
        <v>0</v>
      </c>
      <c r="AV116" s="82">
        <f t="shared" si="54"/>
        <v>0</v>
      </c>
      <c r="AW116" s="82">
        <f t="shared" si="55"/>
        <v>0</v>
      </c>
      <c r="AX116" s="85"/>
      <c r="AY116" s="82">
        <f t="shared" si="56"/>
        <v>0</v>
      </c>
      <c r="AZ116" s="82">
        <f t="shared" si="57"/>
        <v>0</v>
      </c>
      <c r="BA116" s="82">
        <f t="shared" si="58"/>
        <v>0</v>
      </c>
      <c r="BB116" s="83">
        <v>0</v>
      </c>
      <c r="BC116" s="83">
        <v>0</v>
      </c>
      <c r="BD116" s="83">
        <v>0</v>
      </c>
      <c r="BE116" s="84">
        <f>ROUND((IF(($AT116&lt;=700000),0,IF(((VLOOKUP($AR116,'Loyalty - Effec - 15July'!$B$5:$C$17,2,0)*$AT116)&lt;=120000),(VLOOKUP($AR116,'Loyalty - Effec - 15July'!$B$5:$C$17,2,0)*$AT116),120000))),0)</f>
        <v>0</v>
      </c>
      <c r="BF116" s="84">
        <f>ROUND(VLOOKUP($AR116,'Loyalty - Effec - 15July'!$B$5:$D$17,3,0)*$AT116,0)</f>
        <v>0</v>
      </c>
      <c r="BG116" s="85">
        <f t="shared" si="59"/>
        <v>0</v>
      </c>
      <c r="BH116" s="81">
        <f t="shared" si="60"/>
        <v>0</v>
      </c>
      <c r="BI116" s="85">
        <f t="shared" si="61"/>
        <v>0</v>
      </c>
      <c r="BJ116" s="85">
        <f t="shared" si="62"/>
        <v>0</v>
      </c>
      <c r="BK116" s="85">
        <f t="shared" si="63"/>
        <v>0</v>
      </c>
      <c r="BL116" s="85">
        <f t="shared" si="64"/>
        <v>0</v>
      </c>
      <c r="BM116" s="85">
        <f t="shared" si="65"/>
        <v>0</v>
      </c>
      <c r="BN116" s="85">
        <f t="shared" si="66"/>
        <v>0</v>
      </c>
      <c r="BO116" s="52" t="s">
        <v>85</v>
      </c>
      <c r="BP116" s="46"/>
      <c r="BQ116" s="46"/>
      <c r="BR116" s="47">
        <f t="shared" si="70"/>
        <v>0</v>
      </c>
      <c r="BU116" s="47">
        <f t="shared" si="68"/>
        <v>0</v>
      </c>
      <c r="BV116" s="53" t="s">
        <v>322</v>
      </c>
      <c r="BW116" s="53" t="s">
        <v>932</v>
      </c>
      <c r="BX116" s="53" t="s">
        <v>323</v>
      </c>
      <c r="BY116" s="53"/>
      <c r="BZ116" s="53"/>
    </row>
    <row r="117" spans="1:78">
      <c r="A117" s="42" t="s">
        <v>324</v>
      </c>
      <c r="B117" s="28" t="s">
        <v>79</v>
      </c>
      <c r="C117" s="28" t="s">
        <v>80</v>
      </c>
      <c r="D117" s="28" t="s">
        <v>932</v>
      </c>
      <c r="E117" s="43" t="s">
        <v>82</v>
      </c>
      <c r="F117" s="28" t="s">
        <v>901</v>
      </c>
      <c r="G117" s="44" t="s">
        <v>325</v>
      </c>
      <c r="H117" s="45">
        <v>44515</v>
      </c>
      <c r="I117" s="46" t="s">
        <v>989</v>
      </c>
      <c r="J117" s="28">
        <v>0</v>
      </c>
      <c r="K117" s="28" t="s">
        <v>413</v>
      </c>
      <c r="L117" s="28" t="s">
        <v>880</v>
      </c>
      <c r="M117" s="28" t="s">
        <v>0</v>
      </c>
      <c r="N117" s="28" t="str">
        <f t="shared" si="36"/>
        <v>AE2</v>
      </c>
      <c r="O117" s="81"/>
      <c r="P117" s="81">
        <f t="shared" si="37"/>
        <v>0</v>
      </c>
      <c r="Q117" s="81">
        <f t="shared" si="38"/>
        <v>0</v>
      </c>
      <c r="R117" s="81">
        <f t="shared" si="39"/>
        <v>0</v>
      </c>
      <c r="S117" s="81"/>
      <c r="T117" s="82">
        <f t="shared" si="40"/>
        <v>0</v>
      </c>
      <c r="U117" s="82">
        <f t="shared" si="41"/>
        <v>0</v>
      </c>
      <c r="V117" s="82">
        <f t="shared" si="42"/>
        <v>0</v>
      </c>
      <c r="W117" s="83">
        <v>0</v>
      </c>
      <c r="X117" s="83">
        <v>0</v>
      </c>
      <c r="Y117" s="83">
        <v>0</v>
      </c>
      <c r="Z117" s="84">
        <f>ROUND((IF(($O117&lt;=700000),0,IF(((VLOOKUP($M117,'Loyalty - Effec - 15July'!$B$5:$C$17,2,0)*$O117)&lt;=120000),(VLOOKUP($M117,'Loyalty - Effec - 15July'!$B$5:$C$17,2,0)*$O117),120000))),0)</f>
        <v>0</v>
      </c>
      <c r="AA117" s="84">
        <f>ROUND(VLOOKUP($M117,'Loyalty - Effec - 15July'!$B$5:$D$17,3,0)*$O117,0)</f>
        <v>0</v>
      </c>
      <c r="AB117" s="85">
        <f t="shared" si="43"/>
        <v>0</v>
      </c>
      <c r="AC117" s="86">
        <f t="shared" si="44"/>
        <v>0</v>
      </c>
      <c r="AD117" s="87">
        <f t="shared" si="45"/>
        <v>0</v>
      </c>
      <c r="AE117" s="88">
        <f t="shared" si="46"/>
        <v>0</v>
      </c>
      <c r="AF117" s="88">
        <f t="shared" si="47"/>
        <v>0</v>
      </c>
      <c r="AG117" s="49" t="s">
        <v>311</v>
      </c>
      <c r="AH117" s="49" t="s">
        <v>811</v>
      </c>
      <c r="AI117" s="50"/>
      <c r="AJ117" s="46"/>
      <c r="AK117" s="46"/>
      <c r="AL117" s="46"/>
      <c r="AM117" s="51">
        <f>IF($AL117=4,VLOOKUP($AR117,'Loyalty Incentive v1'!$L$3:$Q$15,2,FALSE),
IF($AL117=3,VLOOKUP($AR117,'Loyalty Incentive v1'!$L$3:$Q$15,3,FALSE),
IF($AL117=2,VLOOKUP($AR117,'Loyalty Incentive v1'!$L$3:$Q$15,4,FALSE),
IF($AL117=1,VLOOKUP($AR117,'Loyalty Incentive v1'!$L$3:$Q$15,5,FALSE),
IF($AL117=0,VLOOKUP($AR117,'Loyalty Incentive v1'!$L$3:$Q$15,6,FALSE),0)))))</f>
        <v>0</v>
      </c>
      <c r="AN117" s="51">
        <f>IFERROR(IF(I117&gt;="1",AM117,VLOOKUP(VALUE(I117),'Loyalty - Effec - 15July'!$I$5:$J$16,2,0)*AM117),0)</f>
        <v>0</v>
      </c>
      <c r="AO117" s="51">
        <v>0</v>
      </c>
      <c r="AP117" s="51">
        <f t="shared" si="48"/>
        <v>0</v>
      </c>
      <c r="AQ117" s="46" t="str">
        <f t="shared" si="49"/>
        <v>No</v>
      </c>
      <c r="AR117" s="46" t="str">
        <f t="shared" si="50"/>
        <v>AE2</v>
      </c>
      <c r="AS117" s="46" t="b">
        <f t="shared" si="51"/>
        <v>1</v>
      </c>
      <c r="AT117" s="82">
        <f t="shared" si="52"/>
        <v>0</v>
      </c>
      <c r="AU117" s="82">
        <f t="shared" si="53"/>
        <v>0</v>
      </c>
      <c r="AV117" s="82">
        <f t="shared" si="54"/>
        <v>0</v>
      </c>
      <c r="AW117" s="82">
        <f t="shared" si="55"/>
        <v>0</v>
      </c>
      <c r="AX117" s="85"/>
      <c r="AY117" s="82">
        <f t="shared" si="56"/>
        <v>0</v>
      </c>
      <c r="AZ117" s="82">
        <f t="shared" si="57"/>
        <v>0</v>
      </c>
      <c r="BA117" s="82">
        <f t="shared" si="58"/>
        <v>0</v>
      </c>
      <c r="BB117" s="83">
        <v>0</v>
      </c>
      <c r="BC117" s="83">
        <v>0</v>
      </c>
      <c r="BD117" s="83">
        <v>0</v>
      </c>
      <c r="BE117" s="84">
        <f>ROUND((IF(($AT117&lt;=700000),0,IF(((VLOOKUP($AR117,'Loyalty - Effec - 15July'!$B$5:$C$17,2,0)*$AT117)&lt;=120000),(VLOOKUP($AR117,'Loyalty - Effec - 15July'!$B$5:$C$17,2,0)*$AT117),120000))),0)</f>
        <v>0</v>
      </c>
      <c r="BF117" s="84">
        <f>ROUND(VLOOKUP($AR117,'Loyalty - Effec - 15July'!$B$5:$D$17,3,0)*$AT117,0)</f>
        <v>0</v>
      </c>
      <c r="BG117" s="85">
        <f t="shared" si="59"/>
        <v>0</v>
      </c>
      <c r="BH117" s="81">
        <f t="shared" si="60"/>
        <v>0</v>
      </c>
      <c r="BI117" s="85">
        <f t="shared" si="61"/>
        <v>0</v>
      </c>
      <c r="BJ117" s="85">
        <f t="shared" si="62"/>
        <v>0</v>
      </c>
      <c r="BK117" s="85">
        <f t="shared" si="63"/>
        <v>0</v>
      </c>
      <c r="BL117" s="85">
        <f t="shared" si="64"/>
        <v>0</v>
      </c>
      <c r="BM117" s="85">
        <f t="shared" si="65"/>
        <v>0</v>
      </c>
      <c r="BN117" s="85">
        <f t="shared" si="66"/>
        <v>0</v>
      </c>
      <c r="BO117" s="52" t="s">
        <v>85</v>
      </c>
      <c r="BP117" s="46"/>
      <c r="BQ117" s="46"/>
      <c r="BR117" s="47">
        <f>BG117-AB117</f>
        <v>0</v>
      </c>
      <c r="BU117" s="47">
        <f t="shared" si="68"/>
        <v>0</v>
      </c>
      <c r="BV117" s="53" t="s">
        <v>324</v>
      </c>
      <c r="BW117" s="53" t="s">
        <v>932</v>
      </c>
      <c r="BX117" s="53" t="s">
        <v>325</v>
      </c>
      <c r="BY117" s="53"/>
      <c r="BZ117" s="53"/>
    </row>
    <row r="118" spans="1:78">
      <c r="A118" s="42" t="s">
        <v>326</v>
      </c>
      <c r="B118" s="28" t="s">
        <v>79</v>
      </c>
      <c r="C118" s="28" t="s">
        <v>80</v>
      </c>
      <c r="D118" s="28" t="s">
        <v>932</v>
      </c>
      <c r="E118" s="43" t="s">
        <v>82</v>
      </c>
      <c r="F118" s="28" t="s">
        <v>901</v>
      </c>
      <c r="G118" s="44" t="s">
        <v>327</v>
      </c>
      <c r="H118" s="45">
        <v>44515</v>
      </c>
      <c r="I118" s="46" t="s">
        <v>989</v>
      </c>
      <c r="J118" s="28">
        <v>0</v>
      </c>
      <c r="K118" s="28" t="s">
        <v>413</v>
      </c>
      <c r="L118" s="28" t="s">
        <v>880</v>
      </c>
      <c r="M118" s="28" t="s">
        <v>0</v>
      </c>
      <c r="N118" s="28" t="str">
        <f t="shared" si="36"/>
        <v>AE2</v>
      </c>
      <c r="O118" s="81"/>
      <c r="P118" s="81">
        <f t="shared" si="37"/>
        <v>0</v>
      </c>
      <c r="Q118" s="81">
        <f t="shared" si="38"/>
        <v>0</v>
      </c>
      <c r="R118" s="81">
        <f t="shared" si="39"/>
        <v>0</v>
      </c>
      <c r="S118" s="81"/>
      <c r="T118" s="82">
        <f t="shared" si="40"/>
        <v>0</v>
      </c>
      <c r="U118" s="82">
        <f t="shared" si="41"/>
        <v>0</v>
      </c>
      <c r="V118" s="82">
        <f t="shared" si="42"/>
        <v>0</v>
      </c>
      <c r="W118" s="83">
        <v>0</v>
      </c>
      <c r="X118" s="83">
        <v>0</v>
      </c>
      <c r="Y118" s="83">
        <v>0</v>
      </c>
      <c r="Z118" s="84">
        <f>ROUND((IF(($O118&lt;=700000),0,IF(((VLOOKUP($M118,'Loyalty - Effec - 15July'!$B$5:$C$17,2,0)*$O118)&lt;=120000),(VLOOKUP($M118,'Loyalty - Effec - 15July'!$B$5:$C$17,2,0)*$O118),120000))),0)</f>
        <v>0</v>
      </c>
      <c r="AA118" s="84">
        <f>ROUND(VLOOKUP($M118,'Loyalty - Effec - 15July'!$B$5:$D$17,3,0)*$O118,0)</f>
        <v>0</v>
      </c>
      <c r="AB118" s="85">
        <f t="shared" si="43"/>
        <v>0</v>
      </c>
      <c r="AC118" s="86">
        <f t="shared" si="44"/>
        <v>0</v>
      </c>
      <c r="AD118" s="87">
        <f t="shared" si="45"/>
        <v>0</v>
      </c>
      <c r="AE118" s="88">
        <f t="shared" si="46"/>
        <v>0</v>
      </c>
      <c r="AF118" s="88">
        <f t="shared" si="47"/>
        <v>0</v>
      </c>
      <c r="AG118" s="49" t="s">
        <v>100</v>
      </c>
      <c r="AH118" s="49" t="s">
        <v>126</v>
      </c>
      <c r="AI118" s="50"/>
      <c r="AJ118" s="46"/>
      <c r="AK118" s="46"/>
      <c r="AL118" s="46"/>
      <c r="AM118" s="51">
        <f>IF($AL118=4,VLOOKUP($AR118,'Loyalty Incentive v1'!$L$3:$Q$15,2,FALSE),
IF($AL118=3,VLOOKUP($AR118,'Loyalty Incentive v1'!$L$3:$Q$15,3,FALSE),
IF($AL118=2,VLOOKUP($AR118,'Loyalty Incentive v1'!$L$3:$Q$15,4,FALSE),
IF($AL118=1,VLOOKUP($AR118,'Loyalty Incentive v1'!$L$3:$Q$15,5,FALSE),
IF($AL118=0,VLOOKUP($AR118,'Loyalty Incentive v1'!$L$3:$Q$15,6,FALSE),0)))))</f>
        <v>0</v>
      </c>
      <c r="AN118" s="51">
        <f>IFERROR(IF(I118&gt;="1",AM118,VLOOKUP(VALUE(I118),'Loyalty - Effec - 15July'!$I$5:$J$16,2,0)*AM118),0)</f>
        <v>0</v>
      </c>
      <c r="AO118" s="51">
        <v>0</v>
      </c>
      <c r="AP118" s="51">
        <f t="shared" si="48"/>
        <v>0</v>
      </c>
      <c r="AQ118" s="46" t="str">
        <f t="shared" si="49"/>
        <v>No</v>
      </c>
      <c r="AR118" s="46" t="str">
        <f t="shared" si="50"/>
        <v>AE2</v>
      </c>
      <c r="AS118" s="46" t="b">
        <f t="shared" si="51"/>
        <v>1</v>
      </c>
      <c r="AT118" s="82">
        <f t="shared" si="52"/>
        <v>0</v>
      </c>
      <c r="AU118" s="82">
        <f t="shared" si="53"/>
        <v>0</v>
      </c>
      <c r="AV118" s="82">
        <f t="shared" si="54"/>
        <v>0</v>
      </c>
      <c r="AW118" s="82">
        <f t="shared" si="55"/>
        <v>0</v>
      </c>
      <c r="AX118" s="85"/>
      <c r="AY118" s="82">
        <f t="shared" si="56"/>
        <v>0</v>
      </c>
      <c r="AZ118" s="82">
        <f t="shared" si="57"/>
        <v>0</v>
      </c>
      <c r="BA118" s="82">
        <f t="shared" si="58"/>
        <v>0</v>
      </c>
      <c r="BB118" s="83">
        <v>0</v>
      </c>
      <c r="BC118" s="83">
        <v>0</v>
      </c>
      <c r="BD118" s="83">
        <v>0</v>
      </c>
      <c r="BE118" s="84">
        <f>ROUND((IF(($AT118&lt;=700000),0,IF(((VLOOKUP($AR118,'Loyalty - Effec - 15July'!$B$5:$C$17,2,0)*$AT118)&lt;=120000),(VLOOKUP($AR118,'Loyalty - Effec - 15July'!$B$5:$C$17,2,0)*$AT118),120000))),0)</f>
        <v>0</v>
      </c>
      <c r="BF118" s="84">
        <f>ROUND(VLOOKUP($AR118,'Loyalty - Effec - 15July'!$B$5:$D$17,3,0)*$AT118,0)</f>
        <v>0</v>
      </c>
      <c r="BG118" s="85">
        <f t="shared" si="59"/>
        <v>0</v>
      </c>
      <c r="BH118" s="81">
        <f t="shared" si="60"/>
        <v>0</v>
      </c>
      <c r="BI118" s="85">
        <f t="shared" si="61"/>
        <v>0</v>
      </c>
      <c r="BJ118" s="85">
        <f t="shared" si="62"/>
        <v>0</v>
      </c>
      <c r="BK118" s="85">
        <f t="shared" si="63"/>
        <v>0</v>
      </c>
      <c r="BL118" s="85">
        <f t="shared" si="64"/>
        <v>0</v>
      </c>
      <c r="BM118" s="85">
        <f t="shared" si="65"/>
        <v>0</v>
      </c>
      <c r="BN118" s="85">
        <f t="shared" si="66"/>
        <v>0</v>
      </c>
      <c r="BO118" s="52" t="s">
        <v>85</v>
      </c>
      <c r="BP118" s="46"/>
      <c r="BQ118" s="46"/>
      <c r="BR118" s="47">
        <f>BG118-AB118</f>
        <v>0</v>
      </c>
      <c r="BU118" s="47">
        <f t="shared" si="68"/>
        <v>0</v>
      </c>
      <c r="BV118" s="53" t="s">
        <v>326</v>
      </c>
      <c r="BW118" s="53" t="s">
        <v>932</v>
      </c>
      <c r="BX118" s="53" t="s">
        <v>327</v>
      </c>
      <c r="BY118" s="53"/>
      <c r="BZ118" s="53"/>
    </row>
    <row r="119" spans="1:78">
      <c r="A119" s="42" t="s">
        <v>308</v>
      </c>
      <c r="B119" s="28" t="s">
        <v>79</v>
      </c>
      <c r="C119" s="28" t="s">
        <v>80</v>
      </c>
      <c r="D119" s="28" t="s">
        <v>932</v>
      </c>
      <c r="E119" s="43" t="s">
        <v>82</v>
      </c>
      <c r="F119" s="28" t="s">
        <v>902</v>
      </c>
      <c r="G119" s="44" t="s">
        <v>309</v>
      </c>
      <c r="H119" s="45">
        <v>44517</v>
      </c>
      <c r="I119" s="46" t="s">
        <v>989</v>
      </c>
      <c r="J119" s="28">
        <v>6</v>
      </c>
      <c r="K119" s="28" t="s">
        <v>413</v>
      </c>
      <c r="L119" s="28" t="s">
        <v>875</v>
      </c>
      <c r="M119" s="28" t="s">
        <v>1</v>
      </c>
      <c r="N119" s="28" t="str">
        <f t="shared" si="36"/>
        <v>AE3</v>
      </c>
      <c r="O119" s="81"/>
      <c r="P119" s="81">
        <f t="shared" si="37"/>
        <v>0</v>
      </c>
      <c r="Q119" s="81">
        <f t="shared" si="38"/>
        <v>0</v>
      </c>
      <c r="R119" s="81">
        <f t="shared" si="39"/>
        <v>0</v>
      </c>
      <c r="S119" s="81"/>
      <c r="T119" s="82">
        <f t="shared" si="40"/>
        <v>0</v>
      </c>
      <c r="U119" s="82">
        <f t="shared" si="41"/>
        <v>0</v>
      </c>
      <c r="V119" s="82">
        <f t="shared" si="42"/>
        <v>0</v>
      </c>
      <c r="W119" s="83">
        <v>0</v>
      </c>
      <c r="X119" s="83">
        <v>0</v>
      </c>
      <c r="Y119" s="83">
        <v>0</v>
      </c>
      <c r="Z119" s="84">
        <f>ROUND((IF(($O119&lt;=700000),0,IF(((VLOOKUP($M119,'Loyalty - Effec - 15July'!$B$5:$C$17,2,0)*$O119)&lt;=120000),(VLOOKUP($M119,'Loyalty - Effec - 15July'!$B$5:$C$17,2,0)*$O119),120000))),0)</f>
        <v>0</v>
      </c>
      <c r="AA119" s="84">
        <f>ROUND(VLOOKUP($M119,'Loyalty - Effec - 15July'!$B$5:$D$17,3,0)*$O119,0)</f>
        <v>0</v>
      </c>
      <c r="AB119" s="85">
        <f t="shared" si="43"/>
        <v>0</v>
      </c>
      <c r="AC119" s="86">
        <f t="shared" si="44"/>
        <v>0</v>
      </c>
      <c r="AD119" s="87">
        <f t="shared" si="45"/>
        <v>0</v>
      </c>
      <c r="AE119" s="88">
        <f t="shared" si="46"/>
        <v>0</v>
      </c>
      <c r="AF119" s="88">
        <f t="shared" si="47"/>
        <v>0</v>
      </c>
      <c r="AG119" s="49" t="s">
        <v>170</v>
      </c>
      <c r="AH119" s="49" t="s">
        <v>909</v>
      </c>
      <c r="AI119" s="50"/>
      <c r="AJ119" s="46"/>
      <c r="AK119" s="46"/>
      <c r="AL119" s="46"/>
      <c r="AM119" s="51">
        <f>IF($AL119=4,VLOOKUP($AR119,'Loyalty Incentive v1'!$L$3:$Q$15,2,FALSE),
IF($AL119=3,VLOOKUP($AR119,'Loyalty Incentive v1'!$L$3:$Q$15,3,FALSE),
IF($AL119=2,VLOOKUP($AR119,'Loyalty Incentive v1'!$L$3:$Q$15,4,FALSE),
IF($AL119=1,VLOOKUP($AR119,'Loyalty Incentive v1'!$L$3:$Q$15,5,FALSE),
IF($AL119=0,VLOOKUP($AR119,'Loyalty Incentive v1'!$L$3:$Q$15,6,FALSE),0)))))</f>
        <v>0</v>
      </c>
      <c r="AN119" s="51">
        <f>IFERROR(IF(I119&gt;="1",AM119,VLOOKUP(VALUE(I119),'Loyalty - Effec - 15July'!$I$5:$J$16,2,0)*AM119),0)</f>
        <v>0</v>
      </c>
      <c r="AO119" s="51">
        <v>0</v>
      </c>
      <c r="AP119" s="51">
        <f t="shared" si="48"/>
        <v>0</v>
      </c>
      <c r="AQ119" s="46" t="str">
        <f t="shared" si="49"/>
        <v>No</v>
      </c>
      <c r="AR119" s="46" t="str">
        <f t="shared" si="50"/>
        <v>AE3</v>
      </c>
      <c r="AS119" s="46" t="b">
        <f t="shared" si="51"/>
        <v>1</v>
      </c>
      <c r="AT119" s="82">
        <f t="shared" si="52"/>
        <v>0</v>
      </c>
      <c r="AU119" s="82">
        <f t="shared" si="53"/>
        <v>0</v>
      </c>
      <c r="AV119" s="82">
        <f t="shared" si="54"/>
        <v>0</v>
      </c>
      <c r="AW119" s="82">
        <f t="shared" si="55"/>
        <v>0</v>
      </c>
      <c r="AX119" s="85"/>
      <c r="AY119" s="82">
        <f t="shared" si="56"/>
        <v>0</v>
      </c>
      <c r="AZ119" s="82">
        <f t="shared" si="57"/>
        <v>0</v>
      </c>
      <c r="BA119" s="82">
        <f t="shared" si="58"/>
        <v>0</v>
      </c>
      <c r="BB119" s="83">
        <v>0</v>
      </c>
      <c r="BC119" s="83">
        <v>0</v>
      </c>
      <c r="BD119" s="83">
        <v>0</v>
      </c>
      <c r="BE119" s="84">
        <f>ROUND((IF(($AT119&lt;=700000),0,IF(((VLOOKUP($AR119,'Loyalty - Effec - 15July'!$B$5:$C$17,2,0)*$AT119)&lt;=120000),(VLOOKUP($AR119,'Loyalty - Effec - 15July'!$B$5:$C$17,2,0)*$AT119),120000))),0)</f>
        <v>0</v>
      </c>
      <c r="BF119" s="84">
        <f>ROUND(VLOOKUP($AR119,'Loyalty - Effec - 15July'!$B$5:$D$17,3,0)*$AT119,0)</f>
        <v>0</v>
      </c>
      <c r="BG119" s="85">
        <f t="shared" si="59"/>
        <v>0</v>
      </c>
      <c r="BH119" s="81">
        <f t="shared" si="60"/>
        <v>0</v>
      </c>
      <c r="BI119" s="85">
        <f t="shared" si="61"/>
        <v>0</v>
      </c>
      <c r="BJ119" s="85">
        <f t="shared" si="62"/>
        <v>0</v>
      </c>
      <c r="BK119" s="85">
        <f t="shared" si="63"/>
        <v>0</v>
      </c>
      <c r="BL119" s="85">
        <f t="shared" si="64"/>
        <v>0</v>
      </c>
      <c r="BM119" s="85">
        <f t="shared" si="65"/>
        <v>0</v>
      </c>
      <c r="BN119" s="85">
        <f t="shared" si="66"/>
        <v>0</v>
      </c>
      <c r="BO119" s="52" t="s">
        <v>85</v>
      </c>
      <c r="BP119" s="46"/>
      <c r="BQ119" s="46"/>
      <c r="BR119" s="47">
        <f>BG119-AT119</f>
        <v>0</v>
      </c>
      <c r="BU119" s="47">
        <f t="shared" si="68"/>
        <v>0</v>
      </c>
      <c r="BV119" s="53" t="s">
        <v>308</v>
      </c>
      <c r="BW119" s="53" t="s">
        <v>932</v>
      </c>
      <c r="BX119" s="53" t="s">
        <v>309</v>
      </c>
      <c r="BY119" s="53"/>
      <c r="BZ119" s="53"/>
    </row>
    <row r="120" spans="1:78">
      <c r="A120" s="42" t="s">
        <v>330</v>
      </c>
      <c r="B120" s="28" t="s">
        <v>79</v>
      </c>
      <c r="C120" s="28" t="s">
        <v>80</v>
      </c>
      <c r="D120" s="28" t="s">
        <v>932</v>
      </c>
      <c r="E120" s="43" t="s">
        <v>82</v>
      </c>
      <c r="F120" s="28" t="s">
        <v>902</v>
      </c>
      <c r="G120" s="44" t="s">
        <v>331</v>
      </c>
      <c r="H120" s="45">
        <v>44532</v>
      </c>
      <c r="I120" s="46" t="s">
        <v>990</v>
      </c>
      <c r="J120" s="28">
        <v>1.5</v>
      </c>
      <c r="K120" s="28" t="s">
        <v>407</v>
      </c>
      <c r="L120" s="28" t="s">
        <v>868</v>
      </c>
      <c r="M120" s="28" t="s">
        <v>3</v>
      </c>
      <c r="N120" s="28" t="str">
        <f t="shared" ref="N120:N178" si="71">M120</f>
        <v>AE5</v>
      </c>
      <c r="O120" s="81"/>
      <c r="P120" s="81">
        <f t="shared" ref="P120:P178" si="72">CEILING(ROUND(($O120*50%),2),10)</f>
        <v>0</v>
      </c>
      <c r="Q120" s="81">
        <f t="shared" ref="Q120:Q178" si="73">ROUND((P120*25%),2)</f>
        <v>0</v>
      </c>
      <c r="R120" s="81">
        <f t="shared" ref="R120:R178" si="74">ROUND((P120*10%),2)</f>
        <v>0</v>
      </c>
      <c r="S120" s="81"/>
      <c r="T120" s="82">
        <f t="shared" ref="T120:T178" si="75">SUM(P120:S120)</f>
        <v>0</v>
      </c>
      <c r="U120" s="82">
        <f t="shared" ref="U120:U178" si="76">ROUND(IF(($T120-$Q120)&lt;=180000,($T120-$Q120)*12%,(180000*12%)),2)</f>
        <v>0</v>
      </c>
      <c r="V120" s="82">
        <f t="shared" ref="V120:V178" si="77">ROUND(IF(($T120&lt;=252000),($T120*3.25%),0),2)</f>
        <v>0</v>
      </c>
      <c r="W120" s="83">
        <v>0</v>
      </c>
      <c r="X120" s="83">
        <v>0</v>
      </c>
      <c r="Y120" s="83">
        <v>0</v>
      </c>
      <c r="Z120" s="84">
        <f>ROUND((IF(($O120&lt;=700000),0,IF(((VLOOKUP($M120,'Loyalty - Effec - 15July'!$B$5:$C$17,2,0)*$O120)&lt;=120000),(VLOOKUP($M120,'Loyalty - Effec - 15July'!$B$5:$C$17,2,0)*$O120),120000))),0)</f>
        <v>0</v>
      </c>
      <c r="AA120" s="84">
        <f>ROUND(VLOOKUP($M120,'Loyalty - Effec - 15July'!$B$5:$D$17,3,0)*$O120,0)</f>
        <v>0</v>
      </c>
      <c r="AB120" s="85">
        <f t="shared" ref="AB120:AB178" si="78">SUM(T120:AA120)</f>
        <v>0</v>
      </c>
      <c r="AC120" s="86">
        <f t="shared" ref="AC120:AC178" si="79">ROUND(IF(($T120&lt;=252000),($T120*0.75%),0),2)</f>
        <v>0</v>
      </c>
      <c r="AD120" s="87">
        <f t="shared" ref="AD120:AD178" si="80">O120-AB120</f>
        <v>0</v>
      </c>
      <c r="AE120" s="88">
        <f t="shared" ref="AE120:AE178" si="81">(T120+Z120)-(U120+AC120)</f>
        <v>0</v>
      </c>
      <c r="AF120" s="88">
        <f t="shared" ref="AF120:AF178" si="82">AE120/12</f>
        <v>0</v>
      </c>
      <c r="AG120" s="49" t="s">
        <v>163</v>
      </c>
      <c r="AH120" s="49" t="s">
        <v>912</v>
      </c>
      <c r="AI120" s="50"/>
      <c r="AJ120" s="46"/>
      <c r="AK120" s="46"/>
      <c r="AL120" s="46"/>
      <c r="AM120" s="51">
        <f>IF($AL120=4,VLOOKUP($AR120,'Loyalty Incentive v1'!$L$3:$Q$15,2,FALSE),
IF($AL120=3,VLOOKUP($AR120,'Loyalty Incentive v1'!$L$3:$Q$15,3,FALSE),
IF($AL120=2,VLOOKUP($AR120,'Loyalty Incentive v1'!$L$3:$Q$15,4,FALSE),
IF($AL120=1,VLOOKUP($AR120,'Loyalty Incentive v1'!$L$3:$Q$15,5,FALSE),
IF($AL120=0,VLOOKUP($AR120,'Loyalty Incentive v1'!$L$3:$Q$15,6,FALSE),0)))))</f>
        <v>0</v>
      </c>
      <c r="AN120" s="51">
        <f>IFERROR(IF(I120&gt;="1",AM120,VLOOKUP(VALUE(I120),'Loyalty - Effec - 15July'!$I$5:$J$16,2,0)*AM120),0)</f>
        <v>0</v>
      </c>
      <c r="AO120" s="51">
        <v>0</v>
      </c>
      <c r="AP120" s="51">
        <f t="shared" ref="AP120:AP178" si="83">AN120+AO120</f>
        <v>0</v>
      </c>
      <c r="AQ120" s="46" t="str">
        <f t="shared" si="49"/>
        <v>No</v>
      </c>
      <c r="AR120" s="46" t="str">
        <f t="shared" si="50"/>
        <v>AE5</v>
      </c>
      <c r="AS120" s="46" t="b">
        <f t="shared" si="51"/>
        <v>1</v>
      </c>
      <c r="AT120" s="82">
        <f t="shared" si="52"/>
        <v>0</v>
      </c>
      <c r="AU120" s="82">
        <f t="shared" ref="AU120:AU178" si="84">ROUND(AT120*$AU$3,0)</f>
        <v>0</v>
      </c>
      <c r="AV120" s="82">
        <f t="shared" ref="AV120:AV178" si="85">ROUND(AU120*$AV$3,0)</f>
        <v>0</v>
      </c>
      <c r="AW120" s="82">
        <f t="shared" ref="AW120:AW178" si="86">ROUND(AU120*$AW$3,0)</f>
        <v>0</v>
      </c>
      <c r="AX120" s="85"/>
      <c r="AY120" s="82">
        <f t="shared" ref="AY120:AY178" si="87">SUM(AU120:AX120)</f>
        <v>0</v>
      </c>
      <c r="AZ120" s="82">
        <f t="shared" ref="AZ120:AZ178" si="88">ROUND(IF((AY120-AV120)&gt;180000,21600,(AY120-AV120)*12%),0)</f>
        <v>0</v>
      </c>
      <c r="BA120" s="82">
        <f t="shared" ref="BA120:BA178" si="89">ROUND(IF(AY120&lt;252001,AY120*0.0325,0),0)</f>
        <v>0</v>
      </c>
      <c r="BB120" s="83">
        <v>0</v>
      </c>
      <c r="BC120" s="83">
        <v>0</v>
      </c>
      <c r="BD120" s="83">
        <v>0</v>
      </c>
      <c r="BE120" s="84">
        <f>ROUND((IF(($AT120&lt;=700000),0,IF(((VLOOKUP($AR120,'Loyalty - Effec - 15July'!$B$5:$C$17,2,0)*$AT120)&lt;=120000),(VLOOKUP($AR120,'Loyalty - Effec - 15July'!$B$5:$C$17,2,0)*$AT120),120000))),0)</f>
        <v>0</v>
      </c>
      <c r="BF120" s="84">
        <f>ROUND(VLOOKUP($AR120,'Loyalty - Effec - 15July'!$B$5:$D$17,3,0)*$AT120,0)</f>
        <v>0</v>
      </c>
      <c r="BG120" s="85">
        <f t="shared" ref="BG120:BG178" si="90">SUM(AY120:BF120)</f>
        <v>0</v>
      </c>
      <c r="BH120" s="81">
        <f t="shared" ref="BH120:BH178" si="91">ROUND(IF(AY120&lt;252001,AY120*0.0075,0),0)</f>
        <v>0</v>
      </c>
      <c r="BI120" s="85">
        <f t="shared" ref="BI120:BI178" si="92">AT120-BG120</f>
        <v>0</v>
      </c>
      <c r="BJ120" s="85">
        <f t="shared" ref="BJ120:BJ178" si="93">(AY120+BE120)-(AZ120+BH120)</f>
        <v>0</v>
      </c>
      <c r="BK120" s="85">
        <f t="shared" ref="BK120:BK178" si="94">BJ120/12</f>
        <v>0</v>
      </c>
      <c r="BL120" s="85">
        <f t="shared" si="64"/>
        <v>0</v>
      </c>
      <c r="BM120" s="85">
        <f t="shared" si="65"/>
        <v>0</v>
      </c>
      <c r="BN120" s="85">
        <f t="shared" si="66"/>
        <v>0</v>
      </c>
      <c r="BO120" s="52" t="s">
        <v>85</v>
      </c>
      <c r="BP120" s="52" t="s">
        <v>85</v>
      </c>
      <c r="BQ120" s="46"/>
      <c r="BR120" s="47">
        <f>BG120-AT120</f>
        <v>0</v>
      </c>
      <c r="BU120" s="47">
        <f t="shared" si="68"/>
        <v>0</v>
      </c>
      <c r="BV120" s="53" t="s">
        <v>330</v>
      </c>
      <c r="BW120" s="53" t="s">
        <v>932</v>
      </c>
      <c r="BX120" s="53" t="s">
        <v>331</v>
      </c>
      <c r="BY120" s="53"/>
      <c r="BZ120" s="53"/>
    </row>
    <row r="121" spans="1:78">
      <c r="A121" s="42" t="s">
        <v>302</v>
      </c>
      <c r="B121" s="28" t="s">
        <v>79</v>
      </c>
      <c r="C121" s="28" t="s">
        <v>80</v>
      </c>
      <c r="D121" s="28" t="s">
        <v>932</v>
      </c>
      <c r="E121" s="43" t="s">
        <v>82</v>
      </c>
      <c r="F121" s="28" t="s">
        <v>902</v>
      </c>
      <c r="G121" s="44" t="s">
        <v>303</v>
      </c>
      <c r="H121" s="45">
        <v>44536</v>
      </c>
      <c r="I121" s="46" t="s">
        <v>990</v>
      </c>
      <c r="J121" s="28">
        <v>6</v>
      </c>
      <c r="K121" s="28" t="s">
        <v>863</v>
      </c>
      <c r="L121" s="28" t="s">
        <v>865</v>
      </c>
      <c r="M121" s="28" t="s">
        <v>4</v>
      </c>
      <c r="N121" s="28" t="str">
        <f t="shared" si="71"/>
        <v>AE6</v>
      </c>
      <c r="O121" s="81"/>
      <c r="P121" s="81">
        <f t="shared" si="72"/>
        <v>0</v>
      </c>
      <c r="Q121" s="81">
        <f t="shared" si="73"/>
        <v>0</v>
      </c>
      <c r="R121" s="81">
        <f t="shared" si="74"/>
        <v>0</v>
      </c>
      <c r="S121" s="81"/>
      <c r="T121" s="82">
        <f t="shared" si="75"/>
        <v>0</v>
      </c>
      <c r="U121" s="82">
        <f t="shared" si="76"/>
        <v>0</v>
      </c>
      <c r="V121" s="82">
        <f t="shared" si="77"/>
        <v>0</v>
      </c>
      <c r="W121" s="83">
        <v>0</v>
      </c>
      <c r="X121" s="83">
        <v>0</v>
      </c>
      <c r="Y121" s="83">
        <v>0</v>
      </c>
      <c r="Z121" s="84">
        <f>ROUND((IF(($O121&lt;=700000),0,IF(((VLOOKUP($M121,'Loyalty - Effec - 15July'!$B$5:$C$17,2,0)*$O121)&lt;=120000),(VLOOKUP($M121,'Loyalty - Effec - 15July'!$B$5:$C$17,2,0)*$O121),120000))),0)</f>
        <v>0</v>
      </c>
      <c r="AA121" s="84">
        <f>ROUND(VLOOKUP($M121,'Loyalty - Effec - 15July'!$B$5:$D$17,3,0)*$O121,0)</f>
        <v>0</v>
      </c>
      <c r="AB121" s="85">
        <f t="shared" si="78"/>
        <v>0</v>
      </c>
      <c r="AC121" s="86">
        <f t="shared" si="79"/>
        <v>0</v>
      </c>
      <c r="AD121" s="87">
        <f t="shared" si="80"/>
        <v>0</v>
      </c>
      <c r="AE121" s="88">
        <f t="shared" si="81"/>
        <v>0</v>
      </c>
      <c r="AF121" s="88">
        <f t="shared" si="82"/>
        <v>0</v>
      </c>
      <c r="AG121" s="49" t="s">
        <v>126</v>
      </c>
      <c r="AH121" s="49" t="s">
        <v>809</v>
      </c>
      <c r="AI121" s="50"/>
      <c r="AJ121" s="46"/>
      <c r="AK121" s="46"/>
      <c r="AL121" s="46"/>
      <c r="AM121" s="51">
        <f>IF($AL121=4,VLOOKUP($AR121,'Loyalty Incentive v1'!$L$3:$Q$15,2,FALSE),
IF($AL121=3,VLOOKUP($AR121,'Loyalty Incentive v1'!$L$3:$Q$15,3,FALSE),
IF($AL121=2,VLOOKUP($AR121,'Loyalty Incentive v1'!$L$3:$Q$15,4,FALSE),
IF($AL121=1,VLOOKUP($AR121,'Loyalty Incentive v1'!$L$3:$Q$15,5,FALSE),
IF($AL121=0,VLOOKUP($AR121,'Loyalty Incentive v1'!$L$3:$Q$15,6,FALSE),0)))))</f>
        <v>0</v>
      </c>
      <c r="AN121" s="51">
        <f>IFERROR(IF(I121&gt;="1",AM121,VLOOKUP(VALUE(I121),'Loyalty - Effec - 15July'!$I$5:$J$16,2,0)*AM121),0)</f>
        <v>0</v>
      </c>
      <c r="AO121" s="51">
        <v>0</v>
      </c>
      <c r="AP121" s="51">
        <f t="shared" si="83"/>
        <v>0</v>
      </c>
      <c r="AQ121" s="46" t="str">
        <f t="shared" si="49"/>
        <v>No</v>
      </c>
      <c r="AR121" s="46" t="str">
        <f t="shared" si="50"/>
        <v>AE6</v>
      </c>
      <c r="AS121" s="46" t="b">
        <f t="shared" si="51"/>
        <v>1</v>
      </c>
      <c r="AT121" s="82">
        <f t="shared" si="52"/>
        <v>0</v>
      </c>
      <c r="AU121" s="82">
        <f t="shared" si="84"/>
        <v>0</v>
      </c>
      <c r="AV121" s="82">
        <f t="shared" si="85"/>
        <v>0</v>
      </c>
      <c r="AW121" s="82">
        <f t="shared" si="86"/>
        <v>0</v>
      </c>
      <c r="AX121" s="85"/>
      <c r="AY121" s="82">
        <f t="shared" si="87"/>
        <v>0</v>
      </c>
      <c r="AZ121" s="82">
        <f t="shared" si="88"/>
        <v>0</v>
      </c>
      <c r="BA121" s="82">
        <f t="shared" si="89"/>
        <v>0</v>
      </c>
      <c r="BB121" s="83">
        <v>0</v>
      </c>
      <c r="BC121" s="83">
        <v>0</v>
      </c>
      <c r="BD121" s="83">
        <v>0</v>
      </c>
      <c r="BE121" s="84">
        <f>ROUND((IF(($AT121&lt;=700000),0,IF(((VLOOKUP($AR121,'Loyalty - Effec - 15July'!$B$5:$C$17,2,0)*$AT121)&lt;=120000),(VLOOKUP($AR121,'Loyalty - Effec - 15July'!$B$5:$C$17,2,0)*$AT121),120000))),0)</f>
        <v>0</v>
      </c>
      <c r="BF121" s="84">
        <f>ROUND(VLOOKUP($AR121,'Loyalty - Effec - 15July'!$B$5:$D$17,3,0)*$AT121,0)</f>
        <v>0</v>
      </c>
      <c r="BG121" s="85">
        <f t="shared" si="90"/>
        <v>0</v>
      </c>
      <c r="BH121" s="81">
        <f t="shared" si="91"/>
        <v>0</v>
      </c>
      <c r="BI121" s="85">
        <f t="shared" si="92"/>
        <v>0</v>
      </c>
      <c r="BJ121" s="85">
        <f t="shared" si="93"/>
        <v>0</v>
      </c>
      <c r="BK121" s="85">
        <f t="shared" si="94"/>
        <v>0</v>
      </c>
      <c r="BL121" s="85">
        <f t="shared" si="64"/>
        <v>0</v>
      </c>
      <c r="BM121" s="85">
        <f t="shared" si="65"/>
        <v>0</v>
      </c>
      <c r="BN121" s="85">
        <f t="shared" si="66"/>
        <v>0</v>
      </c>
      <c r="BO121" s="52" t="s">
        <v>85</v>
      </c>
      <c r="BP121" s="46"/>
      <c r="BQ121" s="46"/>
      <c r="BR121" s="47">
        <f>BG121-AT121</f>
        <v>0</v>
      </c>
      <c r="BU121" s="47">
        <f t="shared" si="68"/>
        <v>0</v>
      </c>
      <c r="BV121" s="53" t="s">
        <v>302</v>
      </c>
      <c r="BW121" s="53" t="s">
        <v>932</v>
      </c>
      <c r="BX121" s="53" t="s">
        <v>303</v>
      </c>
      <c r="BY121" s="53"/>
      <c r="BZ121" s="53"/>
    </row>
    <row r="122" spans="1:78">
      <c r="A122" s="42" t="s">
        <v>332</v>
      </c>
      <c r="B122" s="28" t="s">
        <v>79</v>
      </c>
      <c r="C122" s="28" t="s">
        <v>80</v>
      </c>
      <c r="D122" s="28" t="s">
        <v>932</v>
      </c>
      <c r="E122" s="43" t="s">
        <v>82</v>
      </c>
      <c r="F122" s="28" t="s">
        <v>902</v>
      </c>
      <c r="G122" s="44" t="s">
        <v>333</v>
      </c>
      <c r="H122" s="45">
        <v>44538</v>
      </c>
      <c r="I122" s="46" t="s">
        <v>990</v>
      </c>
      <c r="J122" s="28">
        <v>6.6</v>
      </c>
      <c r="K122" s="28" t="s">
        <v>93</v>
      </c>
      <c r="L122" s="28" t="s">
        <v>873</v>
      </c>
      <c r="M122" s="28" t="s">
        <v>2</v>
      </c>
      <c r="N122" s="28" t="str">
        <f t="shared" si="71"/>
        <v>AE4</v>
      </c>
      <c r="O122" s="81"/>
      <c r="P122" s="81">
        <f t="shared" si="72"/>
        <v>0</v>
      </c>
      <c r="Q122" s="81">
        <f t="shared" si="73"/>
        <v>0</v>
      </c>
      <c r="R122" s="81">
        <f t="shared" si="74"/>
        <v>0</v>
      </c>
      <c r="S122" s="81"/>
      <c r="T122" s="82">
        <f t="shared" si="75"/>
        <v>0</v>
      </c>
      <c r="U122" s="82">
        <f t="shared" si="76"/>
        <v>0</v>
      </c>
      <c r="V122" s="82">
        <f t="shared" si="77"/>
        <v>0</v>
      </c>
      <c r="W122" s="83">
        <v>0</v>
      </c>
      <c r="X122" s="83">
        <v>0</v>
      </c>
      <c r="Y122" s="83">
        <v>0</v>
      </c>
      <c r="Z122" s="84">
        <f>ROUND((IF(($O122&lt;=700000),0,IF(((VLOOKUP($M122,'Loyalty - Effec - 15July'!$B$5:$C$17,2,0)*$O122)&lt;=120000),(VLOOKUP($M122,'Loyalty - Effec - 15July'!$B$5:$C$17,2,0)*$O122),120000))),0)</f>
        <v>0</v>
      </c>
      <c r="AA122" s="84">
        <f>ROUND(VLOOKUP($M122,'Loyalty - Effec - 15July'!$B$5:$D$17,3,0)*$O122,0)</f>
        <v>0</v>
      </c>
      <c r="AB122" s="85">
        <f t="shared" si="78"/>
        <v>0</v>
      </c>
      <c r="AC122" s="86">
        <f t="shared" si="79"/>
        <v>0</v>
      </c>
      <c r="AD122" s="87">
        <f t="shared" si="80"/>
        <v>0</v>
      </c>
      <c r="AE122" s="88">
        <f t="shared" si="81"/>
        <v>0</v>
      </c>
      <c r="AF122" s="88">
        <f t="shared" si="82"/>
        <v>0</v>
      </c>
      <c r="AG122" s="49" t="s">
        <v>90</v>
      </c>
      <c r="AH122" s="49" t="s">
        <v>200</v>
      </c>
      <c r="AI122" s="50"/>
      <c r="AJ122" s="46"/>
      <c r="AK122" s="46"/>
      <c r="AL122" s="46"/>
      <c r="AM122" s="51">
        <f>IF($AL122=4,VLOOKUP($AR122,'Loyalty Incentive v1'!$L$3:$Q$15,2,FALSE),
IF($AL122=3,VLOOKUP($AR122,'Loyalty Incentive v1'!$L$3:$Q$15,3,FALSE),
IF($AL122=2,VLOOKUP($AR122,'Loyalty Incentive v1'!$L$3:$Q$15,4,FALSE),
IF($AL122=1,VLOOKUP($AR122,'Loyalty Incentive v1'!$L$3:$Q$15,5,FALSE),
IF($AL122=0,VLOOKUP($AR122,'Loyalty Incentive v1'!$L$3:$Q$15,6,FALSE),0)))))</f>
        <v>0</v>
      </c>
      <c r="AN122" s="51">
        <f>IFERROR(IF(I122&gt;="1",AM122,VLOOKUP(VALUE(I122),'Loyalty - Effec - 15July'!$I$5:$J$16,2,0)*AM122),0)</f>
        <v>0</v>
      </c>
      <c r="AO122" s="51">
        <v>0</v>
      </c>
      <c r="AP122" s="51">
        <f t="shared" si="83"/>
        <v>0</v>
      </c>
      <c r="AQ122" s="46" t="str">
        <f t="shared" ref="AQ122:AQ182" si="95">IF((N122=AR122),"No","Yes")</f>
        <v>No</v>
      </c>
      <c r="AR122" s="46" t="str">
        <f t="shared" ref="AR122:AR182" si="96">N122</f>
        <v>AE4</v>
      </c>
      <c r="AS122" s="46" t="b">
        <f t="shared" ref="AS122:AS182" si="97">AR122=M122</f>
        <v>1</v>
      </c>
      <c r="AT122" s="82">
        <f t="shared" ref="AT122:AT182" si="98">O122+(O122*AP122)</f>
        <v>0</v>
      </c>
      <c r="AU122" s="82">
        <f t="shared" si="84"/>
        <v>0</v>
      </c>
      <c r="AV122" s="82">
        <f t="shared" si="85"/>
        <v>0</v>
      </c>
      <c r="AW122" s="82">
        <f t="shared" si="86"/>
        <v>0</v>
      </c>
      <c r="AX122" s="85"/>
      <c r="AY122" s="82">
        <f t="shared" si="87"/>
        <v>0</v>
      </c>
      <c r="AZ122" s="82">
        <f t="shared" si="88"/>
        <v>0</v>
      </c>
      <c r="BA122" s="82">
        <f t="shared" si="89"/>
        <v>0</v>
      </c>
      <c r="BB122" s="83">
        <v>0</v>
      </c>
      <c r="BC122" s="83">
        <v>0</v>
      </c>
      <c r="BD122" s="83">
        <v>0</v>
      </c>
      <c r="BE122" s="84">
        <f>ROUND((IF(($AT122&lt;=700000),0,IF(((VLOOKUP($AR122,'Loyalty - Effec - 15July'!$B$5:$C$17,2,0)*$AT122)&lt;=120000),(VLOOKUP($AR122,'Loyalty - Effec - 15July'!$B$5:$C$17,2,0)*$AT122),120000))),0)</f>
        <v>0</v>
      </c>
      <c r="BF122" s="84">
        <f>ROUND(VLOOKUP($AR122,'Loyalty - Effec - 15July'!$B$5:$D$17,3,0)*$AT122,0)</f>
        <v>0</v>
      </c>
      <c r="BG122" s="85">
        <f t="shared" si="90"/>
        <v>0</v>
      </c>
      <c r="BH122" s="81">
        <f t="shared" si="91"/>
        <v>0</v>
      </c>
      <c r="BI122" s="85">
        <f t="shared" si="92"/>
        <v>0</v>
      </c>
      <c r="BJ122" s="85">
        <f t="shared" si="93"/>
        <v>0</v>
      </c>
      <c r="BK122" s="85">
        <f t="shared" si="94"/>
        <v>0</v>
      </c>
      <c r="BL122" s="85">
        <f t="shared" ref="BL122:BL182" si="99">BG122-AB122</f>
        <v>0</v>
      </c>
      <c r="BM122" s="85">
        <f t="shared" ref="BM122:BM182" si="100">BK122-AF122</f>
        <v>0</v>
      </c>
      <c r="BN122" s="85">
        <f t="shared" ref="BN122:BN182" si="101">BK122-AF122</f>
        <v>0</v>
      </c>
      <c r="BO122" s="52" t="s">
        <v>85</v>
      </c>
      <c r="BP122" s="46"/>
      <c r="BQ122" s="46"/>
      <c r="BR122" s="47">
        <f>BG122-AT122</f>
        <v>0</v>
      </c>
      <c r="BU122" s="47">
        <f t="shared" si="68"/>
        <v>0</v>
      </c>
      <c r="BV122" s="53" t="s">
        <v>332</v>
      </c>
      <c r="BW122" s="53" t="s">
        <v>932</v>
      </c>
      <c r="BX122" s="53" t="s">
        <v>333</v>
      </c>
      <c r="BY122" s="53"/>
      <c r="BZ122" s="53"/>
    </row>
    <row r="123" spans="1:78">
      <c r="A123" s="42" t="s">
        <v>346</v>
      </c>
      <c r="B123" s="28" t="s">
        <v>79</v>
      </c>
      <c r="C123" s="28" t="s">
        <v>80</v>
      </c>
      <c r="D123" s="28" t="s">
        <v>932</v>
      </c>
      <c r="E123" s="43" t="s">
        <v>82</v>
      </c>
      <c r="F123" s="28" t="s">
        <v>901</v>
      </c>
      <c r="G123" s="44" t="s">
        <v>347</v>
      </c>
      <c r="H123" s="45">
        <v>44543</v>
      </c>
      <c r="I123" s="46" t="s">
        <v>990</v>
      </c>
      <c r="J123" s="28">
        <v>5.5</v>
      </c>
      <c r="K123" s="28" t="s">
        <v>413</v>
      </c>
      <c r="L123" s="28" t="s">
        <v>880</v>
      </c>
      <c r="M123" s="28" t="s">
        <v>1</v>
      </c>
      <c r="N123" s="28" t="str">
        <f t="shared" si="71"/>
        <v>AE3</v>
      </c>
      <c r="O123" s="81"/>
      <c r="P123" s="81">
        <f t="shared" si="72"/>
        <v>0</v>
      </c>
      <c r="Q123" s="81">
        <f t="shared" si="73"/>
        <v>0</v>
      </c>
      <c r="R123" s="81">
        <f t="shared" si="74"/>
        <v>0</v>
      </c>
      <c r="S123" s="81"/>
      <c r="T123" s="82">
        <f t="shared" si="75"/>
        <v>0</v>
      </c>
      <c r="U123" s="82">
        <f t="shared" si="76"/>
        <v>0</v>
      </c>
      <c r="V123" s="82">
        <f t="shared" si="77"/>
        <v>0</v>
      </c>
      <c r="W123" s="83">
        <v>0</v>
      </c>
      <c r="X123" s="83">
        <v>0</v>
      </c>
      <c r="Y123" s="83">
        <v>0</v>
      </c>
      <c r="Z123" s="84">
        <f>ROUND((IF(($O123&lt;=700000),0,IF(((VLOOKUP($M123,'Loyalty - Effec - 15July'!$B$5:$C$17,2,0)*$O123)&lt;=120000),(VLOOKUP($M123,'Loyalty - Effec - 15July'!$B$5:$C$17,2,0)*$O123),120000))),0)</f>
        <v>0</v>
      </c>
      <c r="AA123" s="84">
        <f>ROUND(VLOOKUP($M123,'Loyalty - Effec - 15July'!$B$5:$D$17,3,0)*$O123,0)</f>
        <v>0</v>
      </c>
      <c r="AB123" s="85">
        <f t="shared" si="78"/>
        <v>0</v>
      </c>
      <c r="AC123" s="86">
        <f t="shared" si="79"/>
        <v>0</v>
      </c>
      <c r="AD123" s="87">
        <f t="shared" si="80"/>
        <v>0</v>
      </c>
      <c r="AE123" s="88">
        <f t="shared" si="81"/>
        <v>0</v>
      </c>
      <c r="AF123" s="88">
        <f t="shared" si="82"/>
        <v>0</v>
      </c>
      <c r="AG123" s="49" t="s">
        <v>190</v>
      </c>
      <c r="AH123" s="49" t="s">
        <v>909</v>
      </c>
      <c r="AI123" s="50"/>
      <c r="AJ123" s="46"/>
      <c r="AK123" s="46"/>
      <c r="AL123" s="46"/>
      <c r="AM123" s="51">
        <f>IF($AL123=4,VLOOKUP($AR123,'Loyalty Incentive v1'!$L$3:$Q$15,2,FALSE),
IF($AL123=3,VLOOKUP($AR123,'Loyalty Incentive v1'!$L$3:$Q$15,3,FALSE),
IF($AL123=2,VLOOKUP($AR123,'Loyalty Incentive v1'!$L$3:$Q$15,4,FALSE),
IF($AL123=1,VLOOKUP($AR123,'Loyalty Incentive v1'!$L$3:$Q$15,5,FALSE),
IF($AL123=0,VLOOKUP($AR123,'Loyalty Incentive v1'!$L$3:$Q$15,6,FALSE),0)))))</f>
        <v>0</v>
      </c>
      <c r="AN123" s="51">
        <f>IFERROR(IF(I123&gt;="1",AM123,VLOOKUP(VALUE(I123),'Loyalty - Effec - 15July'!$I$5:$J$16,2,0)*AM123),0)</f>
        <v>0</v>
      </c>
      <c r="AO123" s="51">
        <v>0</v>
      </c>
      <c r="AP123" s="51">
        <f t="shared" si="83"/>
        <v>0</v>
      </c>
      <c r="AQ123" s="46" t="str">
        <f t="shared" si="95"/>
        <v>No</v>
      </c>
      <c r="AR123" s="46" t="str">
        <f t="shared" si="96"/>
        <v>AE3</v>
      </c>
      <c r="AS123" s="46" t="b">
        <f t="shared" si="97"/>
        <v>1</v>
      </c>
      <c r="AT123" s="82">
        <f t="shared" si="98"/>
        <v>0</v>
      </c>
      <c r="AU123" s="82">
        <f t="shared" si="84"/>
        <v>0</v>
      </c>
      <c r="AV123" s="82">
        <f t="shared" si="85"/>
        <v>0</v>
      </c>
      <c r="AW123" s="82">
        <f t="shared" si="86"/>
        <v>0</v>
      </c>
      <c r="AX123" s="85"/>
      <c r="AY123" s="82">
        <f t="shared" si="87"/>
        <v>0</v>
      </c>
      <c r="AZ123" s="82">
        <f t="shared" si="88"/>
        <v>0</v>
      </c>
      <c r="BA123" s="82">
        <f t="shared" si="89"/>
        <v>0</v>
      </c>
      <c r="BB123" s="83">
        <v>0</v>
      </c>
      <c r="BC123" s="83">
        <v>0</v>
      </c>
      <c r="BD123" s="83">
        <v>0</v>
      </c>
      <c r="BE123" s="84">
        <f>ROUND((IF(($AT123&lt;=700000),0,IF(((VLOOKUP($AR123,'Loyalty - Effec - 15July'!$B$5:$C$17,2,0)*$AT123)&lt;=120000),(VLOOKUP($AR123,'Loyalty - Effec - 15July'!$B$5:$C$17,2,0)*$AT123),120000))),0)</f>
        <v>0</v>
      </c>
      <c r="BF123" s="84">
        <f>ROUND(VLOOKUP($AR123,'Loyalty - Effec - 15July'!$B$5:$D$17,3,0)*$AT123,0)</f>
        <v>0</v>
      </c>
      <c r="BG123" s="85">
        <f t="shared" si="90"/>
        <v>0</v>
      </c>
      <c r="BH123" s="81">
        <f t="shared" si="91"/>
        <v>0</v>
      </c>
      <c r="BI123" s="85">
        <f t="shared" si="92"/>
        <v>0</v>
      </c>
      <c r="BJ123" s="85">
        <f t="shared" si="93"/>
        <v>0</v>
      </c>
      <c r="BK123" s="85">
        <f t="shared" si="94"/>
        <v>0</v>
      </c>
      <c r="BL123" s="85">
        <f t="shared" si="99"/>
        <v>0</v>
      </c>
      <c r="BM123" s="85">
        <f t="shared" si="100"/>
        <v>0</v>
      </c>
      <c r="BN123" s="85">
        <f t="shared" si="101"/>
        <v>0</v>
      </c>
      <c r="BO123" s="52" t="s">
        <v>85</v>
      </c>
      <c r="BP123" s="46"/>
      <c r="BQ123" s="46"/>
      <c r="BR123" s="47">
        <f>BG123-AT123</f>
        <v>0</v>
      </c>
      <c r="BU123" s="47">
        <f t="shared" si="68"/>
        <v>0</v>
      </c>
      <c r="BV123" s="53" t="s">
        <v>346</v>
      </c>
      <c r="BW123" s="53" t="s">
        <v>932</v>
      </c>
      <c r="BX123" s="53" t="s">
        <v>347</v>
      </c>
      <c r="BY123" s="53"/>
      <c r="BZ123" s="53"/>
    </row>
    <row r="124" spans="1:78">
      <c r="A124" s="42" t="s">
        <v>306</v>
      </c>
      <c r="B124" s="28" t="s">
        <v>79</v>
      </c>
      <c r="C124" s="28" t="s">
        <v>80</v>
      </c>
      <c r="D124" s="28" t="s">
        <v>932</v>
      </c>
      <c r="E124" s="43" t="s">
        <v>82</v>
      </c>
      <c r="F124" s="28" t="s">
        <v>902</v>
      </c>
      <c r="G124" s="44" t="s">
        <v>307</v>
      </c>
      <c r="H124" s="45">
        <v>44543</v>
      </c>
      <c r="I124" s="46" t="s">
        <v>990</v>
      </c>
      <c r="J124" s="28">
        <v>8</v>
      </c>
      <c r="K124" s="28" t="s">
        <v>93</v>
      </c>
      <c r="L124" s="28" t="s">
        <v>873</v>
      </c>
      <c r="M124" s="28" t="s">
        <v>2</v>
      </c>
      <c r="N124" s="28" t="str">
        <f t="shared" si="71"/>
        <v>AE4</v>
      </c>
      <c r="O124" s="81"/>
      <c r="P124" s="81">
        <f t="shared" si="72"/>
        <v>0</v>
      </c>
      <c r="Q124" s="81">
        <f t="shared" si="73"/>
        <v>0</v>
      </c>
      <c r="R124" s="81">
        <f t="shared" si="74"/>
        <v>0</v>
      </c>
      <c r="S124" s="81"/>
      <c r="T124" s="82">
        <f t="shared" si="75"/>
        <v>0</v>
      </c>
      <c r="U124" s="82">
        <f t="shared" si="76"/>
        <v>0</v>
      </c>
      <c r="V124" s="82">
        <f t="shared" si="77"/>
        <v>0</v>
      </c>
      <c r="W124" s="83">
        <v>0</v>
      </c>
      <c r="X124" s="83">
        <v>0</v>
      </c>
      <c r="Y124" s="83">
        <v>0</v>
      </c>
      <c r="Z124" s="84">
        <f>ROUND((IF(($O124&lt;=700000),0,IF(((VLOOKUP($M124,'Loyalty - Effec - 15July'!$B$5:$C$17,2,0)*$O124)&lt;=120000),(VLOOKUP($M124,'Loyalty - Effec - 15July'!$B$5:$C$17,2,0)*$O124),120000))),0)</f>
        <v>0</v>
      </c>
      <c r="AA124" s="84">
        <f>ROUND(VLOOKUP($M124,'Loyalty - Effec - 15July'!$B$5:$D$17,3,0)*$O124,0)</f>
        <v>0</v>
      </c>
      <c r="AB124" s="85">
        <f t="shared" si="78"/>
        <v>0</v>
      </c>
      <c r="AC124" s="86">
        <f t="shared" si="79"/>
        <v>0</v>
      </c>
      <c r="AD124" s="87">
        <f t="shared" si="80"/>
        <v>0</v>
      </c>
      <c r="AE124" s="88">
        <f t="shared" si="81"/>
        <v>0</v>
      </c>
      <c r="AF124" s="88">
        <f t="shared" si="82"/>
        <v>0</v>
      </c>
      <c r="AG124" s="49" t="s">
        <v>303</v>
      </c>
      <c r="AH124" s="49" t="s">
        <v>126</v>
      </c>
      <c r="AI124" s="50"/>
      <c r="AJ124" s="46"/>
      <c r="AK124" s="46"/>
      <c r="AL124" s="46"/>
      <c r="AM124" s="51">
        <f>IF($AL124=4,VLOOKUP($AR124,'Loyalty Incentive v1'!$L$3:$Q$15,2,FALSE),
IF($AL124=3,VLOOKUP($AR124,'Loyalty Incentive v1'!$L$3:$Q$15,3,FALSE),
IF($AL124=2,VLOOKUP($AR124,'Loyalty Incentive v1'!$L$3:$Q$15,4,FALSE),
IF($AL124=1,VLOOKUP($AR124,'Loyalty Incentive v1'!$L$3:$Q$15,5,FALSE),
IF($AL124=0,VLOOKUP($AR124,'Loyalty Incentive v1'!$L$3:$Q$15,6,FALSE),0)))))</f>
        <v>0</v>
      </c>
      <c r="AN124" s="51">
        <f>IFERROR(IF(I124&gt;="1",AM124,VLOOKUP(VALUE(I124),'Loyalty - Effec - 15July'!$I$5:$J$16,2,0)*AM124),0)</f>
        <v>0</v>
      </c>
      <c r="AO124" s="51">
        <v>0</v>
      </c>
      <c r="AP124" s="51">
        <f t="shared" si="83"/>
        <v>0</v>
      </c>
      <c r="AQ124" s="46" t="str">
        <f t="shared" si="95"/>
        <v>No</v>
      </c>
      <c r="AR124" s="46" t="str">
        <f t="shared" si="96"/>
        <v>AE4</v>
      </c>
      <c r="AS124" s="46" t="b">
        <f t="shared" si="97"/>
        <v>1</v>
      </c>
      <c r="AT124" s="82">
        <f t="shared" si="98"/>
        <v>0</v>
      </c>
      <c r="AU124" s="82">
        <f t="shared" si="84"/>
        <v>0</v>
      </c>
      <c r="AV124" s="82">
        <f t="shared" si="85"/>
        <v>0</v>
      </c>
      <c r="AW124" s="82">
        <f t="shared" si="86"/>
        <v>0</v>
      </c>
      <c r="AX124" s="85"/>
      <c r="AY124" s="82">
        <f t="shared" si="87"/>
        <v>0</v>
      </c>
      <c r="AZ124" s="82">
        <f t="shared" si="88"/>
        <v>0</v>
      </c>
      <c r="BA124" s="82">
        <f t="shared" si="89"/>
        <v>0</v>
      </c>
      <c r="BB124" s="83">
        <v>0</v>
      </c>
      <c r="BC124" s="83">
        <v>0</v>
      </c>
      <c r="BD124" s="83">
        <v>0</v>
      </c>
      <c r="BE124" s="84">
        <f>ROUND((IF(($AT124&lt;=700000),0,IF(((VLOOKUP($AR124,'Loyalty - Effec - 15July'!$B$5:$C$17,2,0)*$AT124)&lt;=120000),(VLOOKUP($AR124,'Loyalty - Effec - 15July'!$B$5:$C$17,2,0)*$AT124),120000))),0)</f>
        <v>0</v>
      </c>
      <c r="BF124" s="84">
        <f>ROUND(VLOOKUP($AR124,'Loyalty - Effec - 15July'!$B$5:$D$17,3,0)*$AT124,0)</f>
        <v>0</v>
      </c>
      <c r="BG124" s="85">
        <f t="shared" si="90"/>
        <v>0</v>
      </c>
      <c r="BH124" s="81">
        <f t="shared" si="91"/>
        <v>0</v>
      </c>
      <c r="BI124" s="85">
        <f t="shared" si="92"/>
        <v>0</v>
      </c>
      <c r="BJ124" s="85">
        <f t="shared" si="93"/>
        <v>0</v>
      </c>
      <c r="BK124" s="85">
        <f t="shared" si="94"/>
        <v>0</v>
      </c>
      <c r="BL124" s="85">
        <f t="shared" si="99"/>
        <v>0</v>
      </c>
      <c r="BM124" s="85">
        <f t="shared" si="100"/>
        <v>0</v>
      </c>
      <c r="BN124" s="85">
        <f t="shared" si="101"/>
        <v>0</v>
      </c>
      <c r="BO124" s="52" t="s">
        <v>85</v>
      </c>
      <c r="BP124" s="46"/>
      <c r="BQ124" s="46"/>
      <c r="BR124" s="47">
        <f>BG124-AB124</f>
        <v>0</v>
      </c>
      <c r="BU124" s="47">
        <f t="shared" si="68"/>
        <v>0</v>
      </c>
      <c r="BV124" s="53" t="s">
        <v>306</v>
      </c>
      <c r="BW124" s="53" t="s">
        <v>932</v>
      </c>
      <c r="BX124" s="53" t="s">
        <v>307</v>
      </c>
      <c r="BY124" s="53"/>
      <c r="BZ124" s="53"/>
    </row>
    <row r="125" spans="1:78">
      <c r="A125" s="42" t="s">
        <v>334</v>
      </c>
      <c r="B125" s="28" t="s">
        <v>79</v>
      </c>
      <c r="C125" s="28" t="s">
        <v>80</v>
      </c>
      <c r="D125" s="28" t="s">
        <v>932</v>
      </c>
      <c r="E125" s="43" t="s">
        <v>82</v>
      </c>
      <c r="F125" s="28" t="s">
        <v>902</v>
      </c>
      <c r="G125" s="44" t="s">
        <v>335</v>
      </c>
      <c r="H125" s="45">
        <v>44543</v>
      </c>
      <c r="I125" s="46" t="s">
        <v>990</v>
      </c>
      <c r="J125" s="28">
        <v>0</v>
      </c>
      <c r="K125" s="28" t="s">
        <v>407</v>
      </c>
      <c r="L125" s="28" t="s">
        <v>868</v>
      </c>
      <c r="M125" s="28" t="s">
        <v>0</v>
      </c>
      <c r="N125" s="28" t="str">
        <f t="shared" si="71"/>
        <v>AE2</v>
      </c>
      <c r="O125" s="81"/>
      <c r="P125" s="81">
        <f t="shared" si="72"/>
        <v>0</v>
      </c>
      <c r="Q125" s="81">
        <f t="shared" si="73"/>
        <v>0</v>
      </c>
      <c r="R125" s="81">
        <f t="shared" si="74"/>
        <v>0</v>
      </c>
      <c r="S125" s="81"/>
      <c r="T125" s="82">
        <f t="shared" si="75"/>
        <v>0</v>
      </c>
      <c r="U125" s="82">
        <f t="shared" si="76"/>
        <v>0</v>
      </c>
      <c r="V125" s="82">
        <f t="shared" si="77"/>
        <v>0</v>
      </c>
      <c r="W125" s="83">
        <v>0</v>
      </c>
      <c r="X125" s="83">
        <v>0</v>
      </c>
      <c r="Y125" s="83">
        <v>0</v>
      </c>
      <c r="Z125" s="84">
        <f>ROUND((IF(($O125&lt;=700000),0,IF(((VLOOKUP($M125,'Loyalty - Effec - 15July'!$B$5:$C$17,2,0)*$O125)&lt;=120000),(VLOOKUP($M125,'Loyalty - Effec - 15July'!$B$5:$C$17,2,0)*$O125),120000))),0)</f>
        <v>0</v>
      </c>
      <c r="AA125" s="84">
        <f>ROUND(VLOOKUP($M125,'Loyalty - Effec - 15July'!$B$5:$D$17,3,0)*$O125,0)</f>
        <v>0</v>
      </c>
      <c r="AB125" s="85">
        <f t="shared" si="78"/>
        <v>0</v>
      </c>
      <c r="AC125" s="86">
        <f t="shared" si="79"/>
        <v>0</v>
      </c>
      <c r="AD125" s="87">
        <f t="shared" si="80"/>
        <v>0</v>
      </c>
      <c r="AE125" s="88">
        <f t="shared" si="81"/>
        <v>0</v>
      </c>
      <c r="AF125" s="88">
        <f t="shared" si="82"/>
        <v>0</v>
      </c>
      <c r="AG125" s="49" t="s">
        <v>702</v>
      </c>
      <c r="AH125" s="49" t="s">
        <v>349</v>
      </c>
      <c r="AI125" s="50"/>
      <c r="AJ125" s="46"/>
      <c r="AK125" s="46"/>
      <c r="AL125" s="46"/>
      <c r="AM125" s="51">
        <f>IF($AL125=4,VLOOKUP($AR125,'Loyalty Incentive v1'!$L$3:$Q$15,2,FALSE),
IF($AL125=3,VLOOKUP($AR125,'Loyalty Incentive v1'!$L$3:$Q$15,3,FALSE),
IF($AL125=2,VLOOKUP($AR125,'Loyalty Incentive v1'!$L$3:$Q$15,4,FALSE),
IF($AL125=1,VLOOKUP($AR125,'Loyalty Incentive v1'!$L$3:$Q$15,5,FALSE),
IF($AL125=0,VLOOKUP($AR125,'Loyalty Incentive v1'!$L$3:$Q$15,6,FALSE),0)))))</f>
        <v>0</v>
      </c>
      <c r="AN125" s="51">
        <f>IFERROR(IF(I125&gt;="1",AM125,VLOOKUP(VALUE(I125),'Loyalty - Effec - 15July'!$I$5:$J$16,2,0)*AM125),0)</f>
        <v>0</v>
      </c>
      <c r="AO125" s="51">
        <v>0</v>
      </c>
      <c r="AP125" s="51">
        <f t="shared" si="83"/>
        <v>0</v>
      </c>
      <c r="AQ125" s="46" t="str">
        <f t="shared" si="95"/>
        <v>No</v>
      </c>
      <c r="AR125" s="46" t="str">
        <f t="shared" si="96"/>
        <v>AE2</v>
      </c>
      <c r="AS125" s="46" t="b">
        <f t="shared" si="97"/>
        <v>1</v>
      </c>
      <c r="AT125" s="82">
        <f t="shared" si="98"/>
        <v>0</v>
      </c>
      <c r="AU125" s="82">
        <f t="shared" si="84"/>
        <v>0</v>
      </c>
      <c r="AV125" s="82">
        <f t="shared" si="85"/>
        <v>0</v>
      </c>
      <c r="AW125" s="82">
        <f t="shared" si="86"/>
        <v>0</v>
      </c>
      <c r="AX125" s="85"/>
      <c r="AY125" s="82">
        <f t="shared" si="87"/>
        <v>0</v>
      </c>
      <c r="AZ125" s="82">
        <f t="shared" si="88"/>
        <v>0</v>
      </c>
      <c r="BA125" s="82">
        <f t="shared" si="89"/>
        <v>0</v>
      </c>
      <c r="BB125" s="83">
        <v>0</v>
      </c>
      <c r="BC125" s="83">
        <v>0</v>
      </c>
      <c r="BD125" s="83">
        <v>0</v>
      </c>
      <c r="BE125" s="84">
        <f>ROUND((IF(($AT125&lt;=700000),0,IF(((VLOOKUP($AR125,'Loyalty - Effec - 15July'!$B$5:$C$17,2,0)*$AT125)&lt;=120000),(VLOOKUP($AR125,'Loyalty - Effec - 15July'!$B$5:$C$17,2,0)*$AT125),120000))),0)</f>
        <v>0</v>
      </c>
      <c r="BF125" s="84">
        <f>ROUND(VLOOKUP($AR125,'Loyalty - Effec - 15July'!$B$5:$D$17,3,0)*$AT125,0)</f>
        <v>0</v>
      </c>
      <c r="BG125" s="85">
        <f t="shared" si="90"/>
        <v>0</v>
      </c>
      <c r="BH125" s="81">
        <f t="shared" si="91"/>
        <v>0</v>
      </c>
      <c r="BI125" s="85">
        <f t="shared" si="92"/>
        <v>0</v>
      </c>
      <c r="BJ125" s="85">
        <f t="shared" si="93"/>
        <v>0</v>
      </c>
      <c r="BK125" s="85">
        <f t="shared" si="94"/>
        <v>0</v>
      </c>
      <c r="BL125" s="85">
        <f t="shared" si="99"/>
        <v>0</v>
      </c>
      <c r="BM125" s="85">
        <f t="shared" si="100"/>
        <v>0</v>
      </c>
      <c r="BN125" s="85">
        <f t="shared" si="101"/>
        <v>0</v>
      </c>
      <c r="BO125" s="52" t="s">
        <v>85</v>
      </c>
      <c r="BP125" s="46"/>
      <c r="BQ125" s="46"/>
      <c r="BR125" s="47">
        <f>BG125-AB125</f>
        <v>0</v>
      </c>
      <c r="BU125" s="47">
        <f t="shared" si="68"/>
        <v>0</v>
      </c>
      <c r="BV125" s="53" t="s">
        <v>334</v>
      </c>
      <c r="BW125" s="53" t="s">
        <v>932</v>
      </c>
      <c r="BX125" s="53" t="s">
        <v>335</v>
      </c>
      <c r="BY125" s="53"/>
      <c r="BZ125" s="53"/>
    </row>
    <row r="126" spans="1:78">
      <c r="A126" s="42" t="s">
        <v>336</v>
      </c>
      <c r="B126" s="28" t="s">
        <v>79</v>
      </c>
      <c r="C126" s="28" t="s">
        <v>80</v>
      </c>
      <c r="D126" s="28" t="s">
        <v>932</v>
      </c>
      <c r="E126" s="43" t="s">
        <v>82</v>
      </c>
      <c r="F126" s="28" t="s">
        <v>901</v>
      </c>
      <c r="G126" s="44" t="s">
        <v>337</v>
      </c>
      <c r="H126" s="45">
        <v>44543</v>
      </c>
      <c r="I126" s="46" t="s">
        <v>990</v>
      </c>
      <c r="J126" s="28">
        <v>8</v>
      </c>
      <c r="K126" s="28" t="s">
        <v>93</v>
      </c>
      <c r="L126" s="28" t="s">
        <v>873</v>
      </c>
      <c r="M126" s="28" t="s">
        <v>0</v>
      </c>
      <c r="N126" s="28" t="str">
        <f t="shared" si="71"/>
        <v>AE2</v>
      </c>
      <c r="O126" s="81"/>
      <c r="P126" s="81">
        <f t="shared" si="72"/>
        <v>0</v>
      </c>
      <c r="Q126" s="81">
        <f t="shared" si="73"/>
        <v>0</v>
      </c>
      <c r="R126" s="81">
        <f t="shared" si="74"/>
        <v>0</v>
      </c>
      <c r="S126" s="81"/>
      <c r="T126" s="82">
        <f t="shared" si="75"/>
        <v>0</v>
      </c>
      <c r="U126" s="82">
        <f t="shared" si="76"/>
        <v>0</v>
      </c>
      <c r="V126" s="82">
        <f t="shared" si="77"/>
        <v>0</v>
      </c>
      <c r="W126" s="83">
        <v>0</v>
      </c>
      <c r="X126" s="83">
        <v>0</v>
      </c>
      <c r="Y126" s="83">
        <v>0</v>
      </c>
      <c r="Z126" s="84">
        <f>ROUND((IF(($O126&lt;=700000),0,IF(((VLOOKUP($M126,'Loyalty - Effec - 15July'!$B$5:$C$17,2,0)*$O126)&lt;=120000),(VLOOKUP($M126,'Loyalty - Effec - 15July'!$B$5:$C$17,2,0)*$O126),120000))),0)</f>
        <v>0</v>
      </c>
      <c r="AA126" s="84">
        <f>ROUND(VLOOKUP($M126,'Loyalty - Effec - 15July'!$B$5:$D$17,3,0)*$O126,0)</f>
        <v>0</v>
      </c>
      <c r="AB126" s="85">
        <f t="shared" si="78"/>
        <v>0</v>
      </c>
      <c r="AC126" s="86">
        <f t="shared" si="79"/>
        <v>0</v>
      </c>
      <c r="AD126" s="87">
        <f t="shared" si="80"/>
        <v>0</v>
      </c>
      <c r="AE126" s="88">
        <f t="shared" si="81"/>
        <v>0</v>
      </c>
      <c r="AF126" s="88">
        <f t="shared" si="82"/>
        <v>0</v>
      </c>
      <c r="AG126" s="49" t="s">
        <v>303</v>
      </c>
      <c r="AH126" s="49" t="s">
        <v>126</v>
      </c>
      <c r="AI126" s="50"/>
      <c r="AJ126" s="46"/>
      <c r="AK126" s="46"/>
      <c r="AL126" s="46"/>
      <c r="AM126" s="51">
        <f>IF($AL126=4,VLOOKUP($AR126,'Loyalty Incentive v1'!$L$3:$Q$15,2,FALSE),
IF($AL126=3,VLOOKUP($AR126,'Loyalty Incentive v1'!$L$3:$Q$15,3,FALSE),
IF($AL126=2,VLOOKUP($AR126,'Loyalty Incentive v1'!$L$3:$Q$15,4,FALSE),
IF($AL126=1,VLOOKUP($AR126,'Loyalty Incentive v1'!$L$3:$Q$15,5,FALSE),
IF($AL126=0,VLOOKUP($AR126,'Loyalty Incentive v1'!$L$3:$Q$15,6,FALSE),0)))))</f>
        <v>0</v>
      </c>
      <c r="AN126" s="51">
        <f>IFERROR(IF(I126&gt;="1",AM126,VLOOKUP(VALUE(I126),'Loyalty - Effec - 15July'!$I$5:$J$16,2,0)*AM126),0)</f>
        <v>0</v>
      </c>
      <c r="AO126" s="51">
        <v>0</v>
      </c>
      <c r="AP126" s="51">
        <f t="shared" si="83"/>
        <v>0</v>
      </c>
      <c r="AQ126" s="46" t="str">
        <f t="shared" si="95"/>
        <v>No</v>
      </c>
      <c r="AR126" s="46" t="str">
        <f t="shared" si="96"/>
        <v>AE2</v>
      </c>
      <c r="AS126" s="46" t="b">
        <f t="shared" si="97"/>
        <v>1</v>
      </c>
      <c r="AT126" s="82">
        <f t="shared" si="98"/>
        <v>0</v>
      </c>
      <c r="AU126" s="82">
        <f t="shared" si="84"/>
        <v>0</v>
      </c>
      <c r="AV126" s="82">
        <f t="shared" si="85"/>
        <v>0</v>
      </c>
      <c r="AW126" s="82">
        <f t="shared" si="86"/>
        <v>0</v>
      </c>
      <c r="AX126" s="85"/>
      <c r="AY126" s="82">
        <f t="shared" si="87"/>
        <v>0</v>
      </c>
      <c r="AZ126" s="82">
        <f t="shared" si="88"/>
        <v>0</v>
      </c>
      <c r="BA126" s="82">
        <f t="shared" si="89"/>
        <v>0</v>
      </c>
      <c r="BB126" s="83">
        <v>0</v>
      </c>
      <c r="BC126" s="83">
        <v>0</v>
      </c>
      <c r="BD126" s="83">
        <v>0</v>
      </c>
      <c r="BE126" s="84">
        <f>ROUND((IF(($AT126&lt;=700000),0,IF(((VLOOKUP($AR126,'Loyalty - Effec - 15July'!$B$5:$C$17,2,0)*$AT126)&lt;=120000),(VLOOKUP($AR126,'Loyalty - Effec - 15July'!$B$5:$C$17,2,0)*$AT126),120000))),0)</f>
        <v>0</v>
      </c>
      <c r="BF126" s="84">
        <f>ROUND(VLOOKUP($AR126,'Loyalty - Effec - 15July'!$B$5:$D$17,3,0)*$AT126,0)</f>
        <v>0</v>
      </c>
      <c r="BG126" s="85">
        <f t="shared" si="90"/>
        <v>0</v>
      </c>
      <c r="BH126" s="81">
        <f t="shared" si="91"/>
        <v>0</v>
      </c>
      <c r="BI126" s="85">
        <f t="shared" si="92"/>
        <v>0</v>
      </c>
      <c r="BJ126" s="85">
        <f t="shared" si="93"/>
        <v>0</v>
      </c>
      <c r="BK126" s="85">
        <f t="shared" si="94"/>
        <v>0</v>
      </c>
      <c r="BL126" s="85">
        <f t="shared" si="99"/>
        <v>0</v>
      </c>
      <c r="BM126" s="85">
        <f t="shared" si="100"/>
        <v>0</v>
      </c>
      <c r="BN126" s="85">
        <f t="shared" si="101"/>
        <v>0</v>
      </c>
      <c r="BO126" s="52" t="s">
        <v>85</v>
      </c>
      <c r="BP126" s="46"/>
      <c r="BQ126" s="46"/>
      <c r="BR126" s="47">
        <f t="shared" ref="BR126:BR133" si="102">BG126-AT126</f>
        <v>0</v>
      </c>
      <c r="BU126" s="47">
        <f t="shared" ref="BU126:BU187" si="103">AT126-BG126</f>
        <v>0</v>
      </c>
      <c r="BV126" s="53" t="s">
        <v>336</v>
      </c>
      <c r="BW126" s="53" t="s">
        <v>932</v>
      </c>
      <c r="BX126" s="53" t="s">
        <v>337</v>
      </c>
      <c r="BY126" s="53"/>
      <c r="BZ126" s="53"/>
    </row>
    <row r="127" spans="1:78">
      <c r="A127" s="42" t="s">
        <v>338</v>
      </c>
      <c r="B127" s="28" t="s">
        <v>79</v>
      </c>
      <c r="C127" s="28" t="s">
        <v>80</v>
      </c>
      <c r="D127" s="28" t="s">
        <v>932</v>
      </c>
      <c r="E127" s="43" t="s">
        <v>82</v>
      </c>
      <c r="F127" s="28" t="s">
        <v>902</v>
      </c>
      <c r="G127" s="44" t="s">
        <v>339</v>
      </c>
      <c r="H127" s="45">
        <v>44543</v>
      </c>
      <c r="I127" s="46" t="s">
        <v>990</v>
      </c>
      <c r="J127" s="28">
        <v>4</v>
      </c>
      <c r="K127" s="28" t="s">
        <v>93</v>
      </c>
      <c r="L127" s="28" t="s">
        <v>873</v>
      </c>
      <c r="M127" s="28" t="s">
        <v>0</v>
      </c>
      <c r="N127" s="28" t="str">
        <f t="shared" si="71"/>
        <v>AE2</v>
      </c>
      <c r="O127" s="81"/>
      <c r="P127" s="81">
        <f t="shared" si="72"/>
        <v>0</v>
      </c>
      <c r="Q127" s="81">
        <f t="shared" si="73"/>
        <v>0</v>
      </c>
      <c r="R127" s="81">
        <f t="shared" si="74"/>
        <v>0</v>
      </c>
      <c r="S127" s="81"/>
      <c r="T127" s="82">
        <f t="shared" si="75"/>
        <v>0</v>
      </c>
      <c r="U127" s="82">
        <f t="shared" si="76"/>
        <v>0</v>
      </c>
      <c r="V127" s="82">
        <f t="shared" si="77"/>
        <v>0</v>
      </c>
      <c r="W127" s="83">
        <v>0</v>
      </c>
      <c r="X127" s="83">
        <v>0</v>
      </c>
      <c r="Y127" s="83">
        <v>0</v>
      </c>
      <c r="Z127" s="84">
        <f>ROUND((IF(($O127&lt;=700000),0,IF(((VLOOKUP($M127,'Loyalty - Effec - 15July'!$B$5:$C$17,2,0)*$O127)&lt;=120000),(VLOOKUP($M127,'Loyalty - Effec - 15July'!$B$5:$C$17,2,0)*$O127),120000))),0)</f>
        <v>0</v>
      </c>
      <c r="AA127" s="84">
        <f>ROUND(VLOOKUP($M127,'Loyalty - Effec - 15July'!$B$5:$D$17,3,0)*$O127,0)</f>
        <v>0</v>
      </c>
      <c r="AB127" s="85">
        <f t="shared" si="78"/>
        <v>0</v>
      </c>
      <c r="AC127" s="86">
        <f t="shared" si="79"/>
        <v>0</v>
      </c>
      <c r="AD127" s="87">
        <f t="shared" si="80"/>
        <v>0</v>
      </c>
      <c r="AE127" s="88">
        <f t="shared" si="81"/>
        <v>0</v>
      </c>
      <c r="AF127" s="88">
        <f t="shared" si="82"/>
        <v>0</v>
      </c>
      <c r="AG127" s="49" t="s">
        <v>913</v>
      </c>
      <c r="AH127" s="49" t="s">
        <v>909</v>
      </c>
      <c r="AI127" s="50"/>
      <c r="AJ127" s="46"/>
      <c r="AK127" s="46"/>
      <c r="AL127" s="46"/>
      <c r="AM127" s="51">
        <f>IF($AL127=4,VLOOKUP($AR127,'Loyalty Incentive v1'!$L$3:$Q$15,2,FALSE),
IF($AL127=3,VLOOKUP($AR127,'Loyalty Incentive v1'!$L$3:$Q$15,3,FALSE),
IF($AL127=2,VLOOKUP($AR127,'Loyalty Incentive v1'!$L$3:$Q$15,4,FALSE),
IF($AL127=1,VLOOKUP($AR127,'Loyalty Incentive v1'!$L$3:$Q$15,5,FALSE),
IF($AL127=0,VLOOKUP($AR127,'Loyalty Incentive v1'!$L$3:$Q$15,6,FALSE),0)))))</f>
        <v>0</v>
      </c>
      <c r="AN127" s="51">
        <f>IFERROR(IF(I127&gt;="1",AM127,VLOOKUP(VALUE(I127),'Loyalty - Effec - 15July'!$I$5:$J$16,2,0)*AM127),0)</f>
        <v>0</v>
      </c>
      <c r="AO127" s="51">
        <v>0</v>
      </c>
      <c r="AP127" s="51">
        <f t="shared" si="83"/>
        <v>0</v>
      </c>
      <c r="AQ127" s="46" t="str">
        <f t="shared" si="95"/>
        <v>No</v>
      </c>
      <c r="AR127" s="46" t="str">
        <f t="shared" si="96"/>
        <v>AE2</v>
      </c>
      <c r="AS127" s="46" t="b">
        <f t="shared" si="97"/>
        <v>1</v>
      </c>
      <c r="AT127" s="82">
        <f t="shared" si="98"/>
        <v>0</v>
      </c>
      <c r="AU127" s="82">
        <f t="shared" si="84"/>
        <v>0</v>
      </c>
      <c r="AV127" s="82">
        <f t="shared" si="85"/>
        <v>0</v>
      </c>
      <c r="AW127" s="82">
        <f t="shared" si="86"/>
        <v>0</v>
      </c>
      <c r="AX127" s="85"/>
      <c r="AY127" s="82">
        <f t="shared" si="87"/>
        <v>0</v>
      </c>
      <c r="AZ127" s="82">
        <f t="shared" si="88"/>
        <v>0</v>
      </c>
      <c r="BA127" s="82">
        <f t="shared" si="89"/>
        <v>0</v>
      </c>
      <c r="BB127" s="83">
        <v>0</v>
      </c>
      <c r="BC127" s="83">
        <v>0</v>
      </c>
      <c r="BD127" s="83">
        <v>0</v>
      </c>
      <c r="BE127" s="84">
        <f>ROUND((IF(($AT127&lt;=700000),0,IF(((VLOOKUP($AR127,'Loyalty - Effec - 15July'!$B$5:$C$17,2,0)*$AT127)&lt;=120000),(VLOOKUP($AR127,'Loyalty - Effec - 15July'!$B$5:$C$17,2,0)*$AT127),120000))),0)</f>
        <v>0</v>
      </c>
      <c r="BF127" s="84">
        <f>ROUND(VLOOKUP($AR127,'Loyalty - Effec - 15July'!$B$5:$D$17,3,0)*$AT127,0)</f>
        <v>0</v>
      </c>
      <c r="BG127" s="85">
        <f t="shared" si="90"/>
        <v>0</v>
      </c>
      <c r="BH127" s="81">
        <f t="shared" si="91"/>
        <v>0</v>
      </c>
      <c r="BI127" s="85">
        <f t="shared" si="92"/>
        <v>0</v>
      </c>
      <c r="BJ127" s="85">
        <f t="shared" si="93"/>
        <v>0</v>
      </c>
      <c r="BK127" s="85">
        <f t="shared" si="94"/>
        <v>0</v>
      </c>
      <c r="BL127" s="85">
        <f t="shared" si="99"/>
        <v>0</v>
      </c>
      <c r="BM127" s="85">
        <f t="shared" si="100"/>
        <v>0</v>
      </c>
      <c r="BN127" s="85">
        <f t="shared" si="101"/>
        <v>0</v>
      </c>
      <c r="BO127" s="52" t="s">
        <v>85</v>
      </c>
      <c r="BP127" s="46"/>
      <c r="BQ127" s="46"/>
      <c r="BR127" s="47">
        <f t="shared" si="102"/>
        <v>0</v>
      </c>
      <c r="BU127" s="47">
        <f t="shared" si="103"/>
        <v>0</v>
      </c>
      <c r="BV127" s="53" t="s">
        <v>338</v>
      </c>
      <c r="BW127" s="53" t="s">
        <v>932</v>
      </c>
      <c r="BX127" s="53" t="s">
        <v>339</v>
      </c>
      <c r="BY127" s="53"/>
      <c r="BZ127" s="53"/>
    </row>
    <row r="128" spans="1:78">
      <c r="A128" s="42" t="s">
        <v>340</v>
      </c>
      <c r="B128" s="28" t="s">
        <v>79</v>
      </c>
      <c r="C128" s="28" t="s">
        <v>80</v>
      </c>
      <c r="D128" s="28" t="s">
        <v>932</v>
      </c>
      <c r="E128" s="43" t="s">
        <v>82</v>
      </c>
      <c r="F128" s="28" t="s">
        <v>901</v>
      </c>
      <c r="G128" s="44" t="s">
        <v>341</v>
      </c>
      <c r="H128" s="45">
        <v>44543</v>
      </c>
      <c r="I128" s="46" t="s">
        <v>990</v>
      </c>
      <c r="J128" s="28">
        <v>4</v>
      </c>
      <c r="K128" s="28" t="s">
        <v>93</v>
      </c>
      <c r="L128" s="28" t="s">
        <v>873</v>
      </c>
      <c r="M128" s="28" t="s">
        <v>0</v>
      </c>
      <c r="N128" s="28" t="str">
        <f t="shared" si="71"/>
        <v>AE2</v>
      </c>
      <c r="O128" s="81"/>
      <c r="P128" s="81">
        <f t="shared" si="72"/>
        <v>0</v>
      </c>
      <c r="Q128" s="81">
        <f t="shared" si="73"/>
        <v>0</v>
      </c>
      <c r="R128" s="81">
        <f t="shared" si="74"/>
        <v>0</v>
      </c>
      <c r="S128" s="81"/>
      <c r="T128" s="82">
        <f t="shared" si="75"/>
        <v>0</v>
      </c>
      <c r="U128" s="82">
        <f t="shared" si="76"/>
        <v>0</v>
      </c>
      <c r="V128" s="82">
        <f t="shared" si="77"/>
        <v>0</v>
      </c>
      <c r="W128" s="83">
        <v>0</v>
      </c>
      <c r="X128" s="83">
        <v>0</v>
      </c>
      <c r="Y128" s="83">
        <v>0</v>
      </c>
      <c r="Z128" s="84">
        <f>ROUND((IF(($O128&lt;=700000),0,IF(((VLOOKUP($M128,'Loyalty - Effec - 15July'!$B$5:$C$17,2,0)*$O128)&lt;=120000),(VLOOKUP($M128,'Loyalty - Effec - 15July'!$B$5:$C$17,2,0)*$O128),120000))),0)</f>
        <v>0</v>
      </c>
      <c r="AA128" s="84">
        <f>ROUND(VLOOKUP($M128,'Loyalty - Effec - 15July'!$B$5:$D$17,3,0)*$O128,0)</f>
        <v>0</v>
      </c>
      <c r="AB128" s="85">
        <f t="shared" si="78"/>
        <v>0</v>
      </c>
      <c r="AC128" s="86">
        <f t="shared" si="79"/>
        <v>0</v>
      </c>
      <c r="AD128" s="87">
        <f t="shared" si="80"/>
        <v>0</v>
      </c>
      <c r="AE128" s="88">
        <f t="shared" si="81"/>
        <v>0</v>
      </c>
      <c r="AF128" s="88">
        <f t="shared" si="82"/>
        <v>0</v>
      </c>
      <c r="AG128" s="49" t="s">
        <v>303</v>
      </c>
      <c r="AH128" s="49" t="s">
        <v>126</v>
      </c>
      <c r="AI128" s="50"/>
      <c r="AJ128" s="46"/>
      <c r="AK128" s="46"/>
      <c r="AL128" s="46"/>
      <c r="AM128" s="51">
        <f>IF($AL128=4,VLOOKUP($AR128,'Loyalty Incentive v1'!$L$3:$Q$15,2,FALSE),
IF($AL128=3,VLOOKUP($AR128,'Loyalty Incentive v1'!$L$3:$Q$15,3,FALSE),
IF($AL128=2,VLOOKUP($AR128,'Loyalty Incentive v1'!$L$3:$Q$15,4,FALSE),
IF($AL128=1,VLOOKUP($AR128,'Loyalty Incentive v1'!$L$3:$Q$15,5,FALSE),
IF($AL128=0,VLOOKUP($AR128,'Loyalty Incentive v1'!$L$3:$Q$15,6,FALSE),0)))))</f>
        <v>0</v>
      </c>
      <c r="AN128" s="51">
        <f>IFERROR(IF(I128&gt;="1",AM128,VLOOKUP(VALUE(I128),'Loyalty - Effec - 15July'!$I$5:$J$16,2,0)*AM128),0)</f>
        <v>0</v>
      </c>
      <c r="AO128" s="51">
        <v>0</v>
      </c>
      <c r="AP128" s="51">
        <f t="shared" si="83"/>
        <v>0</v>
      </c>
      <c r="AQ128" s="46" t="str">
        <f t="shared" si="95"/>
        <v>No</v>
      </c>
      <c r="AR128" s="46" t="str">
        <f t="shared" si="96"/>
        <v>AE2</v>
      </c>
      <c r="AS128" s="46" t="b">
        <f t="shared" si="97"/>
        <v>1</v>
      </c>
      <c r="AT128" s="82">
        <f t="shared" si="98"/>
        <v>0</v>
      </c>
      <c r="AU128" s="82">
        <f t="shared" si="84"/>
        <v>0</v>
      </c>
      <c r="AV128" s="82">
        <f t="shared" si="85"/>
        <v>0</v>
      </c>
      <c r="AW128" s="82">
        <f t="shared" si="86"/>
        <v>0</v>
      </c>
      <c r="AX128" s="85"/>
      <c r="AY128" s="82">
        <f t="shared" si="87"/>
        <v>0</v>
      </c>
      <c r="AZ128" s="82">
        <f t="shared" si="88"/>
        <v>0</v>
      </c>
      <c r="BA128" s="82">
        <f t="shared" si="89"/>
        <v>0</v>
      </c>
      <c r="BB128" s="83">
        <v>0</v>
      </c>
      <c r="BC128" s="83">
        <v>0</v>
      </c>
      <c r="BD128" s="83">
        <v>0</v>
      </c>
      <c r="BE128" s="84">
        <f>ROUND((IF(($AT128&lt;=700000),0,IF(((VLOOKUP($AR128,'Loyalty - Effec - 15July'!$B$5:$C$17,2,0)*$AT128)&lt;=120000),(VLOOKUP($AR128,'Loyalty - Effec - 15July'!$B$5:$C$17,2,0)*$AT128),120000))),0)</f>
        <v>0</v>
      </c>
      <c r="BF128" s="84">
        <f>ROUND(VLOOKUP($AR128,'Loyalty - Effec - 15July'!$B$5:$D$17,3,0)*$AT128,0)</f>
        <v>0</v>
      </c>
      <c r="BG128" s="85">
        <f t="shared" si="90"/>
        <v>0</v>
      </c>
      <c r="BH128" s="81">
        <f t="shared" si="91"/>
        <v>0</v>
      </c>
      <c r="BI128" s="85">
        <f t="shared" si="92"/>
        <v>0</v>
      </c>
      <c r="BJ128" s="85">
        <f t="shared" si="93"/>
        <v>0</v>
      </c>
      <c r="BK128" s="85">
        <f t="shared" si="94"/>
        <v>0</v>
      </c>
      <c r="BL128" s="85">
        <f t="shared" si="99"/>
        <v>0</v>
      </c>
      <c r="BM128" s="85">
        <f t="shared" si="100"/>
        <v>0</v>
      </c>
      <c r="BN128" s="85">
        <f t="shared" si="101"/>
        <v>0</v>
      </c>
      <c r="BO128" s="52" t="s">
        <v>85</v>
      </c>
      <c r="BP128" s="46"/>
      <c r="BQ128" s="46"/>
      <c r="BR128" s="47">
        <f t="shared" si="102"/>
        <v>0</v>
      </c>
      <c r="BU128" s="47">
        <f t="shared" si="103"/>
        <v>0</v>
      </c>
      <c r="BV128" s="53" t="s">
        <v>340</v>
      </c>
      <c r="BW128" s="53" t="s">
        <v>932</v>
      </c>
      <c r="BX128" s="53" t="s">
        <v>341</v>
      </c>
      <c r="BY128" s="53"/>
      <c r="BZ128" s="53"/>
    </row>
    <row r="129" spans="1:79">
      <c r="A129" s="42" t="s">
        <v>342</v>
      </c>
      <c r="B129" s="28" t="s">
        <v>79</v>
      </c>
      <c r="C129" s="28" t="s">
        <v>80</v>
      </c>
      <c r="D129" s="28" t="s">
        <v>932</v>
      </c>
      <c r="E129" s="43" t="s">
        <v>82</v>
      </c>
      <c r="F129" s="28" t="s">
        <v>902</v>
      </c>
      <c r="G129" s="44" t="s">
        <v>343</v>
      </c>
      <c r="H129" s="45">
        <v>44543</v>
      </c>
      <c r="I129" s="46" t="s">
        <v>990</v>
      </c>
      <c r="J129" s="28">
        <v>6.5</v>
      </c>
      <c r="K129" s="28" t="s">
        <v>93</v>
      </c>
      <c r="L129" s="28" t="s">
        <v>873</v>
      </c>
      <c r="M129" s="28" t="s">
        <v>0</v>
      </c>
      <c r="N129" s="28" t="str">
        <f t="shared" si="71"/>
        <v>AE2</v>
      </c>
      <c r="O129" s="81"/>
      <c r="P129" s="81">
        <f t="shared" si="72"/>
        <v>0</v>
      </c>
      <c r="Q129" s="81">
        <f t="shared" si="73"/>
        <v>0</v>
      </c>
      <c r="R129" s="81">
        <f t="shared" si="74"/>
        <v>0</v>
      </c>
      <c r="S129" s="81"/>
      <c r="T129" s="82">
        <f t="shared" si="75"/>
        <v>0</v>
      </c>
      <c r="U129" s="82">
        <f t="shared" si="76"/>
        <v>0</v>
      </c>
      <c r="V129" s="82">
        <f t="shared" si="77"/>
        <v>0</v>
      </c>
      <c r="W129" s="83">
        <v>0</v>
      </c>
      <c r="X129" s="83">
        <v>0</v>
      </c>
      <c r="Y129" s="83">
        <v>0</v>
      </c>
      <c r="Z129" s="84">
        <f>ROUND((IF(($O129&lt;=700000),0,IF(((VLOOKUP($M129,'Loyalty - Effec - 15July'!$B$5:$C$17,2,0)*$O129)&lt;=120000),(VLOOKUP($M129,'Loyalty - Effec - 15July'!$B$5:$C$17,2,0)*$O129),120000))),0)</f>
        <v>0</v>
      </c>
      <c r="AA129" s="84">
        <f>ROUND(VLOOKUP($M129,'Loyalty - Effec - 15July'!$B$5:$D$17,3,0)*$O129,0)</f>
        <v>0</v>
      </c>
      <c r="AB129" s="85">
        <f t="shared" si="78"/>
        <v>0</v>
      </c>
      <c r="AC129" s="86">
        <f t="shared" si="79"/>
        <v>0</v>
      </c>
      <c r="AD129" s="87">
        <f t="shared" si="80"/>
        <v>0</v>
      </c>
      <c r="AE129" s="88">
        <f t="shared" si="81"/>
        <v>0</v>
      </c>
      <c r="AF129" s="88">
        <f t="shared" si="82"/>
        <v>0</v>
      </c>
      <c r="AG129" s="49" t="s">
        <v>920</v>
      </c>
      <c r="AH129" s="49" t="s">
        <v>120</v>
      </c>
      <c r="AI129" s="50"/>
      <c r="AJ129" s="46"/>
      <c r="AK129" s="46"/>
      <c r="AL129" s="46"/>
      <c r="AM129" s="51">
        <f>IF($AL129=4,VLOOKUP($AR129,'Loyalty Incentive v1'!$L$3:$Q$15,2,FALSE),
IF($AL129=3,VLOOKUP($AR129,'Loyalty Incentive v1'!$L$3:$Q$15,3,FALSE),
IF($AL129=2,VLOOKUP($AR129,'Loyalty Incentive v1'!$L$3:$Q$15,4,FALSE),
IF($AL129=1,VLOOKUP($AR129,'Loyalty Incentive v1'!$L$3:$Q$15,5,FALSE),
IF($AL129=0,VLOOKUP($AR129,'Loyalty Incentive v1'!$L$3:$Q$15,6,FALSE),0)))))</f>
        <v>0</v>
      </c>
      <c r="AN129" s="51">
        <f>IFERROR(IF(I129&gt;="1",AM129,VLOOKUP(VALUE(I129),'Loyalty - Effec - 15July'!$I$5:$J$16,2,0)*AM129),0)</f>
        <v>0</v>
      </c>
      <c r="AO129" s="51">
        <v>0</v>
      </c>
      <c r="AP129" s="51">
        <f t="shared" si="83"/>
        <v>0</v>
      </c>
      <c r="AQ129" s="46" t="str">
        <f t="shared" si="95"/>
        <v>No</v>
      </c>
      <c r="AR129" s="46" t="str">
        <f t="shared" si="96"/>
        <v>AE2</v>
      </c>
      <c r="AS129" s="46" t="b">
        <f t="shared" si="97"/>
        <v>1</v>
      </c>
      <c r="AT129" s="82">
        <f t="shared" si="98"/>
        <v>0</v>
      </c>
      <c r="AU129" s="82">
        <f t="shared" si="84"/>
        <v>0</v>
      </c>
      <c r="AV129" s="82">
        <f t="shared" si="85"/>
        <v>0</v>
      </c>
      <c r="AW129" s="82">
        <f t="shared" si="86"/>
        <v>0</v>
      </c>
      <c r="AX129" s="85"/>
      <c r="AY129" s="82">
        <f t="shared" si="87"/>
        <v>0</v>
      </c>
      <c r="AZ129" s="82">
        <f t="shared" si="88"/>
        <v>0</v>
      </c>
      <c r="BA129" s="82">
        <f t="shared" si="89"/>
        <v>0</v>
      </c>
      <c r="BB129" s="83">
        <v>0</v>
      </c>
      <c r="BC129" s="83">
        <v>0</v>
      </c>
      <c r="BD129" s="83">
        <v>0</v>
      </c>
      <c r="BE129" s="84">
        <f>ROUND((IF(($AT129&lt;=700000),0,IF(((VLOOKUP($AR129,'Loyalty - Effec - 15July'!$B$5:$C$17,2,0)*$AT129)&lt;=120000),(VLOOKUP($AR129,'Loyalty - Effec - 15July'!$B$5:$C$17,2,0)*$AT129),120000))),0)</f>
        <v>0</v>
      </c>
      <c r="BF129" s="84">
        <f>ROUND(VLOOKUP($AR129,'Loyalty - Effec - 15July'!$B$5:$D$17,3,0)*$AT129,0)</f>
        <v>0</v>
      </c>
      <c r="BG129" s="85">
        <f t="shared" si="90"/>
        <v>0</v>
      </c>
      <c r="BH129" s="81">
        <f t="shared" si="91"/>
        <v>0</v>
      </c>
      <c r="BI129" s="85">
        <f t="shared" si="92"/>
        <v>0</v>
      </c>
      <c r="BJ129" s="85">
        <f t="shared" si="93"/>
        <v>0</v>
      </c>
      <c r="BK129" s="85">
        <f t="shared" si="94"/>
        <v>0</v>
      </c>
      <c r="BL129" s="85">
        <f t="shared" si="99"/>
        <v>0</v>
      </c>
      <c r="BM129" s="85">
        <f t="shared" si="100"/>
        <v>0</v>
      </c>
      <c r="BN129" s="85">
        <f t="shared" si="101"/>
        <v>0</v>
      </c>
      <c r="BO129" s="52" t="s">
        <v>85</v>
      </c>
      <c r="BP129" s="46"/>
      <c r="BQ129" s="46"/>
      <c r="BR129" s="47">
        <f t="shared" si="102"/>
        <v>0</v>
      </c>
      <c r="BU129" s="47">
        <f t="shared" si="103"/>
        <v>0</v>
      </c>
      <c r="BV129" s="53" t="s">
        <v>342</v>
      </c>
      <c r="BW129" s="53" t="s">
        <v>932</v>
      </c>
      <c r="BX129" s="53" t="s">
        <v>343</v>
      </c>
      <c r="BY129" s="53"/>
      <c r="BZ129" s="53"/>
    </row>
    <row r="130" spans="1:79">
      <c r="A130" s="42" t="s">
        <v>344</v>
      </c>
      <c r="B130" s="28" t="s">
        <v>79</v>
      </c>
      <c r="C130" s="28" t="s">
        <v>80</v>
      </c>
      <c r="D130" s="28" t="s">
        <v>932</v>
      </c>
      <c r="E130" s="43" t="s">
        <v>82</v>
      </c>
      <c r="F130" s="28" t="s">
        <v>901</v>
      </c>
      <c r="G130" s="44" t="s">
        <v>345</v>
      </c>
      <c r="H130" s="45">
        <v>44544</v>
      </c>
      <c r="I130" s="46" t="s">
        <v>990</v>
      </c>
      <c r="J130" s="28">
        <v>6</v>
      </c>
      <c r="K130" s="28" t="s">
        <v>413</v>
      </c>
      <c r="L130" s="28" t="s">
        <v>140</v>
      </c>
      <c r="M130" s="28" t="s">
        <v>2</v>
      </c>
      <c r="N130" s="28" t="str">
        <f t="shared" si="71"/>
        <v>AE4</v>
      </c>
      <c r="O130" s="81"/>
      <c r="P130" s="81">
        <f t="shared" si="72"/>
        <v>0</v>
      </c>
      <c r="Q130" s="81">
        <f t="shared" si="73"/>
        <v>0</v>
      </c>
      <c r="R130" s="81">
        <f t="shared" si="74"/>
        <v>0</v>
      </c>
      <c r="S130" s="81"/>
      <c r="T130" s="82">
        <f t="shared" si="75"/>
        <v>0</v>
      </c>
      <c r="U130" s="82">
        <f t="shared" si="76"/>
        <v>0</v>
      </c>
      <c r="V130" s="82">
        <f t="shared" si="77"/>
        <v>0</v>
      </c>
      <c r="W130" s="83">
        <v>0</v>
      </c>
      <c r="X130" s="83">
        <v>0</v>
      </c>
      <c r="Y130" s="83">
        <v>0</v>
      </c>
      <c r="Z130" s="84">
        <f>ROUND((IF(($O130&lt;=700000),0,IF(((VLOOKUP($M130,'Loyalty - Effec - 15July'!$B$5:$C$17,2,0)*$O130)&lt;=120000),(VLOOKUP($M130,'Loyalty - Effec - 15July'!$B$5:$C$17,2,0)*$O130),120000))),0)</f>
        <v>0</v>
      </c>
      <c r="AA130" s="84">
        <f>ROUND(VLOOKUP($M130,'Loyalty - Effec - 15July'!$B$5:$D$17,3,0)*$O130,0)</f>
        <v>0</v>
      </c>
      <c r="AB130" s="85">
        <f t="shared" si="78"/>
        <v>0</v>
      </c>
      <c r="AC130" s="86">
        <f t="shared" si="79"/>
        <v>0</v>
      </c>
      <c r="AD130" s="87">
        <f t="shared" si="80"/>
        <v>0</v>
      </c>
      <c r="AE130" s="88">
        <f t="shared" si="81"/>
        <v>0</v>
      </c>
      <c r="AF130" s="88">
        <f t="shared" si="82"/>
        <v>0</v>
      </c>
      <c r="AG130" s="49" t="s">
        <v>228</v>
      </c>
      <c r="AH130" s="49" t="s">
        <v>126</v>
      </c>
      <c r="AI130" s="50"/>
      <c r="AJ130" s="46"/>
      <c r="AK130" s="46"/>
      <c r="AL130" s="46"/>
      <c r="AM130" s="51">
        <f>IF($AL130=4,VLOOKUP($AR130,'Loyalty Incentive v1'!$L$3:$Q$15,2,FALSE),
IF($AL130=3,VLOOKUP($AR130,'Loyalty Incentive v1'!$L$3:$Q$15,3,FALSE),
IF($AL130=2,VLOOKUP($AR130,'Loyalty Incentive v1'!$L$3:$Q$15,4,FALSE),
IF($AL130=1,VLOOKUP($AR130,'Loyalty Incentive v1'!$L$3:$Q$15,5,FALSE),
IF($AL130=0,VLOOKUP($AR130,'Loyalty Incentive v1'!$L$3:$Q$15,6,FALSE),0)))))</f>
        <v>0</v>
      </c>
      <c r="AN130" s="51">
        <f>IFERROR(IF(I130&gt;="1",AM130,VLOOKUP(VALUE(I130),'Loyalty - Effec - 15July'!$I$5:$J$16,2,0)*AM130),0)</f>
        <v>0</v>
      </c>
      <c r="AO130" s="51">
        <v>0</v>
      </c>
      <c r="AP130" s="51">
        <f t="shared" si="83"/>
        <v>0</v>
      </c>
      <c r="AQ130" s="46" t="str">
        <f t="shared" si="95"/>
        <v>No</v>
      </c>
      <c r="AR130" s="46" t="str">
        <f t="shared" si="96"/>
        <v>AE4</v>
      </c>
      <c r="AS130" s="46" t="b">
        <f t="shared" si="97"/>
        <v>1</v>
      </c>
      <c r="AT130" s="82">
        <f t="shared" si="98"/>
        <v>0</v>
      </c>
      <c r="AU130" s="82">
        <f t="shared" si="84"/>
        <v>0</v>
      </c>
      <c r="AV130" s="82">
        <f t="shared" si="85"/>
        <v>0</v>
      </c>
      <c r="AW130" s="82">
        <f t="shared" si="86"/>
        <v>0</v>
      </c>
      <c r="AX130" s="85"/>
      <c r="AY130" s="82">
        <f t="shared" si="87"/>
        <v>0</v>
      </c>
      <c r="AZ130" s="82">
        <f t="shared" si="88"/>
        <v>0</v>
      </c>
      <c r="BA130" s="82">
        <f t="shared" si="89"/>
        <v>0</v>
      </c>
      <c r="BB130" s="83">
        <v>0</v>
      </c>
      <c r="BC130" s="83">
        <v>0</v>
      </c>
      <c r="BD130" s="83">
        <v>0</v>
      </c>
      <c r="BE130" s="84">
        <f>ROUND((IF(($AT130&lt;=700000),0,IF(((VLOOKUP($AR130,'Loyalty - Effec - 15July'!$B$5:$C$17,2,0)*$AT130)&lt;=120000),(VLOOKUP($AR130,'Loyalty - Effec - 15July'!$B$5:$C$17,2,0)*$AT130),120000))),0)</f>
        <v>0</v>
      </c>
      <c r="BF130" s="84">
        <f>ROUND(VLOOKUP($AR130,'Loyalty - Effec - 15July'!$B$5:$D$17,3,0)*$AT130,0)</f>
        <v>0</v>
      </c>
      <c r="BG130" s="85">
        <f t="shared" si="90"/>
        <v>0</v>
      </c>
      <c r="BH130" s="81">
        <f t="shared" si="91"/>
        <v>0</v>
      </c>
      <c r="BI130" s="85">
        <f t="shared" si="92"/>
        <v>0</v>
      </c>
      <c r="BJ130" s="85">
        <f t="shared" si="93"/>
        <v>0</v>
      </c>
      <c r="BK130" s="85">
        <f t="shared" si="94"/>
        <v>0</v>
      </c>
      <c r="BL130" s="85">
        <f t="shared" si="99"/>
        <v>0</v>
      </c>
      <c r="BM130" s="85">
        <f t="shared" si="100"/>
        <v>0</v>
      </c>
      <c r="BN130" s="85">
        <f t="shared" si="101"/>
        <v>0</v>
      </c>
      <c r="BO130" s="52" t="s">
        <v>85</v>
      </c>
      <c r="BP130" s="46"/>
      <c r="BQ130" s="46"/>
      <c r="BR130" s="47">
        <f t="shared" si="102"/>
        <v>0</v>
      </c>
      <c r="BU130" s="47">
        <f t="shared" si="103"/>
        <v>0</v>
      </c>
      <c r="BV130" s="53" t="s">
        <v>344</v>
      </c>
      <c r="BW130" s="53" t="s">
        <v>932</v>
      </c>
      <c r="BX130" s="53" t="s">
        <v>345</v>
      </c>
      <c r="BY130" s="53"/>
      <c r="BZ130" s="53"/>
    </row>
    <row r="131" spans="1:79">
      <c r="A131" s="42" t="s">
        <v>328</v>
      </c>
      <c r="B131" s="28" t="s">
        <v>79</v>
      </c>
      <c r="C131" s="28" t="s">
        <v>80</v>
      </c>
      <c r="D131" s="28" t="s">
        <v>932</v>
      </c>
      <c r="E131" s="43" t="s">
        <v>82</v>
      </c>
      <c r="F131" s="28" t="s">
        <v>901</v>
      </c>
      <c r="G131" s="44" t="s">
        <v>329</v>
      </c>
      <c r="H131" s="45">
        <v>44544</v>
      </c>
      <c r="I131" s="46" t="s">
        <v>990</v>
      </c>
      <c r="J131" s="28">
        <v>0</v>
      </c>
      <c r="K131" s="28" t="s">
        <v>413</v>
      </c>
      <c r="L131" s="28" t="s">
        <v>875</v>
      </c>
      <c r="M131" s="28" t="s">
        <v>1</v>
      </c>
      <c r="N131" s="28" t="str">
        <f t="shared" si="71"/>
        <v>AE3</v>
      </c>
      <c r="O131" s="81"/>
      <c r="P131" s="81">
        <f t="shared" si="72"/>
        <v>0</v>
      </c>
      <c r="Q131" s="81">
        <f t="shared" si="73"/>
        <v>0</v>
      </c>
      <c r="R131" s="81">
        <f t="shared" si="74"/>
        <v>0</v>
      </c>
      <c r="S131" s="81"/>
      <c r="T131" s="82">
        <f t="shared" si="75"/>
        <v>0</v>
      </c>
      <c r="U131" s="82">
        <f t="shared" si="76"/>
        <v>0</v>
      </c>
      <c r="V131" s="82">
        <f t="shared" si="77"/>
        <v>0</v>
      </c>
      <c r="W131" s="83">
        <v>0</v>
      </c>
      <c r="X131" s="83">
        <v>0</v>
      </c>
      <c r="Y131" s="83">
        <v>0</v>
      </c>
      <c r="Z131" s="84">
        <f>ROUND((IF(($O131&lt;=700000),0,IF(((VLOOKUP($M131,'Loyalty - Effec - 15July'!$B$5:$C$17,2,0)*$O131)&lt;=120000),(VLOOKUP($M131,'Loyalty - Effec - 15July'!$B$5:$C$17,2,0)*$O131),120000))),0)</f>
        <v>0</v>
      </c>
      <c r="AA131" s="84">
        <f>ROUND(VLOOKUP($M131,'Loyalty - Effec - 15July'!$B$5:$D$17,3,0)*$O131,0)</f>
        <v>0</v>
      </c>
      <c r="AB131" s="85">
        <f t="shared" si="78"/>
        <v>0</v>
      </c>
      <c r="AC131" s="86">
        <f t="shared" si="79"/>
        <v>0</v>
      </c>
      <c r="AD131" s="87">
        <f t="shared" si="80"/>
        <v>0</v>
      </c>
      <c r="AE131" s="88">
        <f t="shared" si="81"/>
        <v>0</v>
      </c>
      <c r="AF131" s="88">
        <f t="shared" si="82"/>
        <v>0</v>
      </c>
      <c r="AG131" s="49" t="s">
        <v>176</v>
      </c>
      <c r="AH131" s="49" t="s">
        <v>200</v>
      </c>
      <c r="AI131" s="50"/>
      <c r="AJ131" s="46"/>
      <c r="AK131" s="46"/>
      <c r="AL131" s="46"/>
      <c r="AM131" s="51">
        <f>IF($AL131=4,VLOOKUP($AR131,'Loyalty Incentive v1'!$L$3:$Q$15,2,FALSE),
IF($AL131=3,VLOOKUP($AR131,'Loyalty Incentive v1'!$L$3:$Q$15,3,FALSE),
IF($AL131=2,VLOOKUP($AR131,'Loyalty Incentive v1'!$L$3:$Q$15,4,FALSE),
IF($AL131=1,VLOOKUP($AR131,'Loyalty Incentive v1'!$L$3:$Q$15,5,FALSE),
IF($AL131=0,VLOOKUP($AR131,'Loyalty Incentive v1'!$L$3:$Q$15,6,FALSE),0)))))</f>
        <v>0</v>
      </c>
      <c r="AN131" s="51">
        <f>IFERROR(IF(I131&gt;="1",AM131,VLOOKUP(VALUE(I131),'Loyalty - Effec - 15July'!$I$5:$J$16,2,0)*AM131),0)</f>
        <v>0</v>
      </c>
      <c r="AO131" s="51">
        <v>0</v>
      </c>
      <c r="AP131" s="51">
        <f t="shared" si="83"/>
        <v>0</v>
      </c>
      <c r="AQ131" s="46" t="str">
        <f t="shared" si="95"/>
        <v>No</v>
      </c>
      <c r="AR131" s="46" t="str">
        <f t="shared" si="96"/>
        <v>AE3</v>
      </c>
      <c r="AS131" s="46" t="b">
        <f t="shared" si="97"/>
        <v>1</v>
      </c>
      <c r="AT131" s="82">
        <f t="shared" si="98"/>
        <v>0</v>
      </c>
      <c r="AU131" s="82">
        <f t="shared" si="84"/>
        <v>0</v>
      </c>
      <c r="AV131" s="82">
        <f t="shared" si="85"/>
        <v>0</v>
      </c>
      <c r="AW131" s="82">
        <f t="shared" si="86"/>
        <v>0</v>
      </c>
      <c r="AX131" s="85"/>
      <c r="AY131" s="82">
        <f t="shared" si="87"/>
        <v>0</v>
      </c>
      <c r="AZ131" s="82">
        <f t="shared" si="88"/>
        <v>0</v>
      </c>
      <c r="BA131" s="82">
        <f t="shared" si="89"/>
        <v>0</v>
      </c>
      <c r="BB131" s="83">
        <v>0</v>
      </c>
      <c r="BC131" s="83">
        <v>0</v>
      </c>
      <c r="BD131" s="83">
        <v>0</v>
      </c>
      <c r="BE131" s="84">
        <f>ROUND((IF(($AT131&lt;=700000),0,IF(((VLOOKUP($AR131,'Loyalty - Effec - 15July'!$B$5:$C$17,2,0)*$AT131)&lt;=120000),(VLOOKUP($AR131,'Loyalty - Effec - 15July'!$B$5:$C$17,2,0)*$AT131),120000))),0)</f>
        <v>0</v>
      </c>
      <c r="BF131" s="84">
        <f>ROUND(VLOOKUP($AR131,'Loyalty - Effec - 15July'!$B$5:$D$17,3,0)*$AT131,0)</f>
        <v>0</v>
      </c>
      <c r="BG131" s="85">
        <f t="shared" si="90"/>
        <v>0</v>
      </c>
      <c r="BH131" s="81">
        <f t="shared" si="91"/>
        <v>0</v>
      </c>
      <c r="BI131" s="85">
        <f t="shared" si="92"/>
        <v>0</v>
      </c>
      <c r="BJ131" s="85">
        <f t="shared" si="93"/>
        <v>0</v>
      </c>
      <c r="BK131" s="85">
        <f t="shared" si="94"/>
        <v>0</v>
      </c>
      <c r="BL131" s="85">
        <f t="shared" si="99"/>
        <v>0</v>
      </c>
      <c r="BM131" s="85">
        <f t="shared" si="100"/>
        <v>0</v>
      </c>
      <c r="BN131" s="85">
        <f t="shared" si="101"/>
        <v>0</v>
      </c>
      <c r="BO131" s="52" t="s">
        <v>85</v>
      </c>
      <c r="BP131" s="46"/>
      <c r="BQ131" s="46"/>
      <c r="BR131" s="47">
        <f t="shared" si="102"/>
        <v>0</v>
      </c>
      <c r="BU131" s="47">
        <f t="shared" si="103"/>
        <v>0</v>
      </c>
      <c r="BV131" s="53" t="s">
        <v>328</v>
      </c>
      <c r="BW131" s="53" t="s">
        <v>932</v>
      </c>
      <c r="BX131" s="53" t="s">
        <v>329</v>
      </c>
      <c r="BY131" s="53"/>
      <c r="BZ131" s="53"/>
    </row>
    <row r="132" spans="1:79">
      <c r="A132" s="42" t="s">
        <v>348</v>
      </c>
      <c r="B132" s="28" t="s">
        <v>79</v>
      </c>
      <c r="C132" s="28" t="s">
        <v>80</v>
      </c>
      <c r="D132" s="28" t="s">
        <v>81</v>
      </c>
      <c r="E132" s="43" t="s">
        <v>82</v>
      </c>
      <c r="F132" s="28" t="s">
        <v>901</v>
      </c>
      <c r="G132" s="44" t="s">
        <v>349</v>
      </c>
      <c r="H132" s="45">
        <v>44567</v>
      </c>
      <c r="I132" s="28" t="s">
        <v>991</v>
      </c>
      <c r="J132" s="28">
        <v>0</v>
      </c>
      <c r="K132" s="28" t="s">
        <v>863</v>
      </c>
      <c r="L132" s="28" t="s">
        <v>885</v>
      </c>
      <c r="M132" s="28" t="s">
        <v>4</v>
      </c>
      <c r="N132" s="28" t="str">
        <f t="shared" si="71"/>
        <v>AE6</v>
      </c>
      <c r="O132" s="81"/>
      <c r="P132" s="81">
        <f t="shared" si="72"/>
        <v>0</v>
      </c>
      <c r="Q132" s="81">
        <f t="shared" si="73"/>
        <v>0</v>
      </c>
      <c r="R132" s="81">
        <f t="shared" si="74"/>
        <v>0</v>
      </c>
      <c r="S132" s="81"/>
      <c r="T132" s="82">
        <f t="shared" si="75"/>
        <v>0</v>
      </c>
      <c r="U132" s="82">
        <f t="shared" si="76"/>
        <v>0</v>
      </c>
      <c r="V132" s="82">
        <f t="shared" si="77"/>
        <v>0</v>
      </c>
      <c r="W132" s="83">
        <v>0</v>
      </c>
      <c r="X132" s="83">
        <v>0</v>
      </c>
      <c r="Y132" s="83">
        <v>0</v>
      </c>
      <c r="Z132" s="84">
        <f>ROUND((IF(($O132&lt;=700000),0,IF(((VLOOKUP($M132,'Loyalty - Effec - 15July'!$B$5:$C$17,2,0)*$O132)&lt;=120000),(VLOOKUP($M132,'Loyalty - Effec - 15July'!$B$5:$C$17,2,0)*$O132),120000))),0)</f>
        <v>0</v>
      </c>
      <c r="AA132" s="84">
        <f>ROUND(VLOOKUP($M132,'Loyalty - Effec - 15July'!$B$5:$D$17,3,0)*$O132,0)</f>
        <v>0</v>
      </c>
      <c r="AB132" s="85">
        <f t="shared" si="78"/>
        <v>0</v>
      </c>
      <c r="AC132" s="86">
        <f t="shared" si="79"/>
        <v>0</v>
      </c>
      <c r="AD132" s="87">
        <f t="shared" si="80"/>
        <v>0</v>
      </c>
      <c r="AE132" s="88">
        <f t="shared" si="81"/>
        <v>0</v>
      </c>
      <c r="AF132" s="88">
        <f t="shared" si="82"/>
        <v>0</v>
      </c>
      <c r="AG132" s="49" t="s">
        <v>774</v>
      </c>
      <c r="AH132" s="49" t="s">
        <v>83</v>
      </c>
      <c r="AI132" s="50"/>
      <c r="AJ132" s="50"/>
      <c r="AK132" s="50"/>
      <c r="AL132" s="46"/>
      <c r="AM132" s="51">
        <f>IF($AL132=4,VLOOKUP($AR132,'Loyalty Incentive v1'!$L$3:$Q$15,2,FALSE),
IF($AL132=3,VLOOKUP($AR132,'Loyalty Incentive v1'!$L$3:$Q$15,3,FALSE),
IF($AL132=2,VLOOKUP($AR132,'Loyalty Incentive v1'!$L$3:$Q$15,4,FALSE),
IF($AL132=1,VLOOKUP($AR132,'Loyalty Incentive v1'!$L$3:$Q$15,5,FALSE),
IF($AL132=0,VLOOKUP($AR132,'Loyalty Incentive v1'!$L$3:$Q$15,6,FALSE),0)))))</f>
        <v>0</v>
      </c>
      <c r="AN132" s="51">
        <f>IFERROR(IF(I132&gt;="1",AM132,VLOOKUP(VALUE(I132),'Loyalty - Effec - 15July'!$I$5:$J$16,2,0)*AM132),0)</f>
        <v>0</v>
      </c>
      <c r="AO132" s="51">
        <v>0.12</v>
      </c>
      <c r="AP132" s="51">
        <f t="shared" si="83"/>
        <v>0.12</v>
      </c>
      <c r="AQ132" s="46" t="str">
        <f t="shared" si="95"/>
        <v>Yes</v>
      </c>
      <c r="AR132" s="57" t="s">
        <v>5</v>
      </c>
      <c r="AS132" s="46" t="b">
        <f t="shared" si="97"/>
        <v>0</v>
      </c>
      <c r="AT132" s="82">
        <f t="shared" si="98"/>
        <v>0</v>
      </c>
      <c r="AU132" s="82">
        <f t="shared" si="84"/>
        <v>0</v>
      </c>
      <c r="AV132" s="82">
        <f t="shared" si="85"/>
        <v>0</v>
      </c>
      <c r="AW132" s="82">
        <f t="shared" si="86"/>
        <v>0</v>
      </c>
      <c r="AX132" s="85"/>
      <c r="AY132" s="82">
        <f t="shared" si="87"/>
        <v>0</v>
      </c>
      <c r="AZ132" s="82">
        <f t="shared" si="88"/>
        <v>0</v>
      </c>
      <c r="BA132" s="82">
        <f t="shared" si="89"/>
        <v>0</v>
      </c>
      <c r="BB132" s="83">
        <v>0</v>
      </c>
      <c r="BC132" s="83">
        <v>0</v>
      </c>
      <c r="BD132" s="83">
        <v>0</v>
      </c>
      <c r="BE132" s="84">
        <f>ROUND((IF(($AT132&lt;=700000),0,IF(((VLOOKUP($AR132,'Loyalty - Effec - 15July'!$B$5:$C$17,2,0)*$AT132)&lt;=120000),(VLOOKUP($AR132,'Loyalty - Effec - 15July'!$B$5:$C$17,2,0)*$AT132),120000))),0)</f>
        <v>0</v>
      </c>
      <c r="BF132" s="84">
        <f>ROUND(VLOOKUP($AR132,'Loyalty - Effec - 15July'!$B$5:$D$17,3,0)*$AT132,0)</f>
        <v>0</v>
      </c>
      <c r="BG132" s="85">
        <f t="shared" si="90"/>
        <v>0</v>
      </c>
      <c r="BH132" s="81">
        <f t="shared" si="91"/>
        <v>0</v>
      </c>
      <c r="BI132" s="85">
        <f t="shared" si="92"/>
        <v>0</v>
      </c>
      <c r="BJ132" s="85">
        <f t="shared" si="93"/>
        <v>0</v>
      </c>
      <c r="BK132" s="85">
        <f t="shared" si="94"/>
        <v>0</v>
      </c>
      <c r="BL132" s="85">
        <f t="shared" si="99"/>
        <v>0</v>
      </c>
      <c r="BM132" s="85">
        <f t="shared" si="100"/>
        <v>0</v>
      </c>
      <c r="BN132" s="85">
        <f t="shared" si="101"/>
        <v>0</v>
      </c>
      <c r="BO132" s="52" t="s">
        <v>85</v>
      </c>
      <c r="BP132" s="46"/>
      <c r="BQ132" s="46"/>
      <c r="BR132" s="47">
        <f t="shared" si="102"/>
        <v>0</v>
      </c>
      <c r="BS132" s="46">
        <v>2</v>
      </c>
      <c r="BT132" s="54">
        <v>9.0999999999999998E-2</v>
      </c>
      <c r="BU132" s="47">
        <f t="shared" si="103"/>
        <v>0</v>
      </c>
      <c r="BV132" s="53" t="s">
        <v>348</v>
      </c>
      <c r="BW132" s="53" t="s">
        <v>81</v>
      </c>
      <c r="BX132" s="53" t="s">
        <v>349</v>
      </c>
      <c r="BY132" s="53"/>
      <c r="BZ132" s="53"/>
      <c r="CA132" s="55"/>
    </row>
    <row r="133" spans="1:79">
      <c r="A133" s="42" t="s">
        <v>350</v>
      </c>
      <c r="B133" s="28" t="s">
        <v>79</v>
      </c>
      <c r="C133" s="28" t="s">
        <v>80</v>
      </c>
      <c r="D133" s="28" t="s">
        <v>932</v>
      </c>
      <c r="E133" s="43" t="s">
        <v>82</v>
      </c>
      <c r="F133" s="28" t="s">
        <v>901</v>
      </c>
      <c r="G133" s="44" t="s">
        <v>351</v>
      </c>
      <c r="H133" s="45">
        <v>44571</v>
      </c>
      <c r="I133" s="46" t="s">
        <v>991</v>
      </c>
      <c r="J133" s="28">
        <v>9</v>
      </c>
      <c r="K133" s="28" t="s">
        <v>93</v>
      </c>
      <c r="L133" s="28" t="s">
        <v>873</v>
      </c>
      <c r="M133" s="28" t="s">
        <v>2</v>
      </c>
      <c r="N133" s="28" t="str">
        <f t="shared" si="71"/>
        <v>AE4</v>
      </c>
      <c r="O133" s="81"/>
      <c r="P133" s="81">
        <f t="shared" si="72"/>
        <v>0</v>
      </c>
      <c r="Q133" s="81">
        <f t="shared" si="73"/>
        <v>0</v>
      </c>
      <c r="R133" s="81">
        <f t="shared" si="74"/>
        <v>0</v>
      </c>
      <c r="S133" s="81"/>
      <c r="T133" s="82">
        <f t="shared" si="75"/>
        <v>0</v>
      </c>
      <c r="U133" s="82">
        <f t="shared" si="76"/>
        <v>0</v>
      </c>
      <c r="V133" s="82">
        <f t="shared" si="77"/>
        <v>0</v>
      </c>
      <c r="W133" s="83">
        <v>0</v>
      </c>
      <c r="X133" s="83">
        <v>0</v>
      </c>
      <c r="Y133" s="83">
        <v>0</v>
      </c>
      <c r="Z133" s="84">
        <f>ROUND((IF(($O133&lt;=700000),0,IF(((VLOOKUP($M133,'Loyalty - Effec - 15July'!$B$5:$C$17,2,0)*$O133)&lt;=120000),(VLOOKUP($M133,'Loyalty - Effec - 15July'!$B$5:$C$17,2,0)*$O133),120000))),0)</f>
        <v>0</v>
      </c>
      <c r="AA133" s="84">
        <f>ROUND(VLOOKUP($M133,'Loyalty - Effec - 15July'!$B$5:$D$17,3,0)*$O133,0)</f>
        <v>0</v>
      </c>
      <c r="AB133" s="85">
        <f t="shared" si="78"/>
        <v>0</v>
      </c>
      <c r="AC133" s="86">
        <f t="shared" si="79"/>
        <v>0</v>
      </c>
      <c r="AD133" s="87">
        <f t="shared" si="80"/>
        <v>0</v>
      </c>
      <c r="AE133" s="88">
        <f t="shared" si="81"/>
        <v>0</v>
      </c>
      <c r="AF133" s="88">
        <f t="shared" si="82"/>
        <v>0</v>
      </c>
      <c r="AG133" s="49" t="s">
        <v>206</v>
      </c>
      <c r="AH133" s="49" t="s">
        <v>126</v>
      </c>
      <c r="AI133" s="50"/>
      <c r="AJ133" s="46"/>
      <c r="AK133" s="46"/>
      <c r="AL133" s="46"/>
      <c r="AM133" s="51">
        <f>IF($AL133=4,VLOOKUP($AR133,'Loyalty Incentive v1'!$L$3:$Q$15,2,FALSE),
IF($AL133=3,VLOOKUP($AR133,'Loyalty Incentive v1'!$L$3:$Q$15,3,FALSE),
IF($AL133=2,VLOOKUP($AR133,'Loyalty Incentive v1'!$L$3:$Q$15,4,FALSE),
IF($AL133=1,VLOOKUP($AR133,'Loyalty Incentive v1'!$L$3:$Q$15,5,FALSE),
IF($AL133=0,VLOOKUP($AR133,'Loyalty Incentive v1'!$L$3:$Q$15,6,FALSE),0)))))</f>
        <v>0</v>
      </c>
      <c r="AN133" s="51">
        <f>IFERROR(IF(I133&gt;="1",AM133,VLOOKUP(VALUE(I133),'Loyalty - Effec - 15July'!$I$5:$J$16,2,0)*AM133),0)</f>
        <v>0</v>
      </c>
      <c r="AO133" s="51">
        <v>0</v>
      </c>
      <c r="AP133" s="51">
        <f t="shared" si="83"/>
        <v>0</v>
      </c>
      <c r="AQ133" s="46" t="str">
        <f t="shared" si="95"/>
        <v>No</v>
      </c>
      <c r="AR133" s="46" t="str">
        <f t="shared" si="96"/>
        <v>AE4</v>
      </c>
      <c r="AS133" s="46" t="b">
        <f t="shared" si="97"/>
        <v>1</v>
      </c>
      <c r="AT133" s="82">
        <f t="shared" si="98"/>
        <v>0</v>
      </c>
      <c r="AU133" s="82">
        <f t="shared" si="84"/>
        <v>0</v>
      </c>
      <c r="AV133" s="82">
        <f t="shared" si="85"/>
        <v>0</v>
      </c>
      <c r="AW133" s="82">
        <f t="shared" si="86"/>
        <v>0</v>
      </c>
      <c r="AX133" s="85"/>
      <c r="AY133" s="82">
        <f t="shared" si="87"/>
        <v>0</v>
      </c>
      <c r="AZ133" s="82">
        <f t="shared" si="88"/>
        <v>0</v>
      </c>
      <c r="BA133" s="82">
        <f t="shared" si="89"/>
        <v>0</v>
      </c>
      <c r="BB133" s="83">
        <v>0</v>
      </c>
      <c r="BC133" s="83">
        <v>0</v>
      </c>
      <c r="BD133" s="83">
        <v>0</v>
      </c>
      <c r="BE133" s="84">
        <f>ROUND((IF(($AT133&lt;=700000),0,IF(((VLOOKUP($AR133,'Loyalty - Effec - 15July'!$B$5:$C$17,2,0)*$AT133)&lt;=120000),(VLOOKUP($AR133,'Loyalty - Effec - 15July'!$B$5:$C$17,2,0)*$AT133),120000))),0)</f>
        <v>0</v>
      </c>
      <c r="BF133" s="84">
        <f>ROUND(VLOOKUP($AR133,'Loyalty - Effec - 15July'!$B$5:$D$17,3,0)*$AT133,0)</f>
        <v>0</v>
      </c>
      <c r="BG133" s="85">
        <f t="shared" si="90"/>
        <v>0</v>
      </c>
      <c r="BH133" s="81">
        <f t="shared" si="91"/>
        <v>0</v>
      </c>
      <c r="BI133" s="85">
        <f t="shared" si="92"/>
        <v>0</v>
      </c>
      <c r="BJ133" s="85">
        <f t="shared" si="93"/>
        <v>0</v>
      </c>
      <c r="BK133" s="85">
        <f t="shared" si="94"/>
        <v>0</v>
      </c>
      <c r="BL133" s="85">
        <f t="shared" si="99"/>
        <v>0</v>
      </c>
      <c r="BM133" s="85">
        <f t="shared" si="100"/>
        <v>0</v>
      </c>
      <c r="BN133" s="85">
        <f t="shared" si="101"/>
        <v>0</v>
      </c>
      <c r="BO133" s="52" t="s">
        <v>85</v>
      </c>
      <c r="BP133" s="46"/>
      <c r="BQ133" s="46"/>
      <c r="BR133" s="47">
        <f t="shared" si="102"/>
        <v>0</v>
      </c>
      <c r="BU133" s="47">
        <f t="shared" si="103"/>
        <v>0</v>
      </c>
      <c r="BV133" s="53" t="s">
        <v>350</v>
      </c>
      <c r="BW133" s="53" t="s">
        <v>932</v>
      </c>
      <c r="BX133" s="53" t="s">
        <v>351</v>
      </c>
      <c r="BY133" s="53"/>
      <c r="BZ133" s="53"/>
    </row>
    <row r="134" spans="1:79">
      <c r="A134" s="42" t="s">
        <v>352</v>
      </c>
      <c r="B134" s="28" t="s">
        <v>79</v>
      </c>
      <c r="C134" s="28" t="s">
        <v>80</v>
      </c>
      <c r="D134" s="28" t="s">
        <v>932</v>
      </c>
      <c r="E134" s="43" t="s">
        <v>82</v>
      </c>
      <c r="F134" s="28" t="s">
        <v>902</v>
      </c>
      <c r="G134" s="44" t="s">
        <v>353</v>
      </c>
      <c r="H134" s="45">
        <v>44572</v>
      </c>
      <c r="I134" s="46" t="s">
        <v>991</v>
      </c>
      <c r="J134" s="28">
        <v>0</v>
      </c>
      <c r="K134" s="28" t="s">
        <v>413</v>
      </c>
      <c r="L134" s="28" t="s">
        <v>880</v>
      </c>
      <c r="M134" s="28" t="s">
        <v>0</v>
      </c>
      <c r="N134" s="28" t="str">
        <f t="shared" si="71"/>
        <v>AE2</v>
      </c>
      <c r="O134" s="81"/>
      <c r="P134" s="81">
        <f t="shared" si="72"/>
        <v>0</v>
      </c>
      <c r="Q134" s="81">
        <f t="shared" si="73"/>
        <v>0</v>
      </c>
      <c r="R134" s="81">
        <f t="shared" si="74"/>
        <v>0</v>
      </c>
      <c r="S134" s="81"/>
      <c r="T134" s="82">
        <f t="shared" si="75"/>
        <v>0</v>
      </c>
      <c r="U134" s="82">
        <f t="shared" si="76"/>
        <v>0</v>
      </c>
      <c r="V134" s="82">
        <f t="shared" si="77"/>
        <v>0</v>
      </c>
      <c r="W134" s="83">
        <v>0</v>
      </c>
      <c r="X134" s="83">
        <v>0</v>
      </c>
      <c r="Y134" s="83"/>
      <c r="Z134" s="84">
        <f>ROUND((IF(($O134&lt;=700000),0,IF(((VLOOKUP($M134,'Loyalty - Effec - 15July'!$B$5:$C$17,2,0)*$O134)&lt;=120000),(VLOOKUP($M134,'Loyalty - Effec - 15July'!$B$5:$C$17,2,0)*$O134),120000))),0)</f>
        <v>0</v>
      </c>
      <c r="AA134" s="84">
        <f>ROUND(VLOOKUP($M134,'Loyalty - Effec - 15July'!$B$5:$D$17,3,0)*$O134,0)</f>
        <v>0</v>
      </c>
      <c r="AB134" s="85">
        <f t="shared" si="78"/>
        <v>0</v>
      </c>
      <c r="AC134" s="86">
        <f t="shared" si="79"/>
        <v>0</v>
      </c>
      <c r="AD134" s="87">
        <f t="shared" si="80"/>
        <v>0</v>
      </c>
      <c r="AE134" s="88">
        <f t="shared" si="81"/>
        <v>0</v>
      </c>
      <c r="AF134" s="88">
        <f t="shared" si="82"/>
        <v>0</v>
      </c>
      <c r="AG134" s="49" t="s">
        <v>921</v>
      </c>
      <c r="AH134" s="49" t="s">
        <v>120</v>
      </c>
      <c r="AI134" s="50"/>
      <c r="AJ134" s="46"/>
      <c r="AK134" s="46"/>
      <c r="AL134" s="46"/>
      <c r="AM134" s="51">
        <f>IF($AL134=4,VLOOKUP($AR134,'Loyalty Incentive v1'!$L$3:$Q$15,2,FALSE),
IF($AL134=3,VLOOKUP($AR134,'Loyalty Incentive v1'!$L$3:$Q$15,3,FALSE),
IF($AL134=2,VLOOKUP($AR134,'Loyalty Incentive v1'!$L$3:$Q$15,4,FALSE),
IF($AL134=1,VLOOKUP($AR134,'Loyalty Incentive v1'!$L$3:$Q$15,5,FALSE),
IF($AL134=0,VLOOKUP($AR134,'Loyalty Incentive v1'!$L$3:$Q$15,6,FALSE),0)))))</f>
        <v>0</v>
      </c>
      <c r="AN134" s="51">
        <f>IFERROR(IF(I134&gt;="1",AM134,VLOOKUP(VALUE(I134),'Loyalty - Effec - 15July'!$I$5:$J$16,2,0)*AM134),0)</f>
        <v>0</v>
      </c>
      <c r="AO134" s="51">
        <v>0</v>
      </c>
      <c r="AP134" s="51">
        <f t="shared" si="83"/>
        <v>0</v>
      </c>
      <c r="AQ134" s="46" t="str">
        <f t="shared" si="95"/>
        <v>No</v>
      </c>
      <c r="AR134" s="46" t="str">
        <f t="shared" si="96"/>
        <v>AE2</v>
      </c>
      <c r="AS134" s="46" t="b">
        <f t="shared" si="97"/>
        <v>1</v>
      </c>
      <c r="AT134" s="81">
        <f t="shared" si="98"/>
        <v>0</v>
      </c>
      <c r="AU134" s="82">
        <f t="shared" si="84"/>
        <v>0</v>
      </c>
      <c r="AV134" s="82">
        <f t="shared" si="85"/>
        <v>0</v>
      </c>
      <c r="AW134" s="82">
        <f t="shared" si="86"/>
        <v>0</v>
      </c>
      <c r="AX134" s="85"/>
      <c r="AY134" s="82">
        <f t="shared" si="87"/>
        <v>0</v>
      </c>
      <c r="AZ134" s="82">
        <f t="shared" si="88"/>
        <v>0</v>
      </c>
      <c r="BA134" s="82">
        <f t="shared" si="89"/>
        <v>0</v>
      </c>
      <c r="BB134" s="83">
        <v>0</v>
      </c>
      <c r="BC134" s="83">
        <v>0</v>
      </c>
      <c r="BD134" s="83">
        <v>0</v>
      </c>
      <c r="BE134" s="84">
        <f>ROUND((IF(($AT134&lt;=700000),0,IF(((VLOOKUP($AR134,'Loyalty - Effec - 15July'!$B$5:$C$17,2,0)*$AT134)&lt;=120000),(VLOOKUP($AR134,'Loyalty - Effec - 15July'!$B$5:$C$17,2,0)*$AT134),120000))),0)</f>
        <v>0</v>
      </c>
      <c r="BF134" s="84">
        <f>ROUND(VLOOKUP($AR134,'Loyalty - Effec - 15July'!$B$5:$D$17,3,0)*$AT134,0)</f>
        <v>0</v>
      </c>
      <c r="BG134" s="85">
        <f t="shared" si="90"/>
        <v>0</v>
      </c>
      <c r="BH134" s="81">
        <f t="shared" si="91"/>
        <v>0</v>
      </c>
      <c r="BI134" s="85">
        <f t="shared" si="92"/>
        <v>0</v>
      </c>
      <c r="BJ134" s="85">
        <f t="shared" si="93"/>
        <v>0</v>
      </c>
      <c r="BK134" s="85">
        <f t="shared" si="94"/>
        <v>0</v>
      </c>
      <c r="BL134" s="85">
        <f t="shared" si="99"/>
        <v>0</v>
      </c>
      <c r="BM134" s="85">
        <f t="shared" si="100"/>
        <v>0</v>
      </c>
      <c r="BN134" s="85">
        <f t="shared" si="101"/>
        <v>0</v>
      </c>
      <c r="BO134" s="52" t="s">
        <v>85</v>
      </c>
      <c r="BP134" s="46"/>
      <c r="BQ134" s="46"/>
      <c r="BR134" s="47">
        <f>BG134-AB134</f>
        <v>0</v>
      </c>
      <c r="BU134" s="47">
        <f t="shared" si="103"/>
        <v>0</v>
      </c>
      <c r="BV134" s="53" t="s">
        <v>352</v>
      </c>
      <c r="BW134" s="53" t="s">
        <v>932</v>
      </c>
      <c r="BX134" s="53" t="s">
        <v>353</v>
      </c>
      <c r="BY134" s="53"/>
      <c r="BZ134" s="53"/>
    </row>
    <row r="135" spans="1:79">
      <c r="A135" s="42" t="s">
        <v>354</v>
      </c>
      <c r="B135" s="28" t="s">
        <v>79</v>
      </c>
      <c r="C135" s="28" t="s">
        <v>80</v>
      </c>
      <c r="D135" s="28" t="s">
        <v>932</v>
      </c>
      <c r="E135" s="43" t="s">
        <v>82</v>
      </c>
      <c r="F135" s="28" t="s">
        <v>901</v>
      </c>
      <c r="G135" s="44" t="s">
        <v>355</v>
      </c>
      <c r="H135" s="45">
        <v>44580</v>
      </c>
      <c r="I135" s="46" t="s">
        <v>991</v>
      </c>
      <c r="J135" s="28">
        <v>0</v>
      </c>
      <c r="K135" s="28" t="s">
        <v>863</v>
      </c>
      <c r="L135" s="28" t="s">
        <v>886</v>
      </c>
      <c r="M135" s="28" t="s">
        <v>2</v>
      </c>
      <c r="N135" s="28" t="str">
        <f t="shared" si="71"/>
        <v>AE4</v>
      </c>
      <c r="O135" s="81"/>
      <c r="P135" s="81">
        <f t="shared" si="72"/>
        <v>0</v>
      </c>
      <c r="Q135" s="81">
        <f t="shared" si="73"/>
        <v>0</v>
      </c>
      <c r="R135" s="81">
        <f t="shared" si="74"/>
        <v>0</v>
      </c>
      <c r="S135" s="81"/>
      <c r="T135" s="82">
        <f t="shared" si="75"/>
        <v>0</v>
      </c>
      <c r="U135" s="82">
        <f t="shared" si="76"/>
        <v>0</v>
      </c>
      <c r="V135" s="82">
        <f t="shared" si="77"/>
        <v>0</v>
      </c>
      <c r="W135" s="83">
        <v>0</v>
      </c>
      <c r="X135" s="83">
        <v>0</v>
      </c>
      <c r="Y135" s="83">
        <v>0</v>
      </c>
      <c r="Z135" s="84">
        <f>ROUND((IF(($O135&lt;=700000),0,IF(((VLOOKUP($M135,'Loyalty - Effec - 15July'!$B$5:$C$17,2,0)*$O135)&lt;=120000),(VLOOKUP($M135,'Loyalty - Effec - 15July'!$B$5:$C$17,2,0)*$O135),120000))),0)</f>
        <v>0</v>
      </c>
      <c r="AA135" s="84">
        <f>ROUND(VLOOKUP($M135,'Loyalty - Effec - 15July'!$B$5:$D$17,3,0)*$O135,0)</f>
        <v>0</v>
      </c>
      <c r="AB135" s="85">
        <f t="shared" si="78"/>
        <v>0</v>
      </c>
      <c r="AC135" s="86">
        <f t="shared" si="79"/>
        <v>0</v>
      </c>
      <c r="AD135" s="87">
        <f t="shared" si="80"/>
        <v>0</v>
      </c>
      <c r="AE135" s="88">
        <f t="shared" si="81"/>
        <v>0</v>
      </c>
      <c r="AF135" s="88">
        <f t="shared" si="82"/>
        <v>0</v>
      </c>
      <c r="AG135" s="49" t="s">
        <v>906</v>
      </c>
      <c r="AH135" s="49" t="s">
        <v>83</v>
      </c>
      <c r="AI135" s="50"/>
      <c r="AJ135" s="46"/>
      <c r="AK135" s="46"/>
      <c r="AL135" s="46"/>
      <c r="AM135" s="51">
        <f>IF($AL135=4,VLOOKUP($AR135,'Loyalty Incentive v1'!$L$3:$Q$15,2,FALSE),
IF($AL135=3,VLOOKUP($AR135,'Loyalty Incentive v1'!$L$3:$Q$15,3,FALSE),
IF($AL135=2,VLOOKUP($AR135,'Loyalty Incentive v1'!$L$3:$Q$15,4,FALSE),
IF($AL135=1,VLOOKUP($AR135,'Loyalty Incentive v1'!$L$3:$Q$15,5,FALSE),
IF($AL135=0,VLOOKUP($AR135,'Loyalty Incentive v1'!$L$3:$Q$15,6,FALSE),0)))))</f>
        <v>0</v>
      </c>
      <c r="AN135" s="51">
        <f>IFERROR(IF(I135&gt;="1",AM135,VLOOKUP(VALUE(I135),'Loyalty - Effec - 15July'!$I$5:$J$16,2,0)*AM135),0)</f>
        <v>0</v>
      </c>
      <c r="AO135" s="51">
        <v>0</v>
      </c>
      <c r="AP135" s="51">
        <f t="shared" si="83"/>
        <v>0</v>
      </c>
      <c r="AQ135" s="46" t="str">
        <f t="shared" si="95"/>
        <v>No</v>
      </c>
      <c r="AR135" s="46" t="str">
        <f t="shared" si="96"/>
        <v>AE4</v>
      </c>
      <c r="AS135" s="46" t="b">
        <f t="shared" si="97"/>
        <v>1</v>
      </c>
      <c r="AT135" s="82">
        <f t="shared" si="98"/>
        <v>0</v>
      </c>
      <c r="AU135" s="82">
        <f t="shared" si="84"/>
        <v>0</v>
      </c>
      <c r="AV135" s="82">
        <f t="shared" si="85"/>
        <v>0</v>
      </c>
      <c r="AW135" s="82">
        <f t="shared" si="86"/>
        <v>0</v>
      </c>
      <c r="AX135" s="85"/>
      <c r="AY135" s="82">
        <f t="shared" si="87"/>
        <v>0</v>
      </c>
      <c r="AZ135" s="82">
        <f t="shared" si="88"/>
        <v>0</v>
      </c>
      <c r="BA135" s="82">
        <f t="shared" si="89"/>
        <v>0</v>
      </c>
      <c r="BB135" s="83">
        <v>0</v>
      </c>
      <c r="BC135" s="83">
        <v>0</v>
      </c>
      <c r="BD135" s="83">
        <v>0</v>
      </c>
      <c r="BE135" s="84">
        <f>ROUND((IF(($AT135&lt;=700000),0,IF(((VLOOKUP($AR135,'Loyalty - Effec - 15July'!$B$5:$C$17,2,0)*$AT135)&lt;=120000),(VLOOKUP($AR135,'Loyalty - Effec - 15July'!$B$5:$C$17,2,0)*$AT135),120000))),0)</f>
        <v>0</v>
      </c>
      <c r="BF135" s="84">
        <f>ROUND(VLOOKUP($AR135,'Loyalty - Effec - 15July'!$B$5:$D$17,3,0)*$AT135,0)</f>
        <v>0</v>
      </c>
      <c r="BG135" s="85">
        <f t="shared" si="90"/>
        <v>0</v>
      </c>
      <c r="BH135" s="81">
        <f t="shared" si="91"/>
        <v>0</v>
      </c>
      <c r="BI135" s="85">
        <f t="shared" si="92"/>
        <v>0</v>
      </c>
      <c r="BJ135" s="85">
        <f t="shared" si="93"/>
        <v>0</v>
      </c>
      <c r="BK135" s="85">
        <f t="shared" si="94"/>
        <v>0</v>
      </c>
      <c r="BL135" s="85">
        <f t="shared" si="99"/>
        <v>0</v>
      </c>
      <c r="BM135" s="85">
        <f t="shared" si="100"/>
        <v>0</v>
      </c>
      <c r="BN135" s="85">
        <f t="shared" si="101"/>
        <v>0</v>
      </c>
      <c r="BO135" s="52" t="s">
        <v>85</v>
      </c>
      <c r="BP135" s="46"/>
      <c r="BQ135" s="46"/>
      <c r="BR135" s="47">
        <f>BG135-AB135</f>
        <v>0</v>
      </c>
      <c r="BU135" s="47">
        <f t="shared" si="103"/>
        <v>0</v>
      </c>
      <c r="BV135" s="53" t="s">
        <v>354</v>
      </c>
      <c r="BW135" s="53" t="s">
        <v>932</v>
      </c>
      <c r="BX135" s="53" t="s">
        <v>355</v>
      </c>
      <c r="BY135" s="53"/>
      <c r="BZ135" s="53"/>
    </row>
    <row r="136" spans="1:79">
      <c r="A136" s="42" t="s">
        <v>356</v>
      </c>
      <c r="B136" s="28" t="s">
        <v>79</v>
      </c>
      <c r="C136" s="28" t="s">
        <v>80</v>
      </c>
      <c r="D136" s="28" t="s">
        <v>932</v>
      </c>
      <c r="E136" s="43" t="s">
        <v>82</v>
      </c>
      <c r="F136" s="28" t="s">
        <v>901</v>
      </c>
      <c r="G136" s="44" t="s">
        <v>357</v>
      </c>
      <c r="H136" s="45">
        <v>44593</v>
      </c>
      <c r="I136" s="46" t="s">
        <v>991</v>
      </c>
      <c r="J136" s="28">
        <v>0</v>
      </c>
      <c r="K136" s="28" t="s">
        <v>420</v>
      </c>
      <c r="L136" s="28" t="s">
        <v>876</v>
      </c>
      <c r="M136" s="28" t="s">
        <v>2</v>
      </c>
      <c r="N136" s="28" t="str">
        <f t="shared" si="71"/>
        <v>AE4</v>
      </c>
      <c r="O136" s="81"/>
      <c r="P136" s="81">
        <f t="shared" si="72"/>
        <v>0</v>
      </c>
      <c r="Q136" s="81">
        <f t="shared" si="73"/>
        <v>0</v>
      </c>
      <c r="R136" s="81">
        <f t="shared" si="74"/>
        <v>0</v>
      </c>
      <c r="S136" s="81"/>
      <c r="T136" s="82">
        <f t="shared" si="75"/>
        <v>0</v>
      </c>
      <c r="U136" s="82">
        <f t="shared" si="76"/>
        <v>0</v>
      </c>
      <c r="V136" s="82">
        <f t="shared" si="77"/>
        <v>0</v>
      </c>
      <c r="W136" s="83">
        <v>0</v>
      </c>
      <c r="X136" s="83">
        <v>0</v>
      </c>
      <c r="Y136" s="83">
        <v>0</v>
      </c>
      <c r="Z136" s="84">
        <f>ROUND((IF(($O136&lt;=700000),0,IF(((VLOOKUP($M136,'Loyalty - Effec - 15July'!$B$5:$C$17,2,0)*$O136)&lt;=120000),(VLOOKUP($M136,'Loyalty - Effec - 15July'!$B$5:$C$17,2,0)*$O136),120000))),0)</f>
        <v>0</v>
      </c>
      <c r="AA136" s="84">
        <f>ROUND(VLOOKUP($M136,'Loyalty - Effec - 15July'!$B$5:$D$17,3,0)*$O136,0)</f>
        <v>0</v>
      </c>
      <c r="AB136" s="85">
        <f t="shared" si="78"/>
        <v>0</v>
      </c>
      <c r="AC136" s="86">
        <f t="shared" si="79"/>
        <v>0</v>
      </c>
      <c r="AD136" s="87">
        <f t="shared" si="80"/>
        <v>0</v>
      </c>
      <c r="AE136" s="88">
        <f t="shared" si="81"/>
        <v>0</v>
      </c>
      <c r="AF136" s="88">
        <f t="shared" si="82"/>
        <v>0</v>
      </c>
      <c r="AG136" s="49" t="s">
        <v>744</v>
      </c>
      <c r="AH136" s="49" t="s">
        <v>129</v>
      </c>
      <c r="AI136" s="50"/>
      <c r="AJ136" s="46"/>
      <c r="AK136" s="46"/>
      <c r="AL136" s="46"/>
      <c r="AM136" s="51">
        <f>IF($AL136=4,VLOOKUP($AR136,'Loyalty Incentive v1'!$L$3:$Q$15,2,FALSE),
IF($AL136=3,VLOOKUP($AR136,'Loyalty Incentive v1'!$L$3:$Q$15,3,FALSE),
IF($AL136=2,VLOOKUP($AR136,'Loyalty Incentive v1'!$L$3:$Q$15,4,FALSE),
IF($AL136=1,VLOOKUP($AR136,'Loyalty Incentive v1'!$L$3:$Q$15,5,FALSE),
IF($AL136=0,VLOOKUP($AR136,'Loyalty Incentive v1'!$L$3:$Q$15,6,FALSE),0)))))</f>
        <v>0</v>
      </c>
      <c r="AN136" s="51">
        <f>IFERROR(IF(I136&gt;="1",AM136,VLOOKUP(VALUE(I136),'Loyalty - Effec - 15July'!$I$5:$J$16,2,0)*AM136),0)</f>
        <v>0</v>
      </c>
      <c r="AO136" s="51">
        <v>0</v>
      </c>
      <c r="AP136" s="51">
        <f t="shared" si="83"/>
        <v>0</v>
      </c>
      <c r="AQ136" s="46" t="str">
        <f t="shared" si="95"/>
        <v>No</v>
      </c>
      <c r="AR136" s="46" t="str">
        <f t="shared" si="96"/>
        <v>AE4</v>
      </c>
      <c r="AS136" s="46" t="b">
        <f t="shared" si="97"/>
        <v>1</v>
      </c>
      <c r="AT136" s="82">
        <f t="shared" si="98"/>
        <v>0</v>
      </c>
      <c r="AU136" s="82">
        <f t="shared" si="84"/>
        <v>0</v>
      </c>
      <c r="AV136" s="82">
        <f t="shared" si="85"/>
        <v>0</v>
      </c>
      <c r="AW136" s="82">
        <f t="shared" si="86"/>
        <v>0</v>
      </c>
      <c r="AX136" s="85"/>
      <c r="AY136" s="82">
        <f t="shared" si="87"/>
        <v>0</v>
      </c>
      <c r="AZ136" s="82">
        <f t="shared" si="88"/>
        <v>0</v>
      </c>
      <c r="BA136" s="82">
        <f t="shared" si="89"/>
        <v>0</v>
      </c>
      <c r="BB136" s="83">
        <v>0</v>
      </c>
      <c r="BC136" s="83">
        <v>0</v>
      </c>
      <c r="BD136" s="83">
        <v>0</v>
      </c>
      <c r="BE136" s="84">
        <f>ROUND((IF(($AT136&lt;=700000),0,IF(((VLOOKUP($AR136,'Loyalty - Effec - 15July'!$B$5:$C$17,2,0)*$AT136)&lt;=120000),(VLOOKUP($AR136,'Loyalty - Effec - 15July'!$B$5:$C$17,2,0)*$AT136),120000))),0)</f>
        <v>0</v>
      </c>
      <c r="BF136" s="84">
        <f>ROUND(VLOOKUP($AR136,'Loyalty - Effec - 15July'!$B$5:$D$17,3,0)*$AT136,0)</f>
        <v>0</v>
      </c>
      <c r="BG136" s="85">
        <f t="shared" si="90"/>
        <v>0</v>
      </c>
      <c r="BH136" s="81">
        <f t="shared" si="91"/>
        <v>0</v>
      </c>
      <c r="BI136" s="85">
        <f t="shared" si="92"/>
        <v>0</v>
      </c>
      <c r="BJ136" s="85">
        <f t="shared" si="93"/>
        <v>0</v>
      </c>
      <c r="BK136" s="85">
        <f t="shared" si="94"/>
        <v>0</v>
      </c>
      <c r="BL136" s="85">
        <f t="shared" si="99"/>
        <v>0</v>
      </c>
      <c r="BM136" s="85">
        <f t="shared" si="100"/>
        <v>0</v>
      </c>
      <c r="BN136" s="85">
        <f t="shared" si="101"/>
        <v>0</v>
      </c>
      <c r="BO136" s="52" t="s">
        <v>85</v>
      </c>
      <c r="BP136" s="46"/>
      <c r="BQ136" s="46"/>
      <c r="BR136" s="47">
        <f>BG136-AB136</f>
        <v>0</v>
      </c>
      <c r="BU136" s="47">
        <f t="shared" si="103"/>
        <v>0</v>
      </c>
      <c r="BV136" s="53" t="s">
        <v>356</v>
      </c>
      <c r="BW136" s="53" t="s">
        <v>932</v>
      </c>
      <c r="BX136" s="53" t="s">
        <v>357</v>
      </c>
      <c r="BY136" s="53"/>
      <c r="BZ136" s="53"/>
    </row>
    <row r="137" spans="1:79">
      <c r="A137" s="42" t="s">
        <v>358</v>
      </c>
      <c r="B137" s="28" t="s">
        <v>79</v>
      </c>
      <c r="C137" s="28" t="s">
        <v>80</v>
      </c>
      <c r="D137" s="28" t="s">
        <v>932</v>
      </c>
      <c r="E137" s="43" t="s">
        <v>82</v>
      </c>
      <c r="F137" s="28" t="s">
        <v>901</v>
      </c>
      <c r="G137" s="44" t="s">
        <v>359</v>
      </c>
      <c r="H137" s="45">
        <v>44593</v>
      </c>
      <c r="I137" s="46" t="s">
        <v>991</v>
      </c>
      <c r="J137" s="28">
        <v>0</v>
      </c>
      <c r="K137" s="28" t="s">
        <v>93</v>
      </c>
      <c r="L137" s="28" t="s">
        <v>873</v>
      </c>
      <c r="M137" s="28" t="s">
        <v>2</v>
      </c>
      <c r="N137" s="28" t="str">
        <f t="shared" si="71"/>
        <v>AE4</v>
      </c>
      <c r="O137" s="81"/>
      <c r="P137" s="81">
        <f t="shared" si="72"/>
        <v>0</v>
      </c>
      <c r="Q137" s="81">
        <f t="shared" si="73"/>
        <v>0</v>
      </c>
      <c r="R137" s="81">
        <f t="shared" si="74"/>
        <v>0</v>
      </c>
      <c r="S137" s="81"/>
      <c r="T137" s="82">
        <f t="shared" si="75"/>
        <v>0</v>
      </c>
      <c r="U137" s="82">
        <f t="shared" si="76"/>
        <v>0</v>
      </c>
      <c r="V137" s="82">
        <f t="shared" si="77"/>
        <v>0</v>
      </c>
      <c r="W137" s="83">
        <v>0</v>
      </c>
      <c r="X137" s="83">
        <v>0</v>
      </c>
      <c r="Y137" s="83">
        <v>0</v>
      </c>
      <c r="Z137" s="84">
        <f>ROUND((IF(($O137&lt;=700000),0,IF(((VLOOKUP($M137,'Loyalty - Effec - 15July'!$B$5:$C$17,2,0)*$O137)&lt;=120000),(VLOOKUP($M137,'Loyalty - Effec - 15July'!$B$5:$C$17,2,0)*$O137),120000))),0)</f>
        <v>0</v>
      </c>
      <c r="AA137" s="84">
        <f>ROUND(VLOOKUP($M137,'Loyalty - Effec - 15July'!$B$5:$D$17,3,0)*$O137,0)</f>
        <v>0</v>
      </c>
      <c r="AB137" s="85">
        <f t="shared" si="78"/>
        <v>0</v>
      </c>
      <c r="AC137" s="86">
        <f t="shared" si="79"/>
        <v>0</v>
      </c>
      <c r="AD137" s="87">
        <f t="shared" si="80"/>
        <v>0</v>
      </c>
      <c r="AE137" s="88">
        <f t="shared" si="81"/>
        <v>0</v>
      </c>
      <c r="AF137" s="88">
        <f t="shared" si="82"/>
        <v>0</v>
      </c>
      <c r="AG137" s="49" t="s">
        <v>303</v>
      </c>
      <c r="AH137" s="49" t="s">
        <v>126</v>
      </c>
      <c r="AI137" s="50"/>
      <c r="AJ137" s="46"/>
      <c r="AK137" s="46"/>
      <c r="AL137" s="46"/>
      <c r="AM137" s="51">
        <f>IF($AL137=4,VLOOKUP($AR137,'Loyalty Incentive v1'!$L$3:$Q$15,2,FALSE),
IF($AL137=3,VLOOKUP($AR137,'Loyalty Incentive v1'!$L$3:$Q$15,3,FALSE),
IF($AL137=2,VLOOKUP($AR137,'Loyalty Incentive v1'!$L$3:$Q$15,4,FALSE),
IF($AL137=1,VLOOKUP($AR137,'Loyalty Incentive v1'!$L$3:$Q$15,5,FALSE),
IF($AL137=0,VLOOKUP($AR137,'Loyalty Incentive v1'!$L$3:$Q$15,6,FALSE),0)))))</f>
        <v>0</v>
      </c>
      <c r="AN137" s="51">
        <f>IFERROR(IF(I137&gt;="1",AM137,VLOOKUP(VALUE(I137),'Loyalty - Effec - 15July'!$I$5:$J$16,2,0)*AM137),0)</f>
        <v>0</v>
      </c>
      <c r="AO137" s="51">
        <v>0</v>
      </c>
      <c r="AP137" s="51">
        <f t="shared" si="83"/>
        <v>0</v>
      </c>
      <c r="AQ137" s="46" t="str">
        <f t="shared" si="95"/>
        <v>No</v>
      </c>
      <c r="AR137" s="46" t="str">
        <f t="shared" si="96"/>
        <v>AE4</v>
      </c>
      <c r="AS137" s="46" t="b">
        <f t="shared" si="97"/>
        <v>1</v>
      </c>
      <c r="AT137" s="82">
        <f t="shared" si="98"/>
        <v>0</v>
      </c>
      <c r="AU137" s="82">
        <f t="shared" si="84"/>
        <v>0</v>
      </c>
      <c r="AV137" s="82">
        <f t="shared" si="85"/>
        <v>0</v>
      </c>
      <c r="AW137" s="82">
        <f t="shared" si="86"/>
        <v>0</v>
      </c>
      <c r="AX137" s="85"/>
      <c r="AY137" s="82">
        <f t="shared" si="87"/>
        <v>0</v>
      </c>
      <c r="AZ137" s="82">
        <f t="shared" si="88"/>
        <v>0</v>
      </c>
      <c r="BA137" s="82">
        <f t="shared" si="89"/>
        <v>0</v>
      </c>
      <c r="BB137" s="83">
        <v>0</v>
      </c>
      <c r="BC137" s="83">
        <v>0</v>
      </c>
      <c r="BD137" s="83">
        <v>0</v>
      </c>
      <c r="BE137" s="84">
        <f>ROUND((IF(($AT137&lt;=700000),0,IF(((VLOOKUP($AR137,'Loyalty - Effec - 15July'!$B$5:$C$17,2,0)*$AT137)&lt;=120000),(VLOOKUP($AR137,'Loyalty - Effec - 15July'!$B$5:$C$17,2,0)*$AT137),120000))),0)</f>
        <v>0</v>
      </c>
      <c r="BF137" s="84">
        <f>ROUND(VLOOKUP($AR137,'Loyalty - Effec - 15July'!$B$5:$D$17,3,0)*$AT137,0)</f>
        <v>0</v>
      </c>
      <c r="BG137" s="85">
        <f t="shared" si="90"/>
        <v>0</v>
      </c>
      <c r="BH137" s="81">
        <f t="shared" si="91"/>
        <v>0</v>
      </c>
      <c r="BI137" s="85">
        <f t="shared" si="92"/>
        <v>0</v>
      </c>
      <c r="BJ137" s="85">
        <f t="shared" si="93"/>
        <v>0</v>
      </c>
      <c r="BK137" s="85">
        <f t="shared" si="94"/>
        <v>0</v>
      </c>
      <c r="BL137" s="85">
        <f t="shared" si="99"/>
        <v>0</v>
      </c>
      <c r="BM137" s="85">
        <f t="shared" si="100"/>
        <v>0</v>
      </c>
      <c r="BN137" s="85">
        <f t="shared" si="101"/>
        <v>0</v>
      </c>
      <c r="BO137" s="52" t="s">
        <v>85</v>
      </c>
      <c r="BP137" s="46"/>
      <c r="BQ137" s="46"/>
      <c r="BR137" s="47">
        <f>BG137-AB137</f>
        <v>0</v>
      </c>
      <c r="BU137" s="47">
        <f t="shared" si="103"/>
        <v>0</v>
      </c>
      <c r="BV137" s="53" t="s">
        <v>358</v>
      </c>
      <c r="BW137" s="53" t="s">
        <v>932</v>
      </c>
      <c r="BX137" s="53" t="s">
        <v>359</v>
      </c>
      <c r="BY137" s="53"/>
      <c r="BZ137" s="53"/>
    </row>
    <row r="138" spans="1:79">
      <c r="A138" s="42" t="s">
        <v>360</v>
      </c>
      <c r="B138" s="28" t="s">
        <v>79</v>
      </c>
      <c r="C138" s="28" t="s">
        <v>80</v>
      </c>
      <c r="D138" s="28" t="s">
        <v>932</v>
      </c>
      <c r="E138" s="43" t="s">
        <v>82</v>
      </c>
      <c r="F138" s="28" t="s">
        <v>901</v>
      </c>
      <c r="G138" s="44" t="s">
        <v>361</v>
      </c>
      <c r="H138" s="45">
        <v>44599</v>
      </c>
      <c r="I138" s="46" t="s">
        <v>992</v>
      </c>
      <c r="J138" s="28">
        <v>9.1999999999999993</v>
      </c>
      <c r="K138" s="28" t="s">
        <v>413</v>
      </c>
      <c r="L138" s="28" t="s">
        <v>880</v>
      </c>
      <c r="M138" s="28" t="s">
        <v>2</v>
      </c>
      <c r="N138" s="28" t="str">
        <f t="shared" si="71"/>
        <v>AE4</v>
      </c>
      <c r="O138" s="81"/>
      <c r="P138" s="81">
        <f t="shared" si="72"/>
        <v>0</v>
      </c>
      <c r="Q138" s="81">
        <f t="shared" si="73"/>
        <v>0</v>
      </c>
      <c r="R138" s="81">
        <f t="shared" si="74"/>
        <v>0</v>
      </c>
      <c r="S138" s="81"/>
      <c r="T138" s="82">
        <f t="shared" si="75"/>
        <v>0</v>
      </c>
      <c r="U138" s="82">
        <f t="shared" si="76"/>
        <v>0</v>
      </c>
      <c r="V138" s="82">
        <f t="shared" si="77"/>
        <v>0</v>
      </c>
      <c r="W138" s="83">
        <v>0</v>
      </c>
      <c r="X138" s="83">
        <v>0</v>
      </c>
      <c r="Y138" s="83">
        <v>0</v>
      </c>
      <c r="Z138" s="84">
        <f>ROUND((IF(($O138&lt;=700000),0,IF(((VLOOKUP($M138,'Loyalty - Effec - 15July'!$B$5:$C$17,2,0)*$O138)&lt;=120000),(VLOOKUP($M138,'Loyalty - Effec - 15July'!$B$5:$C$17,2,0)*$O138),120000))),0)</f>
        <v>0</v>
      </c>
      <c r="AA138" s="84">
        <f>ROUND(VLOOKUP($M138,'Loyalty - Effec - 15July'!$B$5:$D$17,3,0)*$O138,0)</f>
        <v>0</v>
      </c>
      <c r="AB138" s="85">
        <f t="shared" si="78"/>
        <v>0</v>
      </c>
      <c r="AC138" s="86">
        <f t="shared" si="79"/>
        <v>0</v>
      </c>
      <c r="AD138" s="87">
        <f t="shared" si="80"/>
        <v>0</v>
      </c>
      <c r="AE138" s="88">
        <f t="shared" si="81"/>
        <v>0</v>
      </c>
      <c r="AF138" s="88">
        <f t="shared" si="82"/>
        <v>0</v>
      </c>
      <c r="AG138" s="49" t="s">
        <v>100</v>
      </c>
      <c r="AH138" s="49" t="s">
        <v>126</v>
      </c>
      <c r="AI138" s="50"/>
      <c r="AJ138" s="46"/>
      <c r="AK138" s="46"/>
      <c r="AL138" s="46"/>
      <c r="AM138" s="51">
        <f>IF($AL138=4,VLOOKUP($AR138,'Loyalty Incentive v1'!$L$3:$Q$15,2,FALSE),
IF($AL138=3,VLOOKUP($AR138,'Loyalty Incentive v1'!$L$3:$Q$15,3,FALSE),
IF($AL138=2,VLOOKUP($AR138,'Loyalty Incentive v1'!$L$3:$Q$15,4,FALSE),
IF($AL138=1,VLOOKUP($AR138,'Loyalty Incentive v1'!$L$3:$Q$15,5,FALSE),
IF($AL138=0,VLOOKUP($AR138,'Loyalty Incentive v1'!$L$3:$Q$15,6,FALSE),0)))))</f>
        <v>0</v>
      </c>
      <c r="AN138" s="51">
        <f>IFERROR(IF(I138&gt;="1",AM138,VLOOKUP(VALUE(I138),'Loyalty - Effec - 15July'!$I$5:$J$16,2,0)*AM138),0)</f>
        <v>0</v>
      </c>
      <c r="AO138" s="51">
        <v>0</v>
      </c>
      <c r="AP138" s="51">
        <f t="shared" si="83"/>
        <v>0</v>
      </c>
      <c r="AQ138" s="46" t="str">
        <f t="shared" si="95"/>
        <v>No</v>
      </c>
      <c r="AR138" s="46" t="str">
        <f t="shared" si="96"/>
        <v>AE4</v>
      </c>
      <c r="AS138" s="46" t="b">
        <f t="shared" si="97"/>
        <v>1</v>
      </c>
      <c r="AT138" s="82">
        <f t="shared" si="98"/>
        <v>0</v>
      </c>
      <c r="AU138" s="82">
        <f t="shared" si="84"/>
        <v>0</v>
      </c>
      <c r="AV138" s="82">
        <f t="shared" si="85"/>
        <v>0</v>
      </c>
      <c r="AW138" s="82">
        <f t="shared" si="86"/>
        <v>0</v>
      </c>
      <c r="AX138" s="85"/>
      <c r="AY138" s="82">
        <f t="shared" si="87"/>
        <v>0</v>
      </c>
      <c r="AZ138" s="82">
        <f t="shared" si="88"/>
        <v>0</v>
      </c>
      <c r="BA138" s="82">
        <f t="shared" si="89"/>
        <v>0</v>
      </c>
      <c r="BB138" s="83">
        <v>0</v>
      </c>
      <c r="BC138" s="83">
        <v>0</v>
      </c>
      <c r="BD138" s="83">
        <v>0</v>
      </c>
      <c r="BE138" s="84">
        <f>ROUND((IF(($AT138&lt;=700000),0,IF(((VLOOKUP($AR138,'Loyalty - Effec - 15July'!$B$5:$C$17,2,0)*$AT138)&lt;=120000),(VLOOKUP($AR138,'Loyalty - Effec - 15July'!$B$5:$C$17,2,0)*$AT138),120000))),0)</f>
        <v>0</v>
      </c>
      <c r="BF138" s="84">
        <f>ROUND(VLOOKUP($AR138,'Loyalty - Effec - 15July'!$B$5:$D$17,3,0)*$AT138,0)</f>
        <v>0</v>
      </c>
      <c r="BG138" s="85">
        <f t="shared" si="90"/>
        <v>0</v>
      </c>
      <c r="BH138" s="81">
        <f t="shared" si="91"/>
        <v>0</v>
      </c>
      <c r="BI138" s="85">
        <f t="shared" si="92"/>
        <v>0</v>
      </c>
      <c r="BJ138" s="85">
        <f t="shared" si="93"/>
        <v>0</v>
      </c>
      <c r="BK138" s="85">
        <f t="shared" si="94"/>
        <v>0</v>
      </c>
      <c r="BL138" s="85">
        <f t="shared" si="99"/>
        <v>0</v>
      </c>
      <c r="BM138" s="85">
        <f t="shared" si="100"/>
        <v>0</v>
      </c>
      <c r="BN138" s="85">
        <f t="shared" si="101"/>
        <v>0</v>
      </c>
      <c r="BO138" s="52" t="s">
        <v>85</v>
      </c>
      <c r="BP138" s="46"/>
      <c r="BQ138" s="46"/>
      <c r="BR138" s="47">
        <f t="shared" ref="BR138:BR146" si="104">BG138-AT138</f>
        <v>0</v>
      </c>
      <c r="BU138" s="47">
        <f t="shared" si="103"/>
        <v>0</v>
      </c>
      <c r="BV138" s="53" t="s">
        <v>360</v>
      </c>
      <c r="BW138" s="53" t="s">
        <v>932</v>
      </c>
      <c r="BX138" s="53" t="s">
        <v>361</v>
      </c>
      <c r="BY138" s="53"/>
      <c r="BZ138" s="53"/>
    </row>
    <row r="139" spans="1:79">
      <c r="A139" s="42" t="s">
        <v>362</v>
      </c>
      <c r="B139" s="28" t="s">
        <v>79</v>
      </c>
      <c r="C139" s="28" t="s">
        <v>80</v>
      </c>
      <c r="D139" s="28" t="s">
        <v>932</v>
      </c>
      <c r="E139" s="43" t="s">
        <v>82</v>
      </c>
      <c r="F139" s="28" t="s">
        <v>902</v>
      </c>
      <c r="G139" s="44" t="s">
        <v>363</v>
      </c>
      <c r="H139" s="45">
        <v>44599</v>
      </c>
      <c r="I139" s="46" t="s">
        <v>992</v>
      </c>
      <c r="J139" s="28">
        <v>3</v>
      </c>
      <c r="K139" s="28" t="s">
        <v>93</v>
      </c>
      <c r="L139" s="28" t="s">
        <v>873</v>
      </c>
      <c r="M139" s="28" t="s">
        <v>3</v>
      </c>
      <c r="N139" s="28" t="str">
        <f t="shared" si="71"/>
        <v>AE5</v>
      </c>
      <c r="O139" s="81"/>
      <c r="P139" s="81">
        <f t="shared" si="72"/>
        <v>0</v>
      </c>
      <c r="Q139" s="81">
        <f t="shared" si="73"/>
        <v>0</v>
      </c>
      <c r="R139" s="81">
        <f t="shared" si="74"/>
        <v>0</v>
      </c>
      <c r="S139" s="81"/>
      <c r="T139" s="82">
        <f t="shared" si="75"/>
        <v>0</v>
      </c>
      <c r="U139" s="82">
        <f t="shared" si="76"/>
        <v>0</v>
      </c>
      <c r="V139" s="82">
        <f t="shared" si="77"/>
        <v>0</v>
      </c>
      <c r="W139" s="83">
        <v>0</v>
      </c>
      <c r="X139" s="83">
        <v>0</v>
      </c>
      <c r="Y139" s="83">
        <v>0</v>
      </c>
      <c r="Z139" s="84">
        <f>ROUND((IF(($O139&lt;=700000),0,IF(((VLOOKUP($M139,'Loyalty - Effec - 15July'!$B$5:$C$17,2,0)*$O139)&lt;=120000),(VLOOKUP($M139,'Loyalty - Effec - 15July'!$B$5:$C$17,2,0)*$O139),120000))),0)</f>
        <v>0</v>
      </c>
      <c r="AA139" s="84">
        <f>ROUND(VLOOKUP($M139,'Loyalty - Effec - 15July'!$B$5:$D$17,3,0)*$O139,0)</f>
        <v>0</v>
      </c>
      <c r="AB139" s="85">
        <f t="shared" si="78"/>
        <v>0</v>
      </c>
      <c r="AC139" s="86">
        <f t="shared" si="79"/>
        <v>0</v>
      </c>
      <c r="AD139" s="87">
        <f t="shared" si="80"/>
        <v>0</v>
      </c>
      <c r="AE139" s="88">
        <f t="shared" si="81"/>
        <v>0</v>
      </c>
      <c r="AF139" s="88">
        <f t="shared" si="82"/>
        <v>0</v>
      </c>
      <c r="AG139" s="49" t="s">
        <v>703</v>
      </c>
      <c r="AH139" s="49" t="s">
        <v>200</v>
      </c>
      <c r="AI139" s="50"/>
      <c r="AJ139" s="46"/>
      <c r="AK139" s="46"/>
      <c r="AL139" s="46"/>
      <c r="AM139" s="51">
        <f>IF($AL139=4,VLOOKUP($AR139,'Loyalty Incentive v1'!$L$3:$Q$15,2,FALSE),
IF($AL139=3,VLOOKUP($AR139,'Loyalty Incentive v1'!$L$3:$Q$15,3,FALSE),
IF($AL139=2,VLOOKUP($AR139,'Loyalty Incentive v1'!$L$3:$Q$15,4,FALSE),
IF($AL139=1,VLOOKUP($AR139,'Loyalty Incentive v1'!$L$3:$Q$15,5,FALSE),
IF($AL139=0,VLOOKUP($AR139,'Loyalty Incentive v1'!$L$3:$Q$15,6,FALSE),0)))))</f>
        <v>0</v>
      </c>
      <c r="AN139" s="51">
        <f>IFERROR(IF(I139&gt;="1",AM139,VLOOKUP(VALUE(I139),'Loyalty - Effec - 15July'!$I$5:$J$16,2,0)*AM139),0)</f>
        <v>0</v>
      </c>
      <c r="AO139" s="51">
        <v>0</v>
      </c>
      <c r="AP139" s="51">
        <f t="shared" si="83"/>
        <v>0</v>
      </c>
      <c r="AQ139" s="46" t="str">
        <f t="shared" si="95"/>
        <v>No</v>
      </c>
      <c r="AR139" s="46" t="str">
        <f t="shared" si="96"/>
        <v>AE5</v>
      </c>
      <c r="AS139" s="46" t="b">
        <f t="shared" si="97"/>
        <v>1</v>
      </c>
      <c r="AT139" s="82">
        <f t="shared" si="98"/>
        <v>0</v>
      </c>
      <c r="AU139" s="82">
        <f t="shared" si="84"/>
        <v>0</v>
      </c>
      <c r="AV139" s="82">
        <f t="shared" si="85"/>
        <v>0</v>
      </c>
      <c r="AW139" s="82">
        <f t="shared" si="86"/>
        <v>0</v>
      </c>
      <c r="AX139" s="85"/>
      <c r="AY139" s="82">
        <f t="shared" si="87"/>
        <v>0</v>
      </c>
      <c r="AZ139" s="82">
        <f t="shared" si="88"/>
        <v>0</v>
      </c>
      <c r="BA139" s="82">
        <f t="shared" si="89"/>
        <v>0</v>
      </c>
      <c r="BB139" s="83">
        <v>0</v>
      </c>
      <c r="BC139" s="83">
        <v>0</v>
      </c>
      <c r="BD139" s="83">
        <v>0</v>
      </c>
      <c r="BE139" s="84">
        <f>ROUND((IF(($AT139&lt;=700000),0,IF(((VLOOKUP($AR139,'Loyalty - Effec - 15July'!$B$5:$C$17,2,0)*$AT139)&lt;=120000),(VLOOKUP($AR139,'Loyalty - Effec - 15July'!$B$5:$C$17,2,0)*$AT139),120000))),0)</f>
        <v>0</v>
      </c>
      <c r="BF139" s="84">
        <f>ROUND(VLOOKUP($AR139,'Loyalty - Effec - 15July'!$B$5:$D$17,3,0)*$AT139,0)</f>
        <v>0</v>
      </c>
      <c r="BG139" s="85">
        <f t="shared" si="90"/>
        <v>0</v>
      </c>
      <c r="BH139" s="81">
        <f t="shared" si="91"/>
        <v>0</v>
      </c>
      <c r="BI139" s="85">
        <f t="shared" si="92"/>
        <v>0</v>
      </c>
      <c r="BJ139" s="85">
        <f t="shared" si="93"/>
        <v>0</v>
      </c>
      <c r="BK139" s="85">
        <f t="shared" si="94"/>
        <v>0</v>
      </c>
      <c r="BL139" s="85">
        <f t="shared" si="99"/>
        <v>0</v>
      </c>
      <c r="BM139" s="85">
        <f t="shared" si="100"/>
        <v>0</v>
      </c>
      <c r="BN139" s="85">
        <f t="shared" si="101"/>
        <v>0</v>
      </c>
      <c r="BO139" s="52" t="s">
        <v>85</v>
      </c>
      <c r="BP139" s="46"/>
      <c r="BQ139" s="46"/>
      <c r="BR139" s="47">
        <f t="shared" si="104"/>
        <v>0</v>
      </c>
      <c r="BU139" s="47">
        <f t="shared" si="103"/>
        <v>0</v>
      </c>
      <c r="BV139" s="53" t="s">
        <v>362</v>
      </c>
      <c r="BW139" s="53" t="s">
        <v>932</v>
      </c>
      <c r="BX139" s="53" t="s">
        <v>363</v>
      </c>
      <c r="BY139" s="53"/>
      <c r="BZ139" s="53"/>
    </row>
    <row r="140" spans="1:79">
      <c r="A140" s="42" t="s">
        <v>364</v>
      </c>
      <c r="B140" s="28" t="s">
        <v>79</v>
      </c>
      <c r="C140" s="28" t="s">
        <v>80</v>
      </c>
      <c r="D140" s="28" t="s">
        <v>932</v>
      </c>
      <c r="E140" s="43" t="s">
        <v>82</v>
      </c>
      <c r="F140" s="28" t="s">
        <v>901</v>
      </c>
      <c r="G140" s="44" t="s">
        <v>365</v>
      </c>
      <c r="H140" s="45">
        <v>44601</v>
      </c>
      <c r="I140" s="46" t="s">
        <v>992</v>
      </c>
      <c r="J140" s="28">
        <v>2.6</v>
      </c>
      <c r="K140" s="28" t="s">
        <v>407</v>
      </c>
      <c r="L140" s="28" t="s">
        <v>868</v>
      </c>
      <c r="M140" s="28" t="s">
        <v>0</v>
      </c>
      <c r="N140" s="28" t="str">
        <f t="shared" si="71"/>
        <v>AE2</v>
      </c>
      <c r="O140" s="81"/>
      <c r="P140" s="81">
        <f t="shared" si="72"/>
        <v>0</v>
      </c>
      <c r="Q140" s="81">
        <f t="shared" si="73"/>
        <v>0</v>
      </c>
      <c r="R140" s="81">
        <f t="shared" si="74"/>
        <v>0</v>
      </c>
      <c r="S140" s="81"/>
      <c r="T140" s="82">
        <f t="shared" si="75"/>
        <v>0</v>
      </c>
      <c r="U140" s="82">
        <f t="shared" si="76"/>
        <v>0</v>
      </c>
      <c r="V140" s="82">
        <f t="shared" si="77"/>
        <v>0</v>
      </c>
      <c r="W140" s="83">
        <v>0</v>
      </c>
      <c r="X140" s="83">
        <v>0</v>
      </c>
      <c r="Y140" s="83">
        <v>0</v>
      </c>
      <c r="Z140" s="84">
        <f>ROUND((IF(($O140&lt;=700000),0,IF(((VLOOKUP($M140,'Loyalty - Effec - 15July'!$B$5:$C$17,2,0)*$O140)&lt;=120000),(VLOOKUP($M140,'Loyalty - Effec - 15July'!$B$5:$C$17,2,0)*$O140),120000))),0)</f>
        <v>0</v>
      </c>
      <c r="AA140" s="84">
        <f>ROUND(VLOOKUP($M140,'Loyalty - Effec - 15July'!$B$5:$D$17,3,0)*$O140,0)</f>
        <v>0</v>
      </c>
      <c r="AB140" s="85">
        <f t="shared" si="78"/>
        <v>0</v>
      </c>
      <c r="AC140" s="86">
        <f t="shared" si="79"/>
        <v>0</v>
      </c>
      <c r="AD140" s="87">
        <f t="shared" si="80"/>
        <v>0</v>
      </c>
      <c r="AE140" s="88">
        <f t="shared" si="81"/>
        <v>0</v>
      </c>
      <c r="AF140" s="88">
        <f t="shared" si="82"/>
        <v>0</v>
      </c>
      <c r="AG140" s="49" t="s">
        <v>163</v>
      </c>
      <c r="AH140" s="49" t="s">
        <v>912</v>
      </c>
      <c r="AI140" s="50"/>
      <c r="AJ140" s="46"/>
      <c r="AK140" s="46"/>
      <c r="AL140" s="46"/>
      <c r="AM140" s="51">
        <f>IF($AL140=4,VLOOKUP($AR140,'Loyalty Incentive v1'!$L$3:$Q$15,2,FALSE),
IF($AL140=3,VLOOKUP($AR140,'Loyalty Incentive v1'!$L$3:$Q$15,3,FALSE),
IF($AL140=2,VLOOKUP($AR140,'Loyalty Incentive v1'!$L$3:$Q$15,4,FALSE),
IF($AL140=1,VLOOKUP($AR140,'Loyalty Incentive v1'!$L$3:$Q$15,5,FALSE),
IF($AL140=0,VLOOKUP($AR140,'Loyalty Incentive v1'!$L$3:$Q$15,6,FALSE),0)))))</f>
        <v>0</v>
      </c>
      <c r="AN140" s="51">
        <f>IFERROR(IF(I140&gt;="1",AM140,VLOOKUP(VALUE(I140),'Loyalty - Effec - 15July'!$I$5:$J$16,2,0)*AM140),0)</f>
        <v>0</v>
      </c>
      <c r="AO140" s="51">
        <v>0</v>
      </c>
      <c r="AP140" s="51">
        <f t="shared" si="83"/>
        <v>0</v>
      </c>
      <c r="AQ140" s="46" t="str">
        <f t="shared" si="95"/>
        <v>No</v>
      </c>
      <c r="AR140" s="46" t="str">
        <f t="shared" si="96"/>
        <v>AE2</v>
      </c>
      <c r="AS140" s="46" t="b">
        <f t="shared" si="97"/>
        <v>1</v>
      </c>
      <c r="AT140" s="82">
        <f t="shared" si="98"/>
        <v>0</v>
      </c>
      <c r="AU140" s="82">
        <f t="shared" si="84"/>
        <v>0</v>
      </c>
      <c r="AV140" s="82">
        <f t="shared" si="85"/>
        <v>0</v>
      </c>
      <c r="AW140" s="82">
        <f t="shared" si="86"/>
        <v>0</v>
      </c>
      <c r="AX140" s="85"/>
      <c r="AY140" s="82">
        <f t="shared" si="87"/>
        <v>0</v>
      </c>
      <c r="AZ140" s="82">
        <f t="shared" si="88"/>
        <v>0</v>
      </c>
      <c r="BA140" s="82">
        <f t="shared" si="89"/>
        <v>0</v>
      </c>
      <c r="BB140" s="83">
        <v>0</v>
      </c>
      <c r="BC140" s="83">
        <v>0</v>
      </c>
      <c r="BD140" s="83">
        <v>0</v>
      </c>
      <c r="BE140" s="84">
        <f>ROUND((IF(($AT140&lt;=700000),0,IF(((VLOOKUP($AR140,'Loyalty - Effec - 15July'!$B$5:$C$17,2,0)*$AT140)&lt;=120000),(VLOOKUP($AR140,'Loyalty - Effec - 15July'!$B$5:$C$17,2,0)*$AT140),120000))),0)</f>
        <v>0</v>
      </c>
      <c r="BF140" s="84">
        <f>ROUND(VLOOKUP($AR140,'Loyalty - Effec - 15July'!$B$5:$D$17,3,0)*$AT140,0)</f>
        <v>0</v>
      </c>
      <c r="BG140" s="85">
        <f t="shared" si="90"/>
        <v>0</v>
      </c>
      <c r="BH140" s="81">
        <f t="shared" si="91"/>
        <v>0</v>
      </c>
      <c r="BI140" s="85">
        <f t="shared" si="92"/>
        <v>0</v>
      </c>
      <c r="BJ140" s="85">
        <f t="shared" si="93"/>
        <v>0</v>
      </c>
      <c r="BK140" s="85">
        <f t="shared" si="94"/>
        <v>0</v>
      </c>
      <c r="BL140" s="85">
        <f t="shared" si="99"/>
        <v>0</v>
      </c>
      <c r="BM140" s="85">
        <f t="shared" si="100"/>
        <v>0</v>
      </c>
      <c r="BN140" s="85">
        <f t="shared" si="101"/>
        <v>0</v>
      </c>
      <c r="BO140" s="52" t="s">
        <v>85</v>
      </c>
      <c r="BP140" s="46"/>
      <c r="BQ140" s="46"/>
      <c r="BR140" s="47">
        <f t="shared" si="104"/>
        <v>0</v>
      </c>
      <c r="BU140" s="47">
        <f t="shared" si="103"/>
        <v>0</v>
      </c>
      <c r="BV140" s="53" t="s">
        <v>364</v>
      </c>
      <c r="BW140" s="53" t="s">
        <v>932</v>
      </c>
      <c r="BX140" s="53" t="s">
        <v>365</v>
      </c>
      <c r="BY140" s="53"/>
      <c r="BZ140" s="53"/>
    </row>
    <row r="141" spans="1:79">
      <c r="A141" s="42" t="s">
        <v>366</v>
      </c>
      <c r="B141" s="28" t="s">
        <v>79</v>
      </c>
      <c r="C141" s="28" t="s">
        <v>80</v>
      </c>
      <c r="D141" s="28" t="s">
        <v>932</v>
      </c>
      <c r="E141" s="43" t="s">
        <v>82</v>
      </c>
      <c r="F141" s="28" t="s">
        <v>901</v>
      </c>
      <c r="G141" s="44" t="s">
        <v>367</v>
      </c>
      <c r="H141" s="45">
        <v>44608</v>
      </c>
      <c r="I141" s="46" t="s">
        <v>992</v>
      </c>
      <c r="J141" s="28">
        <v>6.7</v>
      </c>
      <c r="K141" s="28" t="s">
        <v>413</v>
      </c>
      <c r="L141" s="28" t="s">
        <v>880</v>
      </c>
      <c r="M141" s="28" t="s">
        <v>2</v>
      </c>
      <c r="N141" s="28" t="str">
        <f t="shared" si="71"/>
        <v>AE4</v>
      </c>
      <c r="O141" s="81"/>
      <c r="P141" s="81">
        <f t="shared" si="72"/>
        <v>0</v>
      </c>
      <c r="Q141" s="81">
        <f t="shared" si="73"/>
        <v>0</v>
      </c>
      <c r="R141" s="81">
        <f t="shared" si="74"/>
        <v>0</v>
      </c>
      <c r="S141" s="81"/>
      <c r="T141" s="82">
        <f t="shared" si="75"/>
        <v>0</v>
      </c>
      <c r="U141" s="82">
        <f t="shared" si="76"/>
        <v>0</v>
      </c>
      <c r="V141" s="82">
        <f t="shared" si="77"/>
        <v>0</v>
      </c>
      <c r="W141" s="83">
        <v>0</v>
      </c>
      <c r="X141" s="83">
        <v>0</v>
      </c>
      <c r="Y141" s="83">
        <v>0</v>
      </c>
      <c r="Z141" s="84">
        <f>ROUND((IF(($O141&lt;=700000),0,IF(((VLOOKUP($M141,'Loyalty - Effec - 15July'!$B$5:$C$17,2,0)*$O141)&lt;=120000),(VLOOKUP($M141,'Loyalty - Effec - 15July'!$B$5:$C$17,2,0)*$O141),120000))),0)</f>
        <v>0</v>
      </c>
      <c r="AA141" s="84">
        <f>ROUND(VLOOKUP($M141,'Loyalty - Effec - 15July'!$B$5:$D$17,3,0)*$O141,0)</f>
        <v>0</v>
      </c>
      <c r="AB141" s="85">
        <f t="shared" si="78"/>
        <v>0</v>
      </c>
      <c r="AC141" s="86">
        <f t="shared" si="79"/>
        <v>0</v>
      </c>
      <c r="AD141" s="87">
        <f t="shared" si="80"/>
        <v>0</v>
      </c>
      <c r="AE141" s="88">
        <f t="shared" si="81"/>
        <v>0</v>
      </c>
      <c r="AF141" s="88">
        <f t="shared" si="82"/>
        <v>0</v>
      </c>
      <c r="AG141" s="49" t="s">
        <v>921</v>
      </c>
      <c r="AH141" s="49" t="s">
        <v>120</v>
      </c>
      <c r="AI141" s="50"/>
      <c r="AJ141" s="46"/>
      <c r="AK141" s="46"/>
      <c r="AL141" s="46"/>
      <c r="AM141" s="51">
        <f>IF($AL141=4,VLOOKUP($AR141,'Loyalty Incentive v1'!$L$3:$Q$15,2,FALSE),
IF($AL141=3,VLOOKUP($AR141,'Loyalty Incentive v1'!$L$3:$Q$15,3,FALSE),
IF($AL141=2,VLOOKUP($AR141,'Loyalty Incentive v1'!$L$3:$Q$15,4,FALSE),
IF($AL141=1,VLOOKUP($AR141,'Loyalty Incentive v1'!$L$3:$Q$15,5,FALSE),
IF($AL141=0,VLOOKUP($AR141,'Loyalty Incentive v1'!$L$3:$Q$15,6,FALSE),0)))))</f>
        <v>0</v>
      </c>
      <c r="AN141" s="51">
        <f>IFERROR(IF(I141&gt;="1",AM141,VLOOKUP(VALUE(I141),'Loyalty - Effec - 15July'!$I$5:$J$16,2,0)*AM141),0)</f>
        <v>0</v>
      </c>
      <c r="AO141" s="51">
        <v>0</v>
      </c>
      <c r="AP141" s="51">
        <f t="shared" si="83"/>
        <v>0</v>
      </c>
      <c r="AQ141" s="46" t="str">
        <f t="shared" si="95"/>
        <v>No</v>
      </c>
      <c r="AR141" s="46" t="str">
        <f t="shared" si="96"/>
        <v>AE4</v>
      </c>
      <c r="AS141" s="46" t="b">
        <f t="shared" si="97"/>
        <v>1</v>
      </c>
      <c r="AT141" s="82">
        <f t="shared" si="98"/>
        <v>0</v>
      </c>
      <c r="AU141" s="82">
        <f t="shared" si="84"/>
        <v>0</v>
      </c>
      <c r="AV141" s="82">
        <f t="shared" si="85"/>
        <v>0</v>
      </c>
      <c r="AW141" s="82">
        <f t="shared" si="86"/>
        <v>0</v>
      </c>
      <c r="AX141" s="85"/>
      <c r="AY141" s="82">
        <f t="shared" si="87"/>
        <v>0</v>
      </c>
      <c r="AZ141" s="82">
        <f t="shared" si="88"/>
        <v>0</v>
      </c>
      <c r="BA141" s="82">
        <f t="shared" si="89"/>
        <v>0</v>
      </c>
      <c r="BB141" s="83">
        <v>0</v>
      </c>
      <c r="BC141" s="83">
        <v>0</v>
      </c>
      <c r="BD141" s="83">
        <v>0</v>
      </c>
      <c r="BE141" s="84">
        <f>ROUND((IF(($AT141&lt;=700000),0,IF(((VLOOKUP($AR141,'Loyalty - Effec - 15July'!$B$5:$C$17,2,0)*$AT141)&lt;=120000),(VLOOKUP($AR141,'Loyalty - Effec - 15July'!$B$5:$C$17,2,0)*$AT141),120000))),0)</f>
        <v>0</v>
      </c>
      <c r="BF141" s="84">
        <f>ROUND(VLOOKUP($AR141,'Loyalty - Effec - 15July'!$B$5:$D$17,3,0)*$AT141,0)</f>
        <v>0</v>
      </c>
      <c r="BG141" s="85">
        <f t="shared" si="90"/>
        <v>0</v>
      </c>
      <c r="BH141" s="81">
        <f t="shared" si="91"/>
        <v>0</v>
      </c>
      <c r="BI141" s="85">
        <f t="shared" si="92"/>
        <v>0</v>
      </c>
      <c r="BJ141" s="85">
        <f t="shared" si="93"/>
        <v>0</v>
      </c>
      <c r="BK141" s="85">
        <f t="shared" si="94"/>
        <v>0</v>
      </c>
      <c r="BL141" s="85">
        <f t="shared" si="99"/>
        <v>0</v>
      </c>
      <c r="BM141" s="85">
        <f t="shared" si="100"/>
        <v>0</v>
      </c>
      <c r="BN141" s="85">
        <f t="shared" si="101"/>
        <v>0</v>
      </c>
      <c r="BO141" s="52" t="s">
        <v>85</v>
      </c>
      <c r="BP141" s="46"/>
      <c r="BQ141" s="46"/>
      <c r="BR141" s="47">
        <f t="shared" si="104"/>
        <v>0</v>
      </c>
      <c r="BU141" s="47">
        <f t="shared" si="103"/>
        <v>0</v>
      </c>
      <c r="BV141" s="53" t="s">
        <v>366</v>
      </c>
      <c r="BW141" s="53" t="s">
        <v>932</v>
      </c>
      <c r="BX141" s="53" t="s">
        <v>367</v>
      </c>
      <c r="BY141" s="53"/>
      <c r="BZ141" s="53"/>
    </row>
    <row r="142" spans="1:79">
      <c r="A142" s="42" t="s">
        <v>368</v>
      </c>
      <c r="B142" s="28" t="s">
        <v>903</v>
      </c>
      <c r="C142" s="28" t="s">
        <v>80</v>
      </c>
      <c r="D142" s="28" t="s">
        <v>932</v>
      </c>
      <c r="E142" s="43" t="s">
        <v>82</v>
      </c>
      <c r="F142" s="28" t="s">
        <v>901</v>
      </c>
      <c r="G142" s="44" t="s">
        <v>369</v>
      </c>
      <c r="H142" s="45">
        <v>44615</v>
      </c>
      <c r="I142" s="46" t="s">
        <v>992</v>
      </c>
      <c r="J142" s="28">
        <v>7</v>
      </c>
      <c r="K142" s="28" t="s">
        <v>415</v>
      </c>
      <c r="L142" s="28" t="s">
        <v>116</v>
      </c>
      <c r="M142" s="28" t="s">
        <v>0</v>
      </c>
      <c r="N142" s="28" t="str">
        <f t="shared" si="71"/>
        <v>AE2</v>
      </c>
      <c r="O142" s="81"/>
      <c r="P142" s="81">
        <f t="shared" si="72"/>
        <v>0</v>
      </c>
      <c r="Q142" s="81">
        <f t="shared" si="73"/>
        <v>0</v>
      </c>
      <c r="R142" s="81">
        <f t="shared" si="74"/>
        <v>0</v>
      </c>
      <c r="S142" s="81"/>
      <c r="T142" s="82">
        <f t="shared" si="75"/>
        <v>0</v>
      </c>
      <c r="U142" s="82">
        <f t="shared" si="76"/>
        <v>0</v>
      </c>
      <c r="V142" s="82">
        <f t="shared" si="77"/>
        <v>0</v>
      </c>
      <c r="W142" s="83">
        <v>0</v>
      </c>
      <c r="X142" s="83">
        <v>0</v>
      </c>
      <c r="Y142" s="83">
        <v>0</v>
      </c>
      <c r="Z142" s="84">
        <f>ROUND((IF(($O142&lt;=700000),0,IF(((VLOOKUP($M142,'Loyalty - Effec - 15July'!$B$5:$C$17,2,0)*$O142)&lt;=120000),(VLOOKUP($M142,'Loyalty - Effec - 15July'!$B$5:$C$17,2,0)*$O142),120000))),0)</f>
        <v>0</v>
      </c>
      <c r="AA142" s="84">
        <f>ROUND(VLOOKUP($M142,'Loyalty - Effec - 15July'!$B$5:$D$17,3,0)*$O142,0)</f>
        <v>0</v>
      </c>
      <c r="AB142" s="85">
        <f t="shared" si="78"/>
        <v>0</v>
      </c>
      <c r="AC142" s="86">
        <f t="shared" si="79"/>
        <v>0</v>
      </c>
      <c r="AD142" s="87">
        <f t="shared" si="80"/>
        <v>0</v>
      </c>
      <c r="AE142" s="88">
        <f t="shared" si="81"/>
        <v>0</v>
      </c>
      <c r="AF142" s="88">
        <f t="shared" si="82"/>
        <v>0</v>
      </c>
      <c r="AG142" s="49" t="s">
        <v>907</v>
      </c>
      <c r="AH142" s="49" t="s">
        <v>927</v>
      </c>
      <c r="AI142" s="50"/>
      <c r="AJ142" s="46"/>
      <c r="AK142" s="46"/>
      <c r="AL142" s="46"/>
      <c r="AM142" s="51">
        <f>IF($AL142=4,VLOOKUP($AR142,'Loyalty Incentive v1'!$L$3:$Q$15,2,FALSE),
IF($AL142=3,VLOOKUP($AR142,'Loyalty Incentive v1'!$L$3:$Q$15,3,FALSE),
IF($AL142=2,VLOOKUP($AR142,'Loyalty Incentive v1'!$L$3:$Q$15,4,FALSE),
IF($AL142=1,VLOOKUP($AR142,'Loyalty Incentive v1'!$L$3:$Q$15,5,FALSE),
IF($AL142=0,VLOOKUP($AR142,'Loyalty Incentive v1'!$L$3:$Q$15,6,FALSE),0)))))</f>
        <v>0</v>
      </c>
      <c r="AN142" s="51">
        <f>IFERROR(IF(I142&gt;="1",AM142,VLOOKUP(VALUE(I142),'Loyalty - Effec - 15July'!$I$5:$J$16,2,0)*AM142),0)</f>
        <v>0</v>
      </c>
      <c r="AO142" s="51">
        <v>0</v>
      </c>
      <c r="AP142" s="51">
        <f t="shared" si="83"/>
        <v>0</v>
      </c>
      <c r="AQ142" s="46" t="str">
        <f t="shared" si="95"/>
        <v>No</v>
      </c>
      <c r="AR142" s="46" t="str">
        <f t="shared" si="96"/>
        <v>AE2</v>
      </c>
      <c r="AS142" s="46" t="b">
        <f t="shared" si="97"/>
        <v>1</v>
      </c>
      <c r="AT142" s="82">
        <f t="shared" si="98"/>
        <v>0</v>
      </c>
      <c r="AU142" s="82">
        <f t="shared" si="84"/>
        <v>0</v>
      </c>
      <c r="AV142" s="82">
        <f t="shared" si="85"/>
        <v>0</v>
      </c>
      <c r="AW142" s="82">
        <f t="shared" si="86"/>
        <v>0</v>
      </c>
      <c r="AX142" s="85"/>
      <c r="AY142" s="82">
        <f t="shared" si="87"/>
        <v>0</v>
      </c>
      <c r="AZ142" s="82">
        <f t="shared" si="88"/>
        <v>0</v>
      </c>
      <c r="BA142" s="82">
        <f t="shared" si="89"/>
        <v>0</v>
      </c>
      <c r="BB142" s="83">
        <v>0</v>
      </c>
      <c r="BC142" s="83">
        <v>0</v>
      </c>
      <c r="BD142" s="83">
        <v>0</v>
      </c>
      <c r="BE142" s="84">
        <f>ROUND((IF(($AT142&lt;=700000),0,IF(((VLOOKUP($AR142,'Loyalty - Effec - 15July'!$B$5:$C$17,2,0)*$AT142)&lt;=120000),(VLOOKUP($AR142,'Loyalty - Effec - 15July'!$B$5:$C$17,2,0)*$AT142),120000))),0)</f>
        <v>0</v>
      </c>
      <c r="BF142" s="84">
        <f>ROUND(VLOOKUP($AR142,'Loyalty - Effec - 15July'!$B$5:$D$17,3,0)*$AT142,0)</f>
        <v>0</v>
      </c>
      <c r="BG142" s="85">
        <f t="shared" si="90"/>
        <v>0</v>
      </c>
      <c r="BH142" s="81">
        <f t="shared" si="91"/>
        <v>0</v>
      </c>
      <c r="BI142" s="85">
        <f t="shared" si="92"/>
        <v>0</v>
      </c>
      <c r="BJ142" s="85">
        <f t="shared" si="93"/>
        <v>0</v>
      </c>
      <c r="BK142" s="85">
        <f t="shared" si="94"/>
        <v>0</v>
      </c>
      <c r="BL142" s="85">
        <f t="shared" si="99"/>
        <v>0</v>
      </c>
      <c r="BM142" s="85">
        <f t="shared" si="100"/>
        <v>0</v>
      </c>
      <c r="BN142" s="85">
        <f t="shared" si="101"/>
        <v>0</v>
      </c>
      <c r="BO142" s="52" t="s">
        <v>85</v>
      </c>
      <c r="BP142" s="46"/>
      <c r="BQ142" s="46"/>
      <c r="BR142" s="47">
        <f t="shared" si="104"/>
        <v>0</v>
      </c>
      <c r="BU142" s="47">
        <f t="shared" si="103"/>
        <v>0</v>
      </c>
      <c r="BV142" s="53" t="s">
        <v>368</v>
      </c>
      <c r="BW142" s="53" t="s">
        <v>932</v>
      </c>
      <c r="BX142" s="53" t="s">
        <v>369</v>
      </c>
      <c r="BY142" s="53"/>
      <c r="BZ142" s="53"/>
    </row>
    <row r="143" spans="1:79">
      <c r="A143" s="42" t="s">
        <v>370</v>
      </c>
      <c r="B143" s="28" t="s">
        <v>79</v>
      </c>
      <c r="C143" s="28" t="s">
        <v>80</v>
      </c>
      <c r="D143" s="28" t="s">
        <v>932</v>
      </c>
      <c r="E143" s="43" t="s">
        <v>82</v>
      </c>
      <c r="F143" s="28" t="s">
        <v>901</v>
      </c>
      <c r="G143" s="44" t="s">
        <v>371</v>
      </c>
      <c r="H143" s="45">
        <v>44627</v>
      </c>
      <c r="I143" s="46" t="s">
        <v>993</v>
      </c>
      <c r="J143" s="28">
        <v>7</v>
      </c>
      <c r="K143" s="28" t="s">
        <v>93</v>
      </c>
      <c r="L143" s="28" t="s">
        <v>873</v>
      </c>
      <c r="M143" s="28" t="s">
        <v>2</v>
      </c>
      <c r="N143" s="28" t="str">
        <f t="shared" si="71"/>
        <v>AE4</v>
      </c>
      <c r="O143" s="81"/>
      <c r="P143" s="81">
        <f t="shared" si="72"/>
        <v>0</v>
      </c>
      <c r="Q143" s="81">
        <f t="shared" si="73"/>
        <v>0</v>
      </c>
      <c r="R143" s="81">
        <f t="shared" si="74"/>
        <v>0</v>
      </c>
      <c r="S143" s="81"/>
      <c r="T143" s="82">
        <f t="shared" si="75"/>
        <v>0</v>
      </c>
      <c r="U143" s="82">
        <f t="shared" si="76"/>
        <v>0</v>
      </c>
      <c r="V143" s="82">
        <f t="shared" si="77"/>
        <v>0</v>
      </c>
      <c r="W143" s="83">
        <v>0</v>
      </c>
      <c r="X143" s="83">
        <v>0</v>
      </c>
      <c r="Y143" s="83">
        <v>0</v>
      </c>
      <c r="Z143" s="84">
        <f>ROUND((IF(($O143&lt;=700000),0,IF(((VLOOKUP($M143,'Loyalty - Effec - 15July'!$B$5:$C$17,2,0)*$O143)&lt;=120000),(VLOOKUP($M143,'Loyalty - Effec - 15July'!$B$5:$C$17,2,0)*$O143),120000))),0)</f>
        <v>0</v>
      </c>
      <c r="AA143" s="84">
        <f>ROUND(VLOOKUP($M143,'Loyalty - Effec - 15July'!$B$5:$D$17,3,0)*$O143,0)</f>
        <v>0</v>
      </c>
      <c r="AB143" s="85">
        <f t="shared" si="78"/>
        <v>0</v>
      </c>
      <c r="AC143" s="86">
        <f t="shared" si="79"/>
        <v>0</v>
      </c>
      <c r="AD143" s="87">
        <f t="shared" si="80"/>
        <v>0</v>
      </c>
      <c r="AE143" s="88">
        <f t="shared" si="81"/>
        <v>0</v>
      </c>
      <c r="AF143" s="88">
        <f t="shared" si="82"/>
        <v>0</v>
      </c>
      <c r="AG143" s="49" t="s">
        <v>206</v>
      </c>
      <c r="AH143" s="49" t="s">
        <v>126</v>
      </c>
      <c r="AI143" s="50"/>
      <c r="AJ143" s="46"/>
      <c r="AK143" s="46"/>
      <c r="AL143" s="46"/>
      <c r="AM143" s="51">
        <f>IF($AL143=4,VLOOKUP($AR143,'Loyalty Incentive v1'!$L$3:$Q$15,2,FALSE),
IF($AL143=3,VLOOKUP($AR143,'Loyalty Incentive v1'!$L$3:$Q$15,3,FALSE),
IF($AL143=2,VLOOKUP($AR143,'Loyalty Incentive v1'!$L$3:$Q$15,4,FALSE),
IF($AL143=1,VLOOKUP($AR143,'Loyalty Incentive v1'!$L$3:$Q$15,5,FALSE),
IF($AL143=0,VLOOKUP($AR143,'Loyalty Incentive v1'!$L$3:$Q$15,6,FALSE),0)))))</f>
        <v>0</v>
      </c>
      <c r="AN143" s="51">
        <f>IFERROR(IF(I143&gt;="1",AM143,VLOOKUP(VALUE(I143),'Loyalty - Effec - 15July'!$I$5:$J$16,2,0)*AM143),0)</f>
        <v>0</v>
      </c>
      <c r="AO143" s="51">
        <v>0</v>
      </c>
      <c r="AP143" s="51">
        <f t="shared" si="83"/>
        <v>0</v>
      </c>
      <c r="AQ143" s="46" t="str">
        <f t="shared" si="95"/>
        <v>No</v>
      </c>
      <c r="AR143" s="46" t="str">
        <f t="shared" si="96"/>
        <v>AE4</v>
      </c>
      <c r="AS143" s="46" t="b">
        <f t="shared" si="97"/>
        <v>1</v>
      </c>
      <c r="AT143" s="82">
        <f t="shared" si="98"/>
        <v>0</v>
      </c>
      <c r="AU143" s="82">
        <f t="shared" si="84"/>
        <v>0</v>
      </c>
      <c r="AV143" s="82">
        <f t="shared" si="85"/>
        <v>0</v>
      </c>
      <c r="AW143" s="82">
        <f t="shared" si="86"/>
        <v>0</v>
      </c>
      <c r="AX143" s="85"/>
      <c r="AY143" s="82">
        <f t="shared" si="87"/>
        <v>0</v>
      </c>
      <c r="AZ143" s="82">
        <f t="shared" si="88"/>
        <v>0</v>
      </c>
      <c r="BA143" s="82">
        <f t="shared" si="89"/>
        <v>0</v>
      </c>
      <c r="BB143" s="83">
        <v>0</v>
      </c>
      <c r="BC143" s="83">
        <v>0</v>
      </c>
      <c r="BD143" s="83">
        <v>0</v>
      </c>
      <c r="BE143" s="84">
        <f>ROUND((IF(($AT143&lt;=700000),0,IF(((VLOOKUP($AR143,'Loyalty - Effec - 15July'!$B$5:$C$17,2,0)*$AT143)&lt;=120000),(VLOOKUP($AR143,'Loyalty - Effec - 15July'!$B$5:$C$17,2,0)*$AT143),120000))),0)</f>
        <v>0</v>
      </c>
      <c r="BF143" s="84">
        <f>ROUND(VLOOKUP($AR143,'Loyalty - Effec - 15July'!$B$5:$D$17,3,0)*$AT143,0)</f>
        <v>0</v>
      </c>
      <c r="BG143" s="85">
        <f t="shared" si="90"/>
        <v>0</v>
      </c>
      <c r="BH143" s="81">
        <f t="shared" si="91"/>
        <v>0</v>
      </c>
      <c r="BI143" s="85">
        <f t="shared" si="92"/>
        <v>0</v>
      </c>
      <c r="BJ143" s="85">
        <f t="shared" si="93"/>
        <v>0</v>
      </c>
      <c r="BK143" s="85">
        <f t="shared" si="94"/>
        <v>0</v>
      </c>
      <c r="BL143" s="85">
        <f t="shared" si="99"/>
        <v>0</v>
      </c>
      <c r="BM143" s="85">
        <f t="shared" si="100"/>
        <v>0</v>
      </c>
      <c r="BN143" s="85">
        <f t="shared" si="101"/>
        <v>0</v>
      </c>
      <c r="BO143" s="52" t="s">
        <v>85</v>
      </c>
      <c r="BP143" s="46"/>
      <c r="BQ143" s="46"/>
      <c r="BR143" s="47">
        <f t="shared" si="104"/>
        <v>0</v>
      </c>
      <c r="BU143" s="47">
        <f t="shared" si="103"/>
        <v>0</v>
      </c>
      <c r="BV143" s="53" t="s">
        <v>370</v>
      </c>
      <c r="BW143" s="53" t="s">
        <v>932</v>
      </c>
      <c r="BX143" s="53" t="s">
        <v>371</v>
      </c>
      <c r="BY143" s="53"/>
      <c r="BZ143" s="53"/>
    </row>
    <row r="144" spans="1:79">
      <c r="A144" s="42" t="s">
        <v>372</v>
      </c>
      <c r="B144" s="28" t="s">
        <v>79</v>
      </c>
      <c r="C144" s="28" t="s">
        <v>80</v>
      </c>
      <c r="D144" s="28" t="s">
        <v>932</v>
      </c>
      <c r="E144" s="43" t="s">
        <v>82</v>
      </c>
      <c r="F144" s="28" t="s">
        <v>902</v>
      </c>
      <c r="G144" s="44" t="s">
        <v>647</v>
      </c>
      <c r="H144" s="45">
        <v>44627</v>
      </c>
      <c r="I144" s="46" t="s">
        <v>993</v>
      </c>
      <c r="J144" s="28">
        <v>5.9</v>
      </c>
      <c r="K144" s="28" t="s">
        <v>413</v>
      </c>
      <c r="L144" s="28" t="s">
        <v>140</v>
      </c>
      <c r="M144" s="28" t="s">
        <v>1</v>
      </c>
      <c r="N144" s="28" t="str">
        <f t="shared" si="71"/>
        <v>AE3</v>
      </c>
      <c r="O144" s="81"/>
      <c r="P144" s="81">
        <f t="shared" si="72"/>
        <v>0</v>
      </c>
      <c r="Q144" s="81">
        <f t="shared" si="73"/>
        <v>0</v>
      </c>
      <c r="R144" s="81">
        <f t="shared" si="74"/>
        <v>0</v>
      </c>
      <c r="S144" s="81"/>
      <c r="T144" s="82">
        <f t="shared" si="75"/>
        <v>0</v>
      </c>
      <c r="U144" s="82">
        <f t="shared" si="76"/>
        <v>0</v>
      </c>
      <c r="V144" s="82">
        <f t="shared" si="77"/>
        <v>0</v>
      </c>
      <c r="W144" s="83">
        <v>0</v>
      </c>
      <c r="X144" s="83">
        <v>0</v>
      </c>
      <c r="Y144" s="83">
        <v>0</v>
      </c>
      <c r="Z144" s="84">
        <f>ROUND((IF(($O144&lt;=700000),0,IF(((VLOOKUP($M144,'Loyalty - Effec - 15July'!$B$5:$C$17,2,0)*$O144)&lt;=120000),(VLOOKUP($M144,'Loyalty - Effec - 15July'!$B$5:$C$17,2,0)*$O144),120000))),0)</f>
        <v>0</v>
      </c>
      <c r="AA144" s="84">
        <f>ROUND(VLOOKUP($M144,'Loyalty - Effec - 15July'!$B$5:$D$17,3,0)*$O144,0)</f>
        <v>0</v>
      </c>
      <c r="AB144" s="85">
        <f t="shared" si="78"/>
        <v>0</v>
      </c>
      <c r="AC144" s="86">
        <f t="shared" si="79"/>
        <v>0</v>
      </c>
      <c r="AD144" s="87">
        <f t="shared" si="80"/>
        <v>0</v>
      </c>
      <c r="AE144" s="88">
        <f t="shared" si="81"/>
        <v>0</v>
      </c>
      <c r="AF144" s="88">
        <f t="shared" si="82"/>
        <v>0</v>
      </c>
      <c r="AG144" s="49" t="s">
        <v>917</v>
      </c>
      <c r="AH144" s="49" t="s">
        <v>911</v>
      </c>
      <c r="AI144" s="50"/>
      <c r="AJ144" s="46"/>
      <c r="AK144" s="46"/>
      <c r="AL144" s="46"/>
      <c r="AM144" s="51">
        <f>IF($AL144=4,VLOOKUP($AR144,'Loyalty Incentive v1'!$L$3:$Q$15,2,FALSE),
IF($AL144=3,VLOOKUP($AR144,'Loyalty Incentive v1'!$L$3:$Q$15,3,FALSE),
IF($AL144=2,VLOOKUP($AR144,'Loyalty Incentive v1'!$L$3:$Q$15,4,FALSE),
IF($AL144=1,VLOOKUP($AR144,'Loyalty Incentive v1'!$L$3:$Q$15,5,FALSE),
IF($AL144=0,VLOOKUP($AR144,'Loyalty Incentive v1'!$L$3:$Q$15,6,FALSE),0)))))</f>
        <v>0</v>
      </c>
      <c r="AN144" s="51">
        <f>IFERROR(IF(I144&gt;="1",AM144,VLOOKUP(VALUE(I144),'Loyalty - Effec - 15July'!$I$5:$J$16,2,0)*AM144),0)</f>
        <v>0</v>
      </c>
      <c r="AO144" s="51">
        <v>0</v>
      </c>
      <c r="AP144" s="51">
        <f t="shared" si="83"/>
        <v>0</v>
      </c>
      <c r="AQ144" s="46" t="str">
        <f t="shared" si="95"/>
        <v>No</v>
      </c>
      <c r="AR144" s="46" t="str">
        <f t="shared" si="96"/>
        <v>AE3</v>
      </c>
      <c r="AS144" s="46" t="b">
        <f t="shared" si="97"/>
        <v>1</v>
      </c>
      <c r="AT144" s="82">
        <f t="shared" si="98"/>
        <v>0</v>
      </c>
      <c r="AU144" s="82">
        <f t="shared" si="84"/>
        <v>0</v>
      </c>
      <c r="AV144" s="82">
        <f t="shared" si="85"/>
        <v>0</v>
      </c>
      <c r="AW144" s="82">
        <f t="shared" si="86"/>
        <v>0</v>
      </c>
      <c r="AX144" s="85"/>
      <c r="AY144" s="82">
        <f t="shared" si="87"/>
        <v>0</v>
      </c>
      <c r="AZ144" s="82">
        <f t="shared" si="88"/>
        <v>0</v>
      </c>
      <c r="BA144" s="82">
        <f t="shared" si="89"/>
        <v>0</v>
      </c>
      <c r="BB144" s="83">
        <v>0</v>
      </c>
      <c r="BC144" s="83">
        <v>0</v>
      </c>
      <c r="BD144" s="83">
        <v>0</v>
      </c>
      <c r="BE144" s="84">
        <f>ROUND((IF(($AT144&lt;=700000),0,IF(((VLOOKUP($AR144,'Loyalty - Effec - 15July'!$B$5:$C$17,2,0)*$AT144)&lt;=120000),(VLOOKUP($AR144,'Loyalty - Effec - 15July'!$B$5:$C$17,2,0)*$AT144),120000))),0)</f>
        <v>0</v>
      </c>
      <c r="BF144" s="84">
        <f>ROUND(VLOOKUP($AR144,'Loyalty - Effec - 15July'!$B$5:$D$17,3,0)*$AT144,0)</f>
        <v>0</v>
      </c>
      <c r="BG144" s="85">
        <f t="shared" si="90"/>
        <v>0</v>
      </c>
      <c r="BH144" s="81">
        <f t="shared" si="91"/>
        <v>0</v>
      </c>
      <c r="BI144" s="85">
        <f t="shared" si="92"/>
        <v>0</v>
      </c>
      <c r="BJ144" s="85">
        <f t="shared" si="93"/>
        <v>0</v>
      </c>
      <c r="BK144" s="85">
        <f t="shared" si="94"/>
        <v>0</v>
      </c>
      <c r="BL144" s="85">
        <f t="shared" si="99"/>
        <v>0</v>
      </c>
      <c r="BM144" s="85">
        <f t="shared" si="100"/>
        <v>0</v>
      </c>
      <c r="BN144" s="85">
        <f t="shared" si="101"/>
        <v>0</v>
      </c>
      <c r="BO144" s="52" t="s">
        <v>85</v>
      </c>
      <c r="BP144" s="46"/>
      <c r="BQ144" s="46"/>
      <c r="BR144" s="47">
        <f t="shared" si="104"/>
        <v>0</v>
      </c>
      <c r="BU144" s="47">
        <f t="shared" si="103"/>
        <v>0</v>
      </c>
      <c r="BV144" s="53" t="s">
        <v>372</v>
      </c>
      <c r="BW144" s="53" t="s">
        <v>932</v>
      </c>
      <c r="BX144" s="53" t="s">
        <v>647</v>
      </c>
      <c r="BY144" s="53"/>
      <c r="BZ144" s="53"/>
    </row>
    <row r="145" spans="1:79">
      <c r="A145" s="42" t="s">
        <v>373</v>
      </c>
      <c r="B145" s="28" t="s">
        <v>79</v>
      </c>
      <c r="C145" s="28" t="s">
        <v>80</v>
      </c>
      <c r="D145" s="28" t="s">
        <v>932</v>
      </c>
      <c r="E145" s="43" t="s">
        <v>82</v>
      </c>
      <c r="F145" s="28" t="s">
        <v>901</v>
      </c>
      <c r="G145" s="44" t="s">
        <v>374</v>
      </c>
      <c r="H145" s="45">
        <v>44629</v>
      </c>
      <c r="I145" s="46" t="s">
        <v>993</v>
      </c>
      <c r="J145" s="28">
        <v>7</v>
      </c>
      <c r="K145" s="28" t="s">
        <v>413</v>
      </c>
      <c r="L145" s="28" t="s">
        <v>875</v>
      </c>
      <c r="M145" s="28" t="s">
        <v>0</v>
      </c>
      <c r="N145" s="28" t="str">
        <f t="shared" si="71"/>
        <v>AE2</v>
      </c>
      <c r="O145" s="81"/>
      <c r="P145" s="81">
        <f t="shared" si="72"/>
        <v>0</v>
      </c>
      <c r="Q145" s="81">
        <f t="shared" si="73"/>
        <v>0</v>
      </c>
      <c r="R145" s="81">
        <f t="shared" si="74"/>
        <v>0</v>
      </c>
      <c r="S145" s="81"/>
      <c r="T145" s="82">
        <f t="shared" si="75"/>
        <v>0</v>
      </c>
      <c r="U145" s="82">
        <f t="shared" si="76"/>
        <v>0</v>
      </c>
      <c r="V145" s="82">
        <f t="shared" si="77"/>
        <v>0</v>
      </c>
      <c r="W145" s="83">
        <v>0</v>
      </c>
      <c r="X145" s="83">
        <v>0</v>
      </c>
      <c r="Y145" s="83">
        <v>0</v>
      </c>
      <c r="Z145" s="84">
        <f>ROUND((IF(($O145&lt;=700000),0,IF(((VLOOKUP($M145,'Loyalty - Effec - 15July'!$B$5:$C$17,2,0)*$O145)&lt;=120000),(VLOOKUP($M145,'Loyalty - Effec - 15July'!$B$5:$C$17,2,0)*$O145),120000))),0)</f>
        <v>0</v>
      </c>
      <c r="AA145" s="84">
        <f>ROUND(VLOOKUP($M145,'Loyalty - Effec - 15July'!$B$5:$D$17,3,0)*$O145,0)</f>
        <v>0</v>
      </c>
      <c r="AB145" s="85">
        <f t="shared" si="78"/>
        <v>0</v>
      </c>
      <c r="AC145" s="86">
        <f t="shared" si="79"/>
        <v>0</v>
      </c>
      <c r="AD145" s="87">
        <f t="shared" si="80"/>
        <v>0</v>
      </c>
      <c r="AE145" s="88">
        <f t="shared" si="81"/>
        <v>0</v>
      </c>
      <c r="AF145" s="88">
        <f t="shared" si="82"/>
        <v>0</v>
      </c>
      <c r="AG145" s="49" t="s">
        <v>917</v>
      </c>
      <c r="AH145" s="49" t="s">
        <v>911</v>
      </c>
      <c r="AI145" s="50"/>
      <c r="AJ145" s="46"/>
      <c r="AK145" s="46"/>
      <c r="AL145" s="46"/>
      <c r="AM145" s="51">
        <f>IF($AL145=4,VLOOKUP($AR145,'Loyalty Incentive v1'!$L$3:$Q$15,2,FALSE),
IF($AL145=3,VLOOKUP($AR145,'Loyalty Incentive v1'!$L$3:$Q$15,3,FALSE),
IF($AL145=2,VLOOKUP($AR145,'Loyalty Incentive v1'!$L$3:$Q$15,4,FALSE),
IF($AL145=1,VLOOKUP($AR145,'Loyalty Incentive v1'!$L$3:$Q$15,5,FALSE),
IF($AL145=0,VLOOKUP($AR145,'Loyalty Incentive v1'!$L$3:$Q$15,6,FALSE),0)))))</f>
        <v>0</v>
      </c>
      <c r="AN145" s="51">
        <f>IFERROR(IF(I145&gt;="1",AM145,VLOOKUP(VALUE(I145),'Loyalty - Effec - 15July'!$I$5:$J$16,2,0)*AM145),0)</f>
        <v>0</v>
      </c>
      <c r="AO145" s="51">
        <v>0</v>
      </c>
      <c r="AP145" s="51">
        <f t="shared" si="83"/>
        <v>0</v>
      </c>
      <c r="AQ145" s="46" t="str">
        <f t="shared" si="95"/>
        <v>No</v>
      </c>
      <c r="AR145" s="46" t="str">
        <f t="shared" si="96"/>
        <v>AE2</v>
      </c>
      <c r="AS145" s="46" t="b">
        <f t="shared" si="97"/>
        <v>1</v>
      </c>
      <c r="AT145" s="82">
        <f t="shared" si="98"/>
        <v>0</v>
      </c>
      <c r="AU145" s="82">
        <f t="shared" si="84"/>
        <v>0</v>
      </c>
      <c r="AV145" s="82">
        <f t="shared" si="85"/>
        <v>0</v>
      </c>
      <c r="AW145" s="82">
        <f t="shared" si="86"/>
        <v>0</v>
      </c>
      <c r="AX145" s="85"/>
      <c r="AY145" s="82">
        <f t="shared" si="87"/>
        <v>0</v>
      </c>
      <c r="AZ145" s="82">
        <f t="shared" si="88"/>
        <v>0</v>
      </c>
      <c r="BA145" s="82">
        <f t="shared" si="89"/>
        <v>0</v>
      </c>
      <c r="BB145" s="83">
        <v>0</v>
      </c>
      <c r="BC145" s="83">
        <v>0</v>
      </c>
      <c r="BD145" s="83">
        <v>0</v>
      </c>
      <c r="BE145" s="84">
        <f>ROUND((IF(($AT145&lt;=700000),0,IF(((VLOOKUP($AR145,'Loyalty - Effec - 15July'!$B$5:$C$17,2,0)*$AT145)&lt;=120000),(VLOOKUP($AR145,'Loyalty - Effec - 15July'!$B$5:$C$17,2,0)*$AT145),120000))),0)</f>
        <v>0</v>
      </c>
      <c r="BF145" s="84">
        <f>ROUND(VLOOKUP($AR145,'Loyalty - Effec - 15July'!$B$5:$D$17,3,0)*$AT145,0)</f>
        <v>0</v>
      </c>
      <c r="BG145" s="85">
        <f t="shared" si="90"/>
        <v>0</v>
      </c>
      <c r="BH145" s="81">
        <f t="shared" si="91"/>
        <v>0</v>
      </c>
      <c r="BI145" s="85">
        <f t="shared" si="92"/>
        <v>0</v>
      </c>
      <c r="BJ145" s="85">
        <f t="shared" si="93"/>
        <v>0</v>
      </c>
      <c r="BK145" s="85">
        <f t="shared" si="94"/>
        <v>0</v>
      </c>
      <c r="BL145" s="85">
        <f t="shared" si="99"/>
        <v>0</v>
      </c>
      <c r="BM145" s="85">
        <f t="shared" si="100"/>
        <v>0</v>
      </c>
      <c r="BN145" s="85">
        <f t="shared" si="101"/>
        <v>0</v>
      </c>
      <c r="BO145" s="52" t="s">
        <v>85</v>
      </c>
      <c r="BP145" s="46"/>
      <c r="BQ145" s="46"/>
      <c r="BR145" s="47">
        <f t="shared" si="104"/>
        <v>0</v>
      </c>
      <c r="BU145" s="47">
        <f t="shared" si="103"/>
        <v>0</v>
      </c>
      <c r="BV145" s="53" t="s">
        <v>373</v>
      </c>
      <c r="BW145" s="53" t="s">
        <v>932</v>
      </c>
      <c r="BX145" s="53" t="s">
        <v>374</v>
      </c>
      <c r="BY145" s="53"/>
      <c r="BZ145" s="53"/>
    </row>
    <row r="146" spans="1:79">
      <c r="A146" s="42" t="s">
        <v>375</v>
      </c>
      <c r="B146" s="28" t="s">
        <v>79</v>
      </c>
      <c r="C146" s="28" t="s">
        <v>80</v>
      </c>
      <c r="D146" s="28" t="s">
        <v>932</v>
      </c>
      <c r="E146" s="43" t="s">
        <v>82</v>
      </c>
      <c r="F146" s="28" t="s">
        <v>901</v>
      </c>
      <c r="G146" s="44" t="s">
        <v>376</v>
      </c>
      <c r="H146" s="45">
        <v>44629</v>
      </c>
      <c r="I146" s="46" t="s">
        <v>993</v>
      </c>
      <c r="J146" s="28">
        <v>0</v>
      </c>
      <c r="K146" s="28" t="s">
        <v>413</v>
      </c>
      <c r="L146" s="28" t="s">
        <v>875</v>
      </c>
      <c r="M146" s="28" t="s">
        <v>0</v>
      </c>
      <c r="N146" s="28" t="str">
        <f t="shared" si="71"/>
        <v>AE2</v>
      </c>
      <c r="O146" s="81"/>
      <c r="P146" s="81">
        <f t="shared" si="72"/>
        <v>0</v>
      </c>
      <c r="Q146" s="81">
        <f t="shared" si="73"/>
        <v>0</v>
      </c>
      <c r="R146" s="81">
        <f t="shared" si="74"/>
        <v>0</v>
      </c>
      <c r="S146" s="81"/>
      <c r="T146" s="82">
        <f t="shared" si="75"/>
        <v>0</v>
      </c>
      <c r="U146" s="82">
        <f t="shared" si="76"/>
        <v>0</v>
      </c>
      <c r="V146" s="82">
        <f t="shared" si="77"/>
        <v>0</v>
      </c>
      <c r="W146" s="83">
        <v>0</v>
      </c>
      <c r="X146" s="83">
        <v>0</v>
      </c>
      <c r="Y146" s="83">
        <v>0</v>
      </c>
      <c r="Z146" s="84">
        <f>ROUND((IF(($O146&lt;=700000),0,IF(((VLOOKUP($M146,'Loyalty - Effec - 15July'!$B$5:$C$17,2,0)*$O146)&lt;=120000),(VLOOKUP($M146,'Loyalty - Effec - 15July'!$B$5:$C$17,2,0)*$O146),120000))),0)</f>
        <v>0</v>
      </c>
      <c r="AA146" s="84">
        <f>ROUND(VLOOKUP($M146,'Loyalty - Effec - 15July'!$B$5:$D$17,3,0)*$O146,0)</f>
        <v>0</v>
      </c>
      <c r="AB146" s="85">
        <f t="shared" si="78"/>
        <v>0</v>
      </c>
      <c r="AC146" s="86">
        <f t="shared" si="79"/>
        <v>0</v>
      </c>
      <c r="AD146" s="87">
        <f t="shared" si="80"/>
        <v>0</v>
      </c>
      <c r="AE146" s="88">
        <f t="shared" si="81"/>
        <v>0</v>
      </c>
      <c r="AF146" s="88">
        <f t="shared" si="82"/>
        <v>0</v>
      </c>
      <c r="AG146" s="49" t="s">
        <v>228</v>
      </c>
      <c r="AH146" s="49" t="s">
        <v>126</v>
      </c>
      <c r="AI146" s="50"/>
      <c r="AJ146" s="46"/>
      <c r="AK146" s="46"/>
      <c r="AL146" s="46"/>
      <c r="AM146" s="51">
        <f>IF($AL146=4,VLOOKUP($AR146,'Loyalty Incentive v1'!$L$3:$Q$15,2,FALSE),
IF($AL146=3,VLOOKUP($AR146,'Loyalty Incentive v1'!$L$3:$Q$15,3,FALSE),
IF($AL146=2,VLOOKUP($AR146,'Loyalty Incentive v1'!$L$3:$Q$15,4,FALSE),
IF($AL146=1,VLOOKUP($AR146,'Loyalty Incentive v1'!$L$3:$Q$15,5,FALSE),
IF($AL146=0,VLOOKUP($AR146,'Loyalty Incentive v1'!$L$3:$Q$15,6,FALSE),0)))))</f>
        <v>0</v>
      </c>
      <c r="AN146" s="51">
        <f>IFERROR(IF(I146&gt;="1",AM146,VLOOKUP(VALUE(I146),'Loyalty - Effec - 15July'!$I$5:$J$16,2,0)*AM146),0)</f>
        <v>0</v>
      </c>
      <c r="AO146" s="51">
        <v>0</v>
      </c>
      <c r="AP146" s="51">
        <f t="shared" si="83"/>
        <v>0</v>
      </c>
      <c r="AQ146" s="46" t="str">
        <f t="shared" si="95"/>
        <v>No</v>
      </c>
      <c r="AR146" s="46" t="str">
        <f t="shared" si="96"/>
        <v>AE2</v>
      </c>
      <c r="AS146" s="46" t="b">
        <f t="shared" si="97"/>
        <v>1</v>
      </c>
      <c r="AT146" s="82">
        <f t="shared" si="98"/>
        <v>0</v>
      </c>
      <c r="AU146" s="82">
        <f t="shared" si="84"/>
        <v>0</v>
      </c>
      <c r="AV146" s="82">
        <f t="shared" si="85"/>
        <v>0</v>
      </c>
      <c r="AW146" s="82">
        <f t="shared" si="86"/>
        <v>0</v>
      </c>
      <c r="AX146" s="85"/>
      <c r="AY146" s="82">
        <f t="shared" si="87"/>
        <v>0</v>
      </c>
      <c r="AZ146" s="82">
        <f t="shared" si="88"/>
        <v>0</v>
      </c>
      <c r="BA146" s="82">
        <f t="shared" si="89"/>
        <v>0</v>
      </c>
      <c r="BB146" s="83">
        <v>0</v>
      </c>
      <c r="BC146" s="83">
        <v>0</v>
      </c>
      <c r="BD146" s="83">
        <v>0</v>
      </c>
      <c r="BE146" s="84">
        <f>ROUND((IF(($AT146&lt;=700000),0,IF(((VLOOKUP($AR146,'Loyalty - Effec - 15July'!$B$5:$C$17,2,0)*$AT146)&lt;=120000),(VLOOKUP($AR146,'Loyalty - Effec - 15July'!$B$5:$C$17,2,0)*$AT146),120000))),0)</f>
        <v>0</v>
      </c>
      <c r="BF146" s="84">
        <f>ROUND(VLOOKUP($AR146,'Loyalty - Effec - 15July'!$B$5:$D$17,3,0)*$AT146,0)</f>
        <v>0</v>
      </c>
      <c r="BG146" s="85">
        <f t="shared" si="90"/>
        <v>0</v>
      </c>
      <c r="BH146" s="81">
        <f t="shared" si="91"/>
        <v>0</v>
      </c>
      <c r="BI146" s="85">
        <f t="shared" si="92"/>
        <v>0</v>
      </c>
      <c r="BJ146" s="85">
        <f t="shared" si="93"/>
        <v>0</v>
      </c>
      <c r="BK146" s="85">
        <f t="shared" si="94"/>
        <v>0</v>
      </c>
      <c r="BL146" s="85">
        <f t="shared" si="99"/>
        <v>0</v>
      </c>
      <c r="BM146" s="85">
        <f t="shared" si="100"/>
        <v>0</v>
      </c>
      <c r="BN146" s="85">
        <f t="shared" si="101"/>
        <v>0</v>
      </c>
      <c r="BO146" s="52" t="s">
        <v>85</v>
      </c>
      <c r="BP146" s="46"/>
      <c r="BQ146" s="46"/>
      <c r="BR146" s="47">
        <f t="shared" si="104"/>
        <v>0</v>
      </c>
      <c r="BU146" s="47">
        <f t="shared" si="103"/>
        <v>0</v>
      </c>
      <c r="BV146" s="53" t="s">
        <v>375</v>
      </c>
      <c r="BW146" s="53" t="s">
        <v>932</v>
      </c>
      <c r="BX146" s="53" t="s">
        <v>376</v>
      </c>
      <c r="BY146" s="53"/>
      <c r="BZ146" s="53"/>
    </row>
    <row r="147" spans="1:79">
      <c r="A147" s="42" t="s">
        <v>377</v>
      </c>
      <c r="B147" s="28" t="s">
        <v>79</v>
      </c>
      <c r="C147" s="28" t="s">
        <v>80</v>
      </c>
      <c r="D147" s="28" t="s">
        <v>932</v>
      </c>
      <c r="E147" s="43" t="s">
        <v>82</v>
      </c>
      <c r="F147" s="28" t="s">
        <v>901</v>
      </c>
      <c r="G147" s="44" t="s">
        <v>378</v>
      </c>
      <c r="H147" s="45">
        <v>44629</v>
      </c>
      <c r="I147" s="46" t="s">
        <v>993</v>
      </c>
      <c r="J147" s="28">
        <v>0</v>
      </c>
      <c r="K147" s="28" t="s">
        <v>413</v>
      </c>
      <c r="L147" s="28" t="s">
        <v>875</v>
      </c>
      <c r="M147" s="28" t="s">
        <v>0</v>
      </c>
      <c r="N147" s="28" t="str">
        <f t="shared" si="71"/>
        <v>AE2</v>
      </c>
      <c r="O147" s="81"/>
      <c r="P147" s="81">
        <f t="shared" si="72"/>
        <v>0</v>
      </c>
      <c r="Q147" s="81">
        <f t="shared" si="73"/>
        <v>0</v>
      </c>
      <c r="R147" s="81">
        <f t="shared" si="74"/>
        <v>0</v>
      </c>
      <c r="S147" s="81"/>
      <c r="T147" s="82">
        <f t="shared" si="75"/>
        <v>0</v>
      </c>
      <c r="U147" s="82">
        <f t="shared" si="76"/>
        <v>0</v>
      </c>
      <c r="V147" s="82">
        <f t="shared" si="77"/>
        <v>0</v>
      </c>
      <c r="W147" s="83">
        <v>0</v>
      </c>
      <c r="X147" s="83">
        <v>0</v>
      </c>
      <c r="Y147" s="83">
        <v>0</v>
      </c>
      <c r="Z147" s="84">
        <f>ROUND((IF(($O147&lt;=700000),0,IF(((VLOOKUP($M147,'Loyalty - Effec - 15July'!$B$5:$C$17,2,0)*$O147)&lt;=120000),(VLOOKUP($M147,'Loyalty - Effec - 15July'!$B$5:$C$17,2,0)*$O147),120000))),0)</f>
        <v>0</v>
      </c>
      <c r="AA147" s="84">
        <f>ROUND(VLOOKUP($M147,'Loyalty - Effec - 15July'!$B$5:$D$17,3,0)*$O147,0)</f>
        <v>0</v>
      </c>
      <c r="AB147" s="85">
        <f t="shared" si="78"/>
        <v>0</v>
      </c>
      <c r="AC147" s="86">
        <f t="shared" si="79"/>
        <v>0</v>
      </c>
      <c r="AD147" s="87">
        <f t="shared" si="80"/>
        <v>0</v>
      </c>
      <c r="AE147" s="88">
        <f t="shared" si="81"/>
        <v>0</v>
      </c>
      <c r="AF147" s="88">
        <f t="shared" si="82"/>
        <v>0</v>
      </c>
      <c r="AG147" s="49" t="s">
        <v>176</v>
      </c>
      <c r="AH147" s="49" t="s">
        <v>200</v>
      </c>
      <c r="AI147" s="50"/>
      <c r="AJ147" s="46"/>
      <c r="AK147" s="46"/>
      <c r="AL147" s="46"/>
      <c r="AM147" s="51">
        <f>IF($AL147=4,VLOOKUP($AR147,'Loyalty Incentive v1'!$L$3:$Q$15,2,FALSE),
IF($AL147=3,VLOOKUP($AR147,'Loyalty Incentive v1'!$L$3:$Q$15,3,FALSE),
IF($AL147=2,VLOOKUP($AR147,'Loyalty Incentive v1'!$L$3:$Q$15,4,FALSE),
IF($AL147=1,VLOOKUP($AR147,'Loyalty Incentive v1'!$L$3:$Q$15,5,FALSE),
IF($AL147=0,VLOOKUP($AR147,'Loyalty Incentive v1'!$L$3:$Q$15,6,FALSE),0)))))</f>
        <v>0</v>
      </c>
      <c r="AN147" s="51">
        <f>IFERROR(IF(I147&gt;="1",AM147,VLOOKUP(VALUE(I147),'Loyalty - Effec - 15July'!$I$5:$J$16,2,0)*AM147),0)</f>
        <v>0</v>
      </c>
      <c r="AO147" s="51">
        <v>0</v>
      </c>
      <c r="AP147" s="51">
        <f t="shared" si="83"/>
        <v>0</v>
      </c>
      <c r="AQ147" s="46" t="str">
        <f t="shared" si="95"/>
        <v>No</v>
      </c>
      <c r="AR147" s="46" t="str">
        <f t="shared" si="96"/>
        <v>AE2</v>
      </c>
      <c r="AS147" s="46" t="b">
        <f t="shared" si="97"/>
        <v>1</v>
      </c>
      <c r="AT147" s="82">
        <f t="shared" si="98"/>
        <v>0</v>
      </c>
      <c r="AU147" s="82">
        <f t="shared" si="84"/>
        <v>0</v>
      </c>
      <c r="AV147" s="82">
        <f t="shared" si="85"/>
        <v>0</v>
      </c>
      <c r="AW147" s="82">
        <f t="shared" si="86"/>
        <v>0</v>
      </c>
      <c r="AX147" s="85"/>
      <c r="AY147" s="82">
        <f t="shared" si="87"/>
        <v>0</v>
      </c>
      <c r="AZ147" s="82">
        <f t="shared" si="88"/>
        <v>0</v>
      </c>
      <c r="BA147" s="82">
        <f t="shared" si="89"/>
        <v>0</v>
      </c>
      <c r="BB147" s="83">
        <v>0</v>
      </c>
      <c r="BC147" s="83">
        <v>0</v>
      </c>
      <c r="BD147" s="83">
        <v>0</v>
      </c>
      <c r="BE147" s="84">
        <f>ROUND((IF(($AT147&lt;=700000),0,IF(((VLOOKUP($AR147,'Loyalty - Effec - 15July'!$B$5:$C$17,2,0)*$AT147)&lt;=120000),(VLOOKUP($AR147,'Loyalty - Effec - 15July'!$B$5:$C$17,2,0)*$AT147),120000))),0)</f>
        <v>0</v>
      </c>
      <c r="BF147" s="84">
        <f>ROUND(VLOOKUP($AR147,'Loyalty - Effec - 15July'!$B$5:$D$17,3,0)*$AT147,0)</f>
        <v>0</v>
      </c>
      <c r="BG147" s="85">
        <f t="shared" si="90"/>
        <v>0</v>
      </c>
      <c r="BH147" s="81">
        <f t="shared" si="91"/>
        <v>0</v>
      </c>
      <c r="BI147" s="85">
        <f t="shared" si="92"/>
        <v>0</v>
      </c>
      <c r="BJ147" s="85">
        <f t="shared" si="93"/>
        <v>0</v>
      </c>
      <c r="BK147" s="85">
        <f t="shared" si="94"/>
        <v>0</v>
      </c>
      <c r="BL147" s="85">
        <f t="shared" si="99"/>
        <v>0</v>
      </c>
      <c r="BM147" s="85">
        <f t="shared" si="100"/>
        <v>0</v>
      </c>
      <c r="BN147" s="85">
        <f t="shared" si="101"/>
        <v>0</v>
      </c>
      <c r="BO147" s="52" t="s">
        <v>85</v>
      </c>
      <c r="BP147" s="46"/>
      <c r="BQ147" s="46"/>
      <c r="BR147" s="47">
        <f t="shared" ref="BR147:BR151" si="105">BG147-AB147</f>
        <v>0</v>
      </c>
      <c r="BU147" s="47">
        <f t="shared" si="103"/>
        <v>0</v>
      </c>
      <c r="BV147" s="53" t="s">
        <v>377</v>
      </c>
      <c r="BW147" s="53" t="s">
        <v>932</v>
      </c>
      <c r="BX147" s="53" t="s">
        <v>378</v>
      </c>
      <c r="BY147" s="53"/>
      <c r="BZ147" s="53"/>
    </row>
    <row r="148" spans="1:79">
      <c r="A148" s="42" t="s">
        <v>379</v>
      </c>
      <c r="B148" s="28" t="s">
        <v>79</v>
      </c>
      <c r="C148" s="28" t="s">
        <v>80</v>
      </c>
      <c r="D148" s="28" t="s">
        <v>932</v>
      </c>
      <c r="E148" s="43" t="s">
        <v>82</v>
      </c>
      <c r="F148" s="28" t="s">
        <v>901</v>
      </c>
      <c r="G148" s="44" t="s">
        <v>380</v>
      </c>
      <c r="H148" s="45">
        <v>44629</v>
      </c>
      <c r="I148" s="46" t="s">
        <v>993</v>
      </c>
      <c r="J148" s="28">
        <v>0</v>
      </c>
      <c r="K148" s="28" t="s">
        <v>413</v>
      </c>
      <c r="L148" s="28" t="s">
        <v>875</v>
      </c>
      <c r="M148" s="28" t="s">
        <v>0</v>
      </c>
      <c r="N148" s="28" t="str">
        <f t="shared" si="71"/>
        <v>AE2</v>
      </c>
      <c r="O148" s="81"/>
      <c r="P148" s="81">
        <f t="shared" si="72"/>
        <v>0</v>
      </c>
      <c r="Q148" s="81">
        <f t="shared" si="73"/>
        <v>0</v>
      </c>
      <c r="R148" s="81">
        <f t="shared" si="74"/>
        <v>0</v>
      </c>
      <c r="S148" s="81"/>
      <c r="T148" s="82">
        <f t="shared" si="75"/>
        <v>0</v>
      </c>
      <c r="U148" s="82">
        <f t="shared" si="76"/>
        <v>0</v>
      </c>
      <c r="V148" s="82">
        <f t="shared" si="77"/>
        <v>0</v>
      </c>
      <c r="W148" s="83">
        <v>0</v>
      </c>
      <c r="X148" s="83">
        <v>0</v>
      </c>
      <c r="Y148" s="83">
        <v>0</v>
      </c>
      <c r="Z148" s="84">
        <f>ROUND((IF(($O148&lt;=700000),0,IF(((VLOOKUP($M148,'Loyalty - Effec - 15July'!$B$5:$C$17,2,0)*$O148)&lt;=120000),(VLOOKUP($M148,'Loyalty - Effec - 15July'!$B$5:$C$17,2,0)*$O148),120000))),0)</f>
        <v>0</v>
      </c>
      <c r="AA148" s="84">
        <f>ROUND(VLOOKUP($M148,'Loyalty - Effec - 15July'!$B$5:$D$17,3,0)*$O148,0)</f>
        <v>0</v>
      </c>
      <c r="AB148" s="85">
        <f t="shared" si="78"/>
        <v>0</v>
      </c>
      <c r="AC148" s="86">
        <f t="shared" si="79"/>
        <v>0</v>
      </c>
      <c r="AD148" s="87">
        <f t="shared" si="80"/>
        <v>0</v>
      </c>
      <c r="AE148" s="88">
        <f t="shared" si="81"/>
        <v>0</v>
      </c>
      <c r="AF148" s="88">
        <f t="shared" si="82"/>
        <v>0</v>
      </c>
      <c r="AG148" s="49" t="s">
        <v>919</v>
      </c>
      <c r="AH148" s="49" t="s">
        <v>120</v>
      </c>
      <c r="AI148" s="50"/>
      <c r="AJ148" s="46"/>
      <c r="AK148" s="46"/>
      <c r="AL148" s="46"/>
      <c r="AM148" s="51">
        <f>IF($AL148=4,VLOOKUP($AR148,'Loyalty Incentive v1'!$L$3:$Q$15,2,FALSE),
IF($AL148=3,VLOOKUP($AR148,'Loyalty Incentive v1'!$L$3:$Q$15,3,FALSE),
IF($AL148=2,VLOOKUP($AR148,'Loyalty Incentive v1'!$L$3:$Q$15,4,FALSE),
IF($AL148=1,VLOOKUP($AR148,'Loyalty Incentive v1'!$L$3:$Q$15,5,FALSE),
IF($AL148=0,VLOOKUP($AR148,'Loyalty Incentive v1'!$L$3:$Q$15,6,FALSE),0)))))</f>
        <v>0</v>
      </c>
      <c r="AN148" s="51">
        <f>IFERROR(IF(I148&gt;="1",AM148,VLOOKUP(VALUE(I148),'Loyalty - Effec - 15July'!$I$5:$J$16,2,0)*AM148),0)</f>
        <v>0</v>
      </c>
      <c r="AO148" s="51">
        <v>0</v>
      </c>
      <c r="AP148" s="51">
        <f t="shared" si="83"/>
        <v>0</v>
      </c>
      <c r="AQ148" s="46" t="str">
        <f t="shared" si="95"/>
        <v>No</v>
      </c>
      <c r="AR148" s="46" t="str">
        <f t="shared" si="96"/>
        <v>AE2</v>
      </c>
      <c r="AS148" s="46" t="b">
        <f t="shared" si="97"/>
        <v>1</v>
      </c>
      <c r="AT148" s="82">
        <f t="shared" si="98"/>
        <v>0</v>
      </c>
      <c r="AU148" s="82">
        <f t="shared" si="84"/>
        <v>0</v>
      </c>
      <c r="AV148" s="82">
        <f t="shared" si="85"/>
        <v>0</v>
      </c>
      <c r="AW148" s="82">
        <f t="shared" si="86"/>
        <v>0</v>
      </c>
      <c r="AX148" s="85"/>
      <c r="AY148" s="82">
        <f t="shared" si="87"/>
        <v>0</v>
      </c>
      <c r="AZ148" s="82">
        <f t="shared" si="88"/>
        <v>0</v>
      </c>
      <c r="BA148" s="82">
        <f t="shared" si="89"/>
        <v>0</v>
      </c>
      <c r="BB148" s="83">
        <v>0</v>
      </c>
      <c r="BC148" s="83">
        <v>0</v>
      </c>
      <c r="BD148" s="83">
        <v>0</v>
      </c>
      <c r="BE148" s="84">
        <f>ROUND((IF(($AT148&lt;=700000),0,IF(((VLOOKUP($AR148,'Loyalty - Effec - 15July'!$B$5:$C$17,2,0)*$AT148)&lt;=120000),(VLOOKUP($AR148,'Loyalty - Effec - 15July'!$B$5:$C$17,2,0)*$AT148),120000))),0)</f>
        <v>0</v>
      </c>
      <c r="BF148" s="84">
        <f>ROUND(VLOOKUP($AR148,'Loyalty - Effec - 15July'!$B$5:$D$17,3,0)*$AT148,0)</f>
        <v>0</v>
      </c>
      <c r="BG148" s="85">
        <f t="shared" si="90"/>
        <v>0</v>
      </c>
      <c r="BH148" s="81">
        <f t="shared" si="91"/>
        <v>0</v>
      </c>
      <c r="BI148" s="85">
        <f t="shared" si="92"/>
        <v>0</v>
      </c>
      <c r="BJ148" s="85">
        <f t="shared" si="93"/>
        <v>0</v>
      </c>
      <c r="BK148" s="85">
        <f t="shared" si="94"/>
        <v>0</v>
      </c>
      <c r="BL148" s="85">
        <f t="shared" si="99"/>
        <v>0</v>
      </c>
      <c r="BM148" s="85">
        <f t="shared" si="100"/>
        <v>0</v>
      </c>
      <c r="BN148" s="85">
        <f t="shared" si="101"/>
        <v>0</v>
      </c>
      <c r="BO148" s="52" t="s">
        <v>85</v>
      </c>
      <c r="BP148" s="46"/>
      <c r="BQ148" s="46"/>
      <c r="BR148" s="47">
        <f t="shared" si="105"/>
        <v>0</v>
      </c>
      <c r="BU148" s="47">
        <f t="shared" si="103"/>
        <v>0</v>
      </c>
      <c r="BV148" s="53" t="s">
        <v>379</v>
      </c>
      <c r="BW148" s="53" t="s">
        <v>932</v>
      </c>
      <c r="BX148" s="53" t="s">
        <v>380</v>
      </c>
      <c r="BY148" s="53"/>
      <c r="BZ148" s="53"/>
    </row>
    <row r="149" spans="1:79">
      <c r="A149" s="42" t="s">
        <v>382</v>
      </c>
      <c r="B149" s="28" t="s">
        <v>79</v>
      </c>
      <c r="C149" s="28" t="s">
        <v>80</v>
      </c>
      <c r="D149" s="28" t="s">
        <v>932</v>
      </c>
      <c r="E149" s="43" t="s">
        <v>82</v>
      </c>
      <c r="F149" s="28" t="s">
        <v>902</v>
      </c>
      <c r="G149" s="44" t="s">
        <v>383</v>
      </c>
      <c r="H149" s="45">
        <v>44634</v>
      </c>
      <c r="I149" s="46" t="s">
        <v>993</v>
      </c>
      <c r="J149" s="28">
        <v>0</v>
      </c>
      <c r="K149" s="28" t="s">
        <v>285</v>
      </c>
      <c r="L149" s="28" t="s">
        <v>285</v>
      </c>
      <c r="M149" s="28" t="s">
        <v>3</v>
      </c>
      <c r="N149" s="28" t="str">
        <f t="shared" si="71"/>
        <v>AE5</v>
      </c>
      <c r="O149" s="81"/>
      <c r="P149" s="81">
        <f t="shared" si="72"/>
        <v>0</v>
      </c>
      <c r="Q149" s="81">
        <f t="shared" si="73"/>
        <v>0</v>
      </c>
      <c r="R149" s="81">
        <f t="shared" si="74"/>
        <v>0</v>
      </c>
      <c r="S149" s="81"/>
      <c r="T149" s="82">
        <f t="shared" si="75"/>
        <v>0</v>
      </c>
      <c r="U149" s="82">
        <f t="shared" si="76"/>
        <v>0</v>
      </c>
      <c r="V149" s="82">
        <f t="shared" si="77"/>
        <v>0</v>
      </c>
      <c r="W149" s="83">
        <v>0</v>
      </c>
      <c r="X149" s="83">
        <v>0</v>
      </c>
      <c r="Y149" s="83">
        <v>0</v>
      </c>
      <c r="Z149" s="84">
        <f>ROUND((IF(($O149&lt;=700000),0,IF(((VLOOKUP($M149,'Loyalty - Effec - 15July'!$B$5:$C$17,2,0)*$O149)&lt;=120000),(VLOOKUP($M149,'Loyalty - Effec - 15July'!$B$5:$C$17,2,0)*$O149),120000))),0)</f>
        <v>0</v>
      </c>
      <c r="AA149" s="84">
        <f>ROUND(VLOOKUP($M149,'Loyalty - Effec - 15July'!$B$5:$D$17,3,0)*$O149,0)</f>
        <v>0</v>
      </c>
      <c r="AB149" s="85">
        <f t="shared" si="78"/>
        <v>0</v>
      </c>
      <c r="AC149" s="86">
        <f t="shared" si="79"/>
        <v>0</v>
      </c>
      <c r="AD149" s="87">
        <f t="shared" si="80"/>
        <v>0</v>
      </c>
      <c r="AE149" s="88">
        <f t="shared" si="81"/>
        <v>0</v>
      </c>
      <c r="AF149" s="88">
        <f t="shared" si="82"/>
        <v>0</v>
      </c>
      <c r="AG149" s="49" t="s">
        <v>109</v>
      </c>
      <c r="AH149" s="49" t="s">
        <v>918</v>
      </c>
      <c r="AI149" s="50"/>
      <c r="AJ149" s="46"/>
      <c r="AK149" s="46"/>
      <c r="AL149" s="46"/>
      <c r="AM149" s="51">
        <f>IF($AL149=4,VLOOKUP($AR149,'Loyalty Incentive v1'!$L$3:$Q$15,2,FALSE),
IF($AL149=3,VLOOKUP($AR149,'Loyalty Incentive v1'!$L$3:$Q$15,3,FALSE),
IF($AL149=2,VLOOKUP($AR149,'Loyalty Incentive v1'!$L$3:$Q$15,4,FALSE),
IF($AL149=1,VLOOKUP($AR149,'Loyalty Incentive v1'!$L$3:$Q$15,5,FALSE),
IF($AL149=0,VLOOKUP($AR149,'Loyalty Incentive v1'!$L$3:$Q$15,6,FALSE),0)))))</f>
        <v>0</v>
      </c>
      <c r="AN149" s="51">
        <f>IFERROR(IF(I149&gt;="1",AM149,VLOOKUP(VALUE(I149),'Loyalty - Effec - 15July'!$I$5:$J$16,2,0)*AM149),0)</f>
        <v>0</v>
      </c>
      <c r="AO149" s="51">
        <v>0</v>
      </c>
      <c r="AP149" s="51">
        <f t="shared" si="83"/>
        <v>0</v>
      </c>
      <c r="AQ149" s="46" t="str">
        <f t="shared" si="95"/>
        <v>No</v>
      </c>
      <c r="AR149" s="46" t="str">
        <f t="shared" si="96"/>
        <v>AE5</v>
      </c>
      <c r="AS149" s="46" t="b">
        <f t="shared" si="97"/>
        <v>1</v>
      </c>
      <c r="AT149" s="82">
        <f t="shared" si="98"/>
        <v>0</v>
      </c>
      <c r="AU149" s="82">
        <f t="shared" si="84"/>
        <v>0</v>
      </c>
      <c r="AV149" s="82">
        <f t="shared" si="85"/>
        <v>0</v>
      </c>
      <c r="AW149" s="82">
        <f t="shared" si="86"/>
        <v>0</v>
      </c>
      <c r="AX149" s="85"/>
      <c r="AY149" s="82">
        <f t="shared" si="87"/>
        <v>0</v>
      </c>
      <c r="AZ149" s="82">
        <f t="shared" si="88"/>
        <v>0</v>
      </c>
      <c r="BA149" s="82">
        <f t="shared" si="89"/>
        <v>0</v>
      </c>
      <c r="BB149" s="83">
        <v>0</v>
      </c>
      <c r="BC149" s="83">
        <v>0</v>
      </c>
      <c r="BD149" s="83">
        <v>0</v>
      </c>
      <c r="BE149" s="84">
        <f>ROUND((IF(($AT149&lt;=700000),0,IF(((VLOOKUP($AR149,'Loyalty - Effec - 15July'!$B$5:$C$17,2,0)*$AT149)&lt;=120000),(VLOOKUP($AR149,'Loyalty - Effec - 15July'!$B$5:$C$17,2,0)*$AT149),120000))),0)</f>
        <v>0</v>
      </c>
      <c r="BF149" s="84">
        <f>ROUND(VLOOKUP($AR149,'Loyalty - Effec - 15July'!$B$5:$D$17,3,0)*$AT149,0)</f>
        <v>0</v>
      </c>
      <c r="BG149" s="85">
        <f t="shared" si="90"/>
        <v>0</v>
      </c>
      <c r="BH149" s="81">
        <f t="shared" si="91"/>
        <v>0</v>
      </c>
      <c r="BI149" s="85">
        <f t="shared" si="92"/>
        <v>0</v>
      </c>
      <c r="BJ149" s="85">
        <f t="shared" si="93"/>
        <v>0</v>
      </c>
      <c r="BK149" s="85">
        <f t="shared" si="94"/>
        <v>0</v>
      </c>
      <c r="BL149" s="85">
        <f t="shared" si="99"/>
        <v>0</v>
      </c>
      <c r="BM149" s="85">
        <f t="shared" si="100"/>
        <v>0</v>
      </c>
      <c r="BN149" s="85">
        <f t="shared" si="101"/>
        <v>0</v>
      </c>
      <c r="BO149" s="52" t="s">
        <v>85</v>
      </c>
      <c r="BP149" s="46"/>
      <c r="BQ149" s="46"/>
      <c r="BR149" s="47">
        <f t="shared" si="105"/>
        <v>0</v>
      </c>
      <c r="BU149" s="47">
        <f t="shared" si="103"/>
        <v>0</v>
      </c>
      <c r="BV149" s="53" t="s">
        <v>382</v>
      </c>
      <c r="BW149" s="53" t="s">
        <v>932</v>
      </c>
      <c r="BX149" s="53" t="s">
        <v>383</v>
      </c>
      <c r="BY149" s="53"/>
      <c r="BZ149" s="53"/>
    </row>
    <row r="150" spans="1:79">
      <c r="A150" s="42" t="s">
        <v>384</v>
      </c>
      <c r="B150" s="28" t="s">
        <v>79</v>
      </c>
      <c r="C150" s="28" t="s">
        <v>80</v>
      </c>
      <c r="D150" s="28" t="s">
        <v>932</v>
      </c>
      <c r="E150" s="43" t="s">
        <v>82</v>
      </c>
      <c r="F150" s="28" t="s">
        <v>902</v>
      </c>
      <c r="G150" s="44" t="s">
        <v>385</v>
      </c>
      <c r="H150" s="45">
        <v>44634</v>
      </c>
      <c r="I150" s="46" t="s">
        <v>993</v>
      </c>
      <c r="J150" s="28">
        <v>0</v>
      </c>
      <c r="K150" s="28" t="s">
        <v>417</v>
      </c>
      <c r="L150" s="28" t="s">
        <v>872</v>
      </c>
      <c r="M150" s="28" t="s">
        <v>0</v>
      </c>
      <c r="N150" s="28" t="str">
        <f t="shared" si="71"/>
        <v>AE2</v>
      </c>
      <c r="O150" s="81"/>
      <c r="P150" s="81">
        <f t="shared" si="72"/>
        <v>0</v>
      </c>
      <c r="Q150" s="81">
        <f t="shared" si="73"/>
        <v>0</v>
      </c>
      <c r="R150" s="81">
        <f t="shared" si="74"/>
        <v>0</v>
      </c>
      <c r="S150" s="81"/>
      <c r="T150" s="82">
        <f t="shared" si="75"/>
        <v>0</v>
      </c>
      <c r="U150" s="82">
        <f t="shared" si="76"/>
        <v>0</v>
      </c>
      <c r="V150" s="82">
        <f t="shared" si="77"/>
        <v>0</v>
      </c>
      <c r="W150" s="83">
        <v>0</v>
      </c>
      <c r="X150" s="83">
        <v>0</v>
      </c>
      <c r="Y150" s="83">
        <v>0</v>
      </c>
      <c r="Z150" s="84">
        <f>ROUND((IF(($O150&lt;=700000),0,IF(((VLOOKUP($M150,'Loyalty - Effec - 15July'!$B$5:$C$17,2,0)*$O150)&lt;=120000),(VLOOKUP($M150,'Loyalty - Effec - 15July'!$B$5:$C$17,2,0)*$O150),120000))),0)</f>
        <v>0</v>
      </c>
      <c r="AA150" s="84">
        <f>ROUND(VLOOKUP($M150,'Loyalty - Effec - 15July'!$B$5:$D$17,3,0)*$O150,0)</f>
        <v>0</v>
      </c>
      <c r="AB150" s="85">
        <f t="shared" si="78"/>
        <v>0</v>
      </c>
      <c r="AC150" s="86">
        <f t="shared" si="79"/>
        <v>0</v>
      </c>
      <c r="AD150" s="87">
        <f t="shared" si="80"/>
        <v>0</v>
      </c>
      <c r="AE150" s="88">
        <f t="shared" si="81"/>
        <v>0</v>
      </c>
      <c r="AF150" s="88">
        <f t="shared" si="82"/>
        <v>0</v>
      </c>
      <c r="AG150" s="49" t="s">
        <v>165</v>
      </c>
      <c r="AH150" s="49" t="s">
        <v>120</v>
      </c>
      <c r="AI150" s="50"/>
      <c r="AJ150" s="46"/>
      <c r="AK150" s="46"/>
      <c r="AL150" s="46"/>
      <c r="AM150" s="51">
        <f>IF($AL150=4,VLOOKUP($AR150,'Loyalty Incentive v1'!$L$3:$Q$15,2,FALSE),
IF($AL150=3,VLOOKUP($AR150,'Loyalty Incentive v1'!$L$3:$Q$15,3,FALSE),
IF($AL150=2,VLOOKUP($AR150,'Loyalty Incentive v1'!$L$3:$Q$15,4,FALSE),
IF($AL150=1,VLOOKUP($AR150,'Loyalty Incentive v1'!$L$3:$Q$15,5,FALSE),
IF($AL150=0,VLOOKUP($AR150,'Loyalty Incentive v1'!$L$3:$Q$15,6,FALSE),0)))))</f>
        <v>0</v>
      </c>
      <c r="AN150" s="51">
        <f>IFERROR(IF(I150&gt;="1",AM150,VLOOKUP(VALUE(I150),'Loyalty - Effec - 15July'!$I$5:$J$16,2,0)*AM150),0)</f>
        <v>0</v>
      </c>
      <c r="AO150" s="51">
        <v>0</v>
      </c>
      <c r="AP150" s="51">
        <f t="shared" si="83"/>
        <v>0</v>
      </c>
      <c r="AQ150" s="46" t="str">
        <f t="shared" si="95"/>
        <v>No</v>
      </c>
      <c r="AR150" s="46" t="str">
        <f t="shared" si="96"/>
        <v>AE2</v>
      </c>
      <c r="AS150" s="46" t="b">
        <f t="shared" si="97"/>
        <v>1</v>
      </c>
      <c r="AT150" s="82">
        <f t="shared" si="98"/>
        <v>0</v>
      </c>
      <c r="AU150" s="82">
        <f t="shared" si="84"/>
        <v>0</v>
      </c>
      <c r="AV150" s="82">
        <f t="shared" si="85"/>
        <v>0</v>
      </c>
      <c r="AW150" s="82">
        <f t="shared" si="86"/>
        <v>0</v>
      </c>
      <c r="AX150" s="85"/>
      <c r="AY150" s="82">
        <f t="shared" si="87"/>
        <v>0</v>
      </c>
      <c r="AZ150" s="82">
        <f t="shared" si="88"/>
        <v>0</v>
      </c>
      <c r="BA150" s="82">
        <f t="shared" si="89"/>
        <v>0</v>
      </c>
      <c r="BB150" s="83">
        <v>0</v>
      </c>
      <c r="BC150" s="83">
        <v>0</v>
      </c>
      <c r="BD150" s="83">
        <v>0</v>
      </c>
      <c r="BE150" s="84">
        <f>ROUND((IF(($AT150&lt;=700000),0,IF(((VLOOKUP($AR150,'Loyalty - Effec - 15July'!$B$5:$C$17,2,0)*$AT150)&lt;=120000),(VLOOKUP($AR150,'Loyalty - Effec - 15July'!$B$5:$C$17,2,0)*$AT150),120000))),0)</f>
        <v>0</v>
      </c>
      <c r="BF150" s="84">
        <f>ROUND(VLOOKUP($AR150,'Loyalty - Effec - 15July'!$B$5:$D$17,3,0)*$AT150,0)</f>
        <v>0</v>
      </c>
      <c r="BG150" s="85">
        <f t="shared" si="90"/>
        <v>0</v>
      </c>
      <c r="BH150" s="81">
        <f t="shared" si="91"/>
        <v>0</v>
      </c>
      <c r="BI150" s="85">
        <f t="shared" si="92"/>
        <v>0</v>
      </c>
      <c r="BJ150" s="85">
        <f t="shared" si="93"/>
        <v>0</v>
      </c>
      <c r="BK150" s="85">
        <f t="shared" si="94"/>
        <v>0</v>
      </c>
      <c r="BL150" s="85">
        <f t="shared" si="99"/>
        <v>0</v>
      </c>
      <c r="BM150" s="85">
        <f t="shared" si="100"/>
        <v>0</v>
      </c>
      <c r="BN150" s="85">
        <f t="shared" si="101"/>
        <v>0</v>
      </c>
      <c r="BO150" s="52" t="s">
        <v>85</v>
      </c>
      <c r="BP150" s="46"/>
      <c r="BQ150" s="46"/>
      <c r="BR150" s="47">
        <f t="shared" si="105"/>
        <v>0</v>
      </c>
      <c r="BU150" s="47">
        <f t="shared" si="103"/>
        <v>0</v>
      </c>
      <c r="BV150" s="53" t="s">
        <v>384</v>
      </c>
      <c r="BW150" s="53" t="s">
        <v>932</v>
      </c>
      <c r="BX150" s="53" t="s">
        <v>385</v>
      </c>
      <c r="BY150" s="53"/>
      <c r="BZ150" s="53"/>
    </row>
    <row r="151" spans="1:79">
      <c r="A151" s="42" t="s">
        <v>386</v>
      </c>
      <c r="B151" s="28" t="s">
        <v>79</v>
      </c>
      <c r="C151" s="28" t="s">
        <v>80</v>
      </c>
      <c r="D151" s="28" t="s">
        <v>932</v>
      </c>
      <c r="E151" s="43" t="s">
        <v>82</v>
      </c>
      <c r="F151" s="28" t="s">
        <v>902</v>
      </c>
      <c r="G151" s="44" t="s">
        <v>387</v>
      </c>
      <c r="H151" s="45">
        <v>44634</v>
      </c>
      <c r="I151" s="46" t="s">
        <v>993</v>
      </c>
      <c r="J151" s="28">
        <v>0</v>
      </c>
      <c r="K151" s="28" t="s">
        <v>417</v>
      </c>
      <c r="L151" s="28" t="s">
        <v>872</v>
      </c>
      <c r="M151" s="28" t="s">
        <v>0</v>
      </c>
      <c r="N151" s="28" t="str">
        <f t="shared" si="71"/>
        <v>AE2</v>
      </c>
      <c r="O151" s="81"/>
      <c r="P151" s="81">
        <f t="shared" si="72"/>
        <v>0</v>
      </c>
      <c r="Q151" s="81">
        <f t="shared" si="73"/>
        <v>0</v>
      </c>
      <c r="R151" s="81">
        <f t="shared" si="74"/>
        <v>0</v>
      </c>
      <c r="S151" s="81"/>
      <c r="T151" s="82">
        <f t="shared" si="75"/>
        <v>0</v>
      </c>
      <c r="U151" s="82">
        <f t="shared" si="76"/>
        <v>0</v>
      </c>
      <c r="V151" s="82">
        <f t="shared" si="77"/>
        <v>0</v>
      </c>
      <c r="W151" s="83">
        <v>0</v>
      </c>
      <c r="X151" s="83">
        <v>0</v>
      </c>
      <c r="Y151" s="83">
        <v>0</v>
      </c>
      <c r="Z151" s="84">
        <f>ROUND((IF(($O151&lt;=700000),0,IF(((VLOOKUP($M151,'Loyalty - Effec - 15July'!$B$5:$C$17,2,0)*$O151)&lt;=120000),(VLOOKUP($M151,'Loyalty - Effec - 15July'!$B$5:$C$17,2,0)*$O151),120000))),0)</f>
        <v>0</v>
      </c>
      <c r="AA151" s="84">
        <f>ROUND(VLOOKUP($M151,'Loyalty - Effec - 15July'!$B$5:$D$17,3,0)*$O151,0)</f>
        <v>0</v>
      </c>
      <c r="AB151" s="85">
        <f t="shared" si="78"/>
        <v>0</v>
      </c>
      <c r="AC151" s="86">
        <f t="shared" si="79"/>
        <v>0</v>
      </c>
      <c r="AD151" s="87">
        <f t="shared" si="80"/>
        <v>0</v>
      </c>
      <c r="AE151" s="88">
        <f t="shared" si="81"/>
        <v>0</v>
      </c>
      <c r="AF151" s="88">
        <f t="shared" si="82"/>
        <v>0</v>
      </c>
      <c r="AG151" s="49" t="s">
        <v>165</v>
      </c>
      <c r="AH151" s="49" t="s">
        <v>928</v>
      </c>
      <c r="AI151" s="50"/>
      <c r="AJ151" s="46"/>
      <c r="AK151" s="46"/>
      <c r="AL151" s="46"/>
      <c r="AM151" s="51">
        <f>IF($AL151=4,VLOOKUP($AR151,'Loyalty Incentive v1'!$L$3:$Q$15,2,FALSE),
IF($AL151=3,VLOOKUP($AR151,'Loyalty Incentive v1'!$L$3:$Q$15,3,FALSE),
IF($AL151=2,VLOOKUP($AR151,'Loyalty Incentive v1'!$L$3:$Q$15,4,FALSE),
IF($AL151=1,VLOOKUP($AR151,'Loyalty Incentive v1'!$L$3:$Q$15,5,FALSE),
IF($AL151=0,VLOOKUP($AR151,'Loyalty Incentive v1'!$L$3:$Q$15,6,FALSE),0)))))</f>
        <v>0</v>
      </c>
      <c r="AN151" s="51">
        <f>IFERROR(IF(I151&gt;="1",AM151,VLOOKUP(VALUE(I151),'Loyalty - Effec - 15July'!$I$5:$J$16,2,0)*AM151),0)</f>
        <v>0</v>
      </c>
      <c r="AO151" s="51">
        <v>0</v>
      </c>
      <c r="AP151" s="51">
        <f t="shared" si="83"/>
        <v>0</v>
      </c>
      <c r="AQ151" s="46" t="str">
        <f t="shared" si="95"/>
        <v>No</v>
      </c>
      <c r="AR151" s="46" t="str">
        <f t="shared" si="96"/>
        <v>AE2</v>
      </c>
      <c r="AS151" s="46" t="b">
        <f t="shared" si="97"/>
        <v>1</v>
      </c>
      <c r="AT151" s="82">
        <f t="shared" si="98"/>
        <v>0</v>
      </c>
      <c r="AU151" s="82">
        <f t="shared" si="84"/>
        <v>0</v>
      </c>
      <c r="AV151" s="82">
        <f t="shared" si="85"/>
        <v>0</v>
      </c>
      <c r="AW151" s="82">
        <f t="shared" si="86"/>
        <v>0</v>
      </c>
      <c r="AX151" s="85"/>
      <c r="AY151" s="82">
        <f t="shared" si="87"/>
        <v>0</v>
      </c>
      <c r="AZ151" s="82">
        <f t="shared" si="88"/>
        <v>0</v>
      </c>
      <c r="BA151" s="82">
        <f t="shared" si="89"/>
        <v>0</v>
      </c>
      <c r="BB151" s="83">
        <v>0</v>
      </c>
      <c r="BC151" s="83">
        <v>0</v>
      </c>
      <c r="BD151" s="83">
        <v>0</v>
      </c>
      <c r="BE151" s="84">
        <f>ROUND((IF(($AT151&lt;=700000),0,IF(((VLOOKUP($AR151,'Loyalty - Effec - 15July'!$B$5:$C$17,2,0)*$AT151)&lt;=120000),(VLOOKUP($AR151,'Loyalty - Effec - 15July'!$B$5:$C$17,2,0)*$AT151),120000))),0)</f>
        <v>0</v>
      </c>
      <c r="BF151" s="84">
        <f>ROUND(VLOOKUP($AR151,'Loyalty - Effec - 15July'!$B$5:$D$17,3,0)*$AT151,0)</f>
        <v>0</v>
      </c>
      <c r="BG151" s="85">
        <f t="shared" si="90"/>
        <v>0</v>
      </c>
      <c r="BH151" s="81">
        <f t="shared" si="91"/>
        <v>0</v>
      </c>
      <c r="BI151" s="85">
        <f t="shared" si="92"/>
        <v>0</v>
      </c>
      <c r="BJ151" s="85">
        <f t="shared" si="93"/>
        <v>0</v>
      </c>
      <c r="BK151" s="85">
        <f t="shared" si="94"/>
        <v>0</v>
      </c>
      <c r="BL151" s="85">
        <f t="shared" si="99"/>
        <v>0</v>
      </c>
      <c r="BM151" s="85">
        <f t="shared" si="100"/>
        <v>0</v>
      </c>
      <c r="BN151" s="85">
        <f t="shared" si="101"/>
        <v>0</v>
      </c>
      <c r="BO151" s="52" t="s">
        <v>85</v>
      </c>
      <c r="BP151" s="46"/>
      <c r="BQ151" s="46"/>
      <c r="BR151" s="47">
        <f t="shared" si="105"/>
        <v>0</v>
      </c>
      <c r="BU151" s="47">
        <f t="shared" si="103"/>
        <v>0</v>
      </c>
      <c r="BV151" s="53" t="s">
        <v>386</v>
      </c>
      <c r="BW151" s="53" t="s">
        <v>932</v>
      </c>
      <c r="BX151" s="53" t="s">
        <v>387</v>
      </c>
      <c r="BY151" s="53"/>
      <c r="BZ151" s="53"/>
    </row>
    <row r="152" spans="1:79">
      <c r="A152" s="42" t="s">
        <v>388</v>
      </c>
      <c r="B152" s="28" t="s">
        <v>79</v>
      </c>
      <c r="C152" s="28" t="s">
        <v>80</v>
      </c>
      <c r="D152" s="28" t="s">
        <v>932</v>
      </c>
      <c r="E152" s="43" t="s">
        <v>82</v>
      </c>
      <c r="F152" s="28" t="s">
        <v>902</v>
      </c>
      <c r="G152" s="44" t="s">
        <v>389</v>
      </c>
      <c r="H152" s="45">
        <v>44636</v>
      </c>
      <c r="I152" s="46" t="s">
        <v>993</v>
      </c>
      <c r="J152" s="28">
        <v>6</v>
      </c>
      <c r="K152" s="28" t="s">
        <v>417</v>
      </c>
      <c r="L152" s="28" t="s">
        <v>872</v>
      </c>
      <c r="M152" s="28" t="s">
        <v>0</v>
      </c>
      <c r="N152" s="28" t="str">
        <f t="shared" si="71"/>
        <v>AE2</v>
      </c>
      <c r="O152" s="81"/>
      <c r="P152" s="81">
        <f t="shared" si="72"/>
        <v>0</v>
      </c>
      <c r="Q152" s="81">
        <f t="shared" si="73"/>
        <v>0</v>
      </c>
      <c r="R152" s="81">
        <f t="shared" si="74"/>
        <v>0</v>
      </c>
      <c r="S152" s="81"/>
      <c r="T152" s="82">
        <f t="shared" si="75"/>
        <v>0</v>
      </c>
      <c r="U152" s="82">
        <f t="shared" si="76"/>
        <v>0</v>
      </c>
      <c r="V152" s="82">
        <f t="shared" si="77"/>
        <v>0</v>
      </c>
      <c r="W152" s="83">
        <v>0</v>
      </c>
      <c r="X152" s="83">
        <v>0</v>
      </c>
      <c r="Y152" s="83">
        <v>0</v>
      </c>
      <c r="Z152" s="84">
        <f>ROUND((IF(($O152&lt;=700000),0,IF(((VLOOKUP($M152,'Loyalty - Effec - 15July'!$B$5:$C$17,2,0)*$O152)&lt;=120000),(VLOOKUP($M152,'Loyalty - Effec - 15July'!$B$5:$C$17,2,0)*$O152),120000))),0)</f>
        <v>0</v>
      </c>
      <c r="AA152" s="84">
        <f>ROUND(VLOOKUP($M152,'Loyalty - Effec - 15July'!$B$5:$D$17,3,0)*$O152,0)</f>
        <v>0</v>
      </c>
      <c r="AB152" s="85">
        <f t="shared" si="78"/>
        <v>0</v>
      </c>
      <c r="AC152" s="86">
        <f t="shared" si="79"/>
        <v>0</v>
      </c>
      <c r="AD152" s="87">
        <f t="shared" si="80"/>
        <v>0</v>
      </c>
      <c r="AE152" s="88">
        <f t="shared" si="81"/>
        <v>0</v>
      </c>
      <c r="AF152" s="88">
        <f t="shared" si="82"/>
        <v>0</v>
      </c>
      <c r="AG152" s="49" t="s">
        <v>202</v>
      </c>
      <c r="AH152" s="49" t="s">
        <v>126</v>
      </c>
      <c r="AI152" s="50"/>
      <c r="AJ152" s="46"/>
      <c r="AK152" s="46"/>
      <c r="AL152" s="46"/>
      <c r="AM152" s="51">
        <f>IF($AL152=4,VLOOKUP($AR152,'Loyalty Incentive v1'!$L$3:$Q$15,2,FALSE),
IF($AL152=3,VLOOKUP($AR152,'Loyalty Incentive v1'!$L$3:$Q$15,3,FALSE),
IF($AL152=2,VLOOKUP($AR152,'Loyalty Incentive v1'!$L$3:$Q$15,4,FALSE),
IF($AL152=1,VLOOKUP($AR152,'Loyalty Incentive v1'!$L$3:$Q$15,5,FALSE),
IF($AL152=0,VLOOKUP($AR152,'Loyalty Incentive v1'!$L$3:$Q$15,6,FALSE),0)))))</f>
        <v>0</v>
      </c>
      <c r="AN152" s="51">
        <f>IFERROR(IF(I152&gt;="1",AM152,VLOOKUP(VALUE(I152),'Loyalty - Effec - 15July'!$I$5:$J$16,2,0)*AM152),0)</f>
        <v>0</v>
      </c>
      <c r="AO152" s="51">
        <v>0</v>
      </c>
      <c r="AP152" s="51">
        <f t="shared" si="83"/>
        <v>0</v>
      </c>
      <c r="AQ152" s="46" t="str">
        <f t="shared" si="95"/>
        <v>No</v>
      </c>
      <c r="AR152" s="46" t="str">
        <f t="shared" si="96"/>
        <v>AE2</v>
      </c>
      <c r="AS152" s="46" t="b">
        <f t="shared" si="97"/>
        <v>1</v>
      </c>
      <c r="AT152" s="82">
        <f t="shared" si="98"/>
        <v>0</v>
      </c>
      <c r="AU152" s="82">
        <f t="shared" si="84"/>
        <v>0</v>
      </c>
      <c r="AV152" s="82">
        <f t="shared" si="85"/>
        <v>0</v>
      </c>
      <c r="AW152" s="82">
        <f t="shared" si="86"/>
        <v>0</v>
      </c>
      <c r="AX152" s="85"/>
      <c r="AY152" s="82">
        <f t="shared" si="87"/>
        <v>0</v>
      </c>
      <c r="AZ152" s="82">
        <f t="shared" si="88"/>
        <v>0</v>
      </c>
      <c r="BA152" s="82">
        <f t="shared" si="89"/>
        <v>0</v>
      </c>
      <c r="BB152" s="83">
        <v>0</v>
      </c>
      <c r="BC152" s="83">
        <v>0</v>
      </c>
      <c r="BD152" s="83">
        <v>0</v>
      </c>
      <c r="BE152" s="84">
        <f>ROUND((IF(($AT152&lt;=700000),0,IF(((VLOOKUP($AR152,'Loyalty - Effec - 15July'!$B$5:$C$17,2,0)*$AT152)&lt;=120000),(VLOOKUP($AR152,'Loyalty - Effec - 15July'!$B$5:$C$17,2,0)*$AT152),120000))),0)</f>
        <v>0</v>
      </c>
      <c r="BF152" s="84">
        <f>ROUND(VLOOKUP($AR152,'Loyalty - Effec - 15July'!$B$5:$D$17,3,0)*$AT152,0)</f>
        <v>0</v>
      </c>
      <c r="BG152" s="85">
        <f t="shared" si="90"/>
        <v>0</v>
      </c>
      <c r="BH152" s="81">
        <f t="shared" si="91"/>
        <v>0</v>
      </c>
      <c r="BI152" s="85">
        <f t="shared" si="92"/>
        <v>0</v>
      </c>
      <c r="BJ152" s="85">
        <f t="shared" si="93"/>
        <v>0</v>
      </c>
      <c r="BK152" s="85">
        <f t="shared" si="94"/>
        <v>0</v>
      </c>
      <c r="BL152" s="85">
        <f t="shared" si="99"/>
        <v>0</v>
      </c>
      <c r="BM152" s="85">
        <f t="shared" si="100"/>
        <v>0</v>
      </c>
      <c r="BN152" s="85">
        <f t="shared" si="101"/>
        <v>0</v>
      </c>
      <c r="BO152" s="52" t="s">
        <v>85</v>
      </c>
      <c r="BP152" s="46"/>
      <c r="BQ152" s="46"/>
      <c r="BR152" s="47">
        <f t="shared" ref="BR152:BR155" si="106">BG152-AT152</f>
        <v>0</v>
      </c>
      <c r="BU152" s="47">
        <f t="shared" si="103"/>
        <v>0</v>
      </c>
      <c r="BV152" s="53" t="s">
        <v>388</v>
      </c>
      <c r="BW152" s="53" t="s">
        <v>932</v>
      </c>
      <c r="BX152" s="53" t="s">
        <v>389</v>
      </c>
      <c r="BY152" s="53"/>
      <c r="BZ152" s="53"/>
    </row>
    <row r="153" spans="1:79">
      <c r="A153" s="42" t="s">
        <v>390</v>
      </c>
      <c r="B153" s="28" t="s">
        <v>79</v>
      </c>
      <c r="C153" s="28" t="s">
        <v>80</v>
      </c>
      <c r="D153" s="28" t="s">
        <v>932</v>
      </c>
      <c r="E153" s="43" t="s">
        <v>82</v>
      </c>
      <c r="F153" s="28" t="s">
        <v>902</v>
      </c>
      <c r="G153" s="44" t="s">
        <v>391</v>
      </c>
      <c r="H153" s="45">
        <v>44636</v>
      </c>
      <c r="I153" s="46" t="s">
        <v>993</v>
      </c>
      <c r="J153" s="28">
        <v>7</v>
      </c>
      <c r="K153" s="28" t="s">
        <v>413</v>
      </c>
      <c r="L153" s="28" t="s">
        <v>875</v>
      </c>
      <c r="M153" s="28" t="s">
        <v>0</v>
      </c>
      <c r="N153" s="28" t="str">
        <f t="shared" si="71"/>
        <v>AE2</v>
      </c>
      <c r="O153" s="81"/>
      <c r="P153" s="81">
        <f t="shared" si="72"/>
        <v>0</v>
      </c>
      <c r="Q153" s="81">
        <f t="shared" si="73"/>
        <v>0</v>
      </c>
      <c r="R153" s="81">
        <f t="shared" si="74"/>
        <v>0</v>
      </c>
      <c r="S153" s="81"/>
      <c r="T153" s="82">
        <f t="shared" si="75"/>
        <v>0</v>
      </c>
      <c r="U153" s="82">
        <f t="shared" si="76"/>
        <v>0</v>
      </c>
      <c r="V153" s="82">
        <f t="shared" si="77"/>
        <v>0</v>
      </c>
      <c r="W153" s="83">
        <v>0</v>
      </c>
      <c r="X153" s="83">
        <v>0</v>
      </c>
      <c r="Y153" s="83">
        <v>0</v>
      </c>
      <c r="Z153" s="84">
        <f>ROUND((IF(($O153&lt;=700000),0,IF(((VLOOKUP($M153,'Loyalty - Effec - 15July'!$B$5:$C$17,2,0)*$O153)&lt;=120000),(VLOOKUP($M153,'Loyalty - Effec - 15July'!$B$5:$C$17,2,0)*$O153),120000))),0)</f>
        <v>0</v>
      </c>
      <c r="AA153" s="84">
        <f>ROUND(VLOOKUP($M153,'Loyalty - Effec - 15July'!$B$5:$D$17,3,0)*$O153,0)</f>
        <v>0</v>
      </c>
      <c r="AB153" s="85">
        <f t="shared" si="78"/>
        <v>0</v>
      </c>
      <c r="AC153" s="86">
        <f t="shared" si="79"/>
        <v>0</v>
      </c>
      <c r="AD153" s="87">
        <f t="shared" si="80"/>
        <v>0</v>
      </c>
      <c r="AE153" s="88">
        <f t="shared" si="81"/>
        <v>0</v>
      </c>
      <c r="AF153" s="88">
        <f t="shared" si="82"/>
        <v>0</v>
      </c>
      <c r="AG153" s="49" t="s">
        <v>919</v>
      </c>
      <c r="AH153" s="49" t="s">
        <v>120</v>
      </c>
      <c r="AI153" s="50"/>
      <c r="AJ153" s="46"/>
      <c r="AK153" s="46"/>
      <c r="AL153" s="46"/>
      <c r="AM153" s="51">
        <f>IF($AL153=4,VLOOKUP($AR153,'Loyalty Incentive v1'!$L$3:$Q$15,2,FALSE),
IF($AL153=3,VLOOKUP($AR153,'Loyalty Incentive v1'!$L$3:$Q$15,3,FALSE),
IF($AL153=2,VLOOKUP($AR153,'Loyalty Incentive v1'!$L$3:$Q$15,4,FALSE),
IF($AL153=1,VLOOKUP($AR153,'Loyalty Incentive v1'!$L$3:$Q$15,5,FALSE),
IF($AL153=0,VLOOKUP($AR153,'Loyalty Incentive v1'!$L$3:$Q$15,6,FALSE),0)))))</f>
        <v>0</v>
      </c>
      <c r="AN153" s="51">
        <f>IFERROR(IF(I153&gt;="1",AM153,VLOOKUP(VALUE(I153),'Loyalty - Effec - 15July'!$I$5:$J$16,2,0)*AM153),0)</f>
        <v>0</v>
      </c>
      <c r="AO153" s="51">
        <v>0</v>
      </c>
      <c r="AP153" s="51">
        <f t="shared" si="83"/>
        <v>0</v>
      </c>
      <c r="AQ153" s="46" t="str">
        <f t="shared" si="95"/>
        <v>No</v>
      </c>
      <c r="AR153" s="46" t="str">
        <f t="shared" si="96"/>
        <v>AE2</v>
      </c>
      <c r="AS153" s="46" t="b">
        <f t="shared" si="97"/>
        <v>1</v>
      </c>
      <c r="AT153" s="82">
        <f t="shared" si="98"/>
        <v>0</v>
      </c>
      <c r="AU153" s="82">
        <f t="shared" si="84"/>
        <v>0</v>
      </c>
      <c r="AV153" s="82">
        <f t="shared" si="85"/>
        <v>0</v>
      </c>
      <c r="AW153" s="82">
        <f t="shared" si="86"/>
        <v>0</v>
      </c>
      <c r="AX153" s="85"/>
      <c r="AY153" s="82">
        <f t="shared" si="87"/>
        <v>0</v>
      </c>
      <c r="AZ153" s="82">
        <f t="shared" si="88"/>
        <v>0</v>
      </c>
      <c r="BA153" s="82">
        <f t="shared" si="89"/>
        <v>0</v>
      </c>
      <c r="BB153" s="83">
        <v>0</v>
      </c>
      <c r="BC153" s="83">
        <v>0</v>
      </c>
      <c r="BD153" s="83">
        <v>0</v>
      </c>
      <c r="BE153" s="84">
        <f>ROUND((IF(($AT153&lt;=700000),0,IF(((VLOOKUP($AR153,'Loyalty - Effec - 15July'!$B$5:$C$17,2,0)*$AT153)&lt;=120000),(VLOOKUP($AR153,'Loyalty - Effec - 15July'!$B$5:$C$17,2,0)*$AT153),120000))),0)</f>
        <v>0</v>
      </c>
      <c r="BF153" s="84">
        <f>ROUND(VLOOKUP($AR153,'Loyalty - Effec - 15July'!$B$5:$D$17,3,0)*$AT153,0)</f>
        <v>0</v>
      </c>
      <c r="BG153" s="85">
        <f t="shared" si="90"/>
        <v>0</v>
      </c>
      <c r="BH153" s="81">
        <f t="shared" si="91"/>
        <v>0</v>
      </c>
      <c r="BI153" s="85">
        <f t="shared" si="92"/>
        <v>0</v>
      </c>
      <c r="BJ153" s="85">
        <f t="shared" si="93"/>
        <v>0</v>
      </c>
      <c r="BK153" s="85">
        <f t="shared" si="94"/>
        <v>0</v>
      </c>
      <c r="BL153" s="85">
        <f t="shared" si="99"/>
        <v>0</v>
      </c>
      <c r="BM153" s="85">
        <f t="shared" si="100"/>
        <v>0</v>
      </c>
      <c r="BN153" s="85">
        <f t="shared" si="101"/>
        <v>0</v>
      </c>
      <c r="BO153" s="52" t="s">
        <v>85</v>
      </c>
      <c r="BP153" s="46"/>
      <c r="BQ153" s="46"/>
      <c r="BR153" s="47">
        <f t="shared" si="106"/>
        <v>0</v>
      </c>
      <c r="BU153" s="47">
        <f t="shared" si="103"/>
        <v>0</v>
      </c>
      <c r="BV153" s="53" t="s">
        <v>390</v>
      </c>
      <c r="BW153" s="53" t="s">
        <v>932</v>
      </c>
      <c r="BX153" s="53" t="s">
        <v>391</v>
      </c>
      <c r="BY153" s="53"/>
      <c r="BZ153" s="53"/>
    </row>
    <row r="154" spans="1:79">
      <c r="A154" s="42" t="s">
        <v>392</v>
      </c>
      <c r="B154" s="28" t="s">
        <v>79</v>
      </c>
      <c r="C154" s="28" t="s">
        <v>80</v>
      </c>
      <c r="D154" s="28" t="s">
        <v>81</v>
      </c>
      <c r="E154" s="43" t="s">
        <v>82</v>
      </c>
      <c r="F154" s="28" t="s">
        <v>901</v>
      </c>
      <c r="G154" s="44" t="s">
        <v>393</v>
      </c>
      <c r="H154" s="45">
        <v>44655</v>
      </c>
      <c r="I154" s="28" t="s">
        <v>994</v>
      </c>
      <c r="J154" s="28">
        <v>0</v>
      </c>
      <c r="K154" s="28" t="s">
        <v>396</v>
      </c>
      <c r="L154" s="28" t="s">
        <v>155</v>
      </c>
      <c r="M154" s="28" t="s">
        <v>0</v>
      </c>
      <c r="N154" s="28" t="str">
        <f t="shared" si="71"/>
        <v>AE2</v>
      </c>
      <c r="O154" s="81"/>
      <c r="P154" s="81">
        <f t="shared" si="72"/>
        <v>0</v>
      </c>
      <c r="Q154" s="81">
        <f t="shared" si="73"/>
        <v>0</v>
      </c>
      <c r="R154" s="81">
        <f t="shared" si="74"/>
        <v>0</v>
      </c>
      <c r="S154" s="81"/>
      <c r="T154" s="82">
        <f t="shared" si="75"/>
        <v>0</v>
      </c>
      <c r="U154" s="82">
        <f t="shared" si="76"/>
        <v>0</v>
      </c>
      <c r="V154" s="82">
        <f t="shared" si="77"/>
        <v>0</v>
      </c>
      <c r="W154" s="83">
        <v>0</v>
      </c>
      <c r="X154" s="83">
        <v>0</v>
      </c>
      <c r="Y154" s="83">
        <v>0</v>
      </c>
      <c r="Z154" s="84">
        <f>ROUND((IF(($O154&lt;=700000),0,IF(((VLOOKUP($M154,'Loyalty - Effec - 15July'!$B$5:$C$17,2,0)*$O154)&lt;=120000),(VLOOKUP($M154,'Loyalty - Effec - 15July'!$B$5:$C$17,2,0)*$O154),120000))),0)</f>
        <v>0</v>
      </c>
      <c r="AA154" s="84">
        <f>ROUND(VLOOKUP($M154,'Loyalty - Effec - 15July'!$B$5:$D$17,3,0)*$O154,0)</f>
        <v>0</v>
      </c>
      <c r="AB154" s="85">
        <f t="shared" si="78"/>
        <v>0</v>
      </c>
      <c r="AC154" s="86">
        <f t="shared" si="79"/>
        <v>0</v>
      </c>
      <c r="AD154" s="87">
        <f t="shared" si="80"/>
        <v>0</v>
      </c>
      <c r="AE154" s="88">
        <f t="shared" si="81"/>
        <v>0</v>
      </c>
      <c r="AF154" s="88">
        <f t="shared" si="82"/>
        <v>0</v>
      </c>
      <c r="AG154" s="49" t="s">
        <v>400</v>
      </c>
      <c r="AH154" s="49" t="s">
        <v>928</v>
      </c>
      <c r="AI154" s="50"/>
      <c r="AJ154" s="50"/>
      <c r="AK154" s="50"/>
      <c r="AL154" s="46"/>
      <c r="AM154" s="51">
        <f>IF($AL154=4,VLOOKUP($AR154,'Loyalty Incentive v1'!$L$3:$Q$15,2,FALSE),
IF($AL154=3,VLOOKUP($AR154,'Loyalty Incentive v1'!$L$3:$Q$15,3,FALSE),
IF($AL154=2,VLOOKUP($AR154,'Loyalty Incentive v1'!$L$3:$Q$15,4,FALSE),
IF($AL154=1,VLOOKUP($AR154,'Loyalty Incentive v1'!$L$3:$Q$15,5,FALSE),
IF($AL154=0,VLOOKUP($AR154,'Loyalty Incentive v1'!$L$3:$Q$15,6,FALSE),0)))))</f>
        <v>0</v>
      </c>
      <c r="AN154" s="51">
        <f>IFERROR(IF(I154&gt;="1",AM154,VLOOKUP(VALUE(I154),'Loyalty - Effec - 15July'!$I$5:$J$16,2,0)*AM154),0)</f>
        <v>0</v>
      </c>
      <c r="AO154" s="51">
        <v>0.13</v>
      </c>
      <c r="AP154" s="51">
        <f t="shared" si="83"/>
        <v>0.13</v>
      </c>
      <c r="AQ154" s="46" t="str">
        <f t="shared" si="95"/>
        <v>No</v>
      </c>
      <c r="AR154" s="46" t="str">
        <f t="shared" si="96"/>
        <v>AE2</v>
      </c>
      <c r="AS154" s="46" t="b">
        <f t="shared" si="97"/>
        <v>1</v>
      </c>
      <c r="AT154" s="82">
        <f t="shared" si="98"/>
        <v>0</v>
      </c>
      <c r="AU154" s="82">
        <f t="shared" si="84"/>
        <v>0</v>
      </c>
      <c r="AV154" s="82">
        <f t="shared" si="85"/>
        <v>0</v>
      </c>
      <c r="AW154" s="82">
        <f t="shared" si="86"/>
        <v>0</v>
      </c>
      <c r="AX154" s="85"/>
      <c r="AY154" s="82">
        <f t="shared" si="87"/>
        <v>0</v>
      </c>
      <c r="AZ154" s="82">
        <f t="shared" si="88"/>
        <v>0</v>
      </c>
      <c r="BA154" s="82">
        <f t="shared" si="89"/>
        <v>0</v>
      </c>
      <c r="BB154" s="83">
        <v>0</v>
      </c>
      <c r="BC154" s="83">
        <v>0</v>
      </c>
      <c r="BD154" s="83">
        <v>0</v>
      </c>
      <c r="BE154" s="84">
        <f>ROUND((IF(($AT154&lt;=700000),0,IF(((VLOOKUP($AR154,'Loyalty - Effec - 15July'!$B$5:$C$17,2,0)*$AT154)&lt;=120000),(VLOOKUP($AR154,'Loyalty - Effec - 15July'!$B$5:$C$17,2,0)*$AT154),120000))),0)</f>
        <v>0</v>
      </c>
      <c r="BF154" s="84">
        <f>ROUND(VLOOKUP($AR154,'Loyalty - Effec - 15July'!$B$5:$D$17,3,0)*$AT154,0)</f>
        <v>0</v>
      </c>
      <c r="BG154" s="85">
        <f t="shared" si="90"/>
        <v>0</v>
      </c>
      <c r="BH154" s="81">
        <f t="shared" si="91"/>
        <v>0</v>
      </c>
      <c r="BI154" s="85">
        <f t="shared" si="92"/>
        <v>0</v>
      </c>
      <c r="BJ154" s="85">
        <f t="shared" si="93"/>
        <v>0</v>
      </c>
      <c r="BK154" s="85">
        <f t="shared" si="94"/>
        <v>0</v>
      </c>
      <c r="BL154" s="85">
        <f t="shared" si="99"/>
        <v>0</v>
      </c>
      <c r="BM154" s="85">
        <f t="shared" si="100"/>
        <v>0</v>
      </c>
      <c r="BN154" s="85">
        <f t="shared" si="101"/>
        <v>0</v>
      </c>
      <c r="BO154" s="52" t="s">
        <v>85</v>
      </c>
      <c r="BP154" s="52" t="s">
        <v>85</v>
      </c>
      <c r="BQ154" s="46"/>
      <c r="BR154" s="47">
        <f t="shared" si="106"/>
        <v>0</v>
      </c>
      <c r="BS154" s="46">
        <v>0</v>
      </c>
      <c r="BT154" s="54">
        <v>0</v>
      </c>
      <c r="BU154" s="47">
        <f t="shared" si="103"/>
        <v>0</v>
      </c>
      <c r="BV154" s="53" t="s">
        <v>392</v>
      </c>
      <c r="BW154" s="53" t="s">
        <v>81</v>
      </c>
      <c r="BX154" s="53" t="s">
        <v>393</v>
      </c>
      <c r="BY154" s="53"/>
      <c r="BZ154" s="53"/>
      <c r="CA154" s="55"/>
    </row>
    <row r="155" spans="1:79">
      <c r="A155" s="42" t="s">
        <v>394</v>
      </c>
      <c r="B155" s="28" t="s">
        <v>79</v>
      </c>
      <c r="C155" s="28" t="s">
        <v>80</v>
      </c>
      <c r="D155" s="28" t="s">
        <v>81</v>
      </c>
      <c r="E155" s="43" t="s">
        <v>82</v>
      </c>
      <c r="F155" s="28" t="s">
        <v>901</v>
      </c>
      <c r="G155" s="44" t="s">
        <v>395</v>
      </c>
      <c r="H155" s="45">
        <v>44655</v>
      </c>
      <c r="I155" s="28" t="s">
        <v>994</v>
      </c>
      <c r="J155" s="28">
        <v>0</v>
      </c>
      <c r="K155" s="28" t="s">
        <v>396</v>
      </c>
      <c r="L155" s="28" t="s">
        <v>155</v>
      </c>
      <c r="M155" s="28" t="s">
        <v>0</v>
      </c>
      <c r="N155" s="28" t="str">
        <f t="shared" si="71"/>
        <v>AE2</v>
      </c>
      <c r="O155" s="81"/>
      <c r="P155" s="81">
        <f t="shared" si="72"/>
        <v>0</v>
      </c>
      <c r="Q155" s="81">
        <f t="shared" si="73"/>
        <v>0</v>
      </c>
      <c r="R155" s="81">
        <f t="shared" si="74"/>
        <v>0</v>
      </c>
      <c r="S155" s="81"/>
      <c r="T155" s="82">
        <f t="shared" si="75"/>
        <v>0</v>
      </c>
      <c r="U155" s="82">
        <f t="shared" si="76"/>
        <v>0</v>
      </c>
      <c r="V155" s="82">
        <f t="shared" si="77"/>
        <v>0</v>
      </c>
      <c r="W155" s="83">
        <v>0</v>
      </c>
      <c r="X155" s="83">
        <v>0</v>
      </c>
      <c r="Y155" s="83">
        <v>0</v>
      </c>
      <c r="Z155" s="84">
        <f>ROUND((IF(($O155&lt;=700000),0,IF(((VLOOKUP($M155,'Loyalty - Effec - 15July'!$B$5:$C$17,2,0)*$O155)&lt;=120000),(VLOOKUP($M155,'Loyalty - Effec - 15July'!$B$5:$C$17,2,0)*$O155),120000))),0)</f>
        <v>0</v>
      </c>
      <c r="AA155" s="84">
        <f>ROUND(VLOOKUP($M155,'Loyalty - Effec - 15July'!$B$5:$D$17,3,0)*$O155,0)</f>
        <v>0</v>
      </c>
      <c r="AB155" s="85">
        <f t="shared" si="78"/>
        <v>0</v>
      </c>
      <c r="AC155" s="86">
        <f t="shared" si="79"/>
        <v>0</v>
      </c>
      <c r="AD155" s="87">
        <f t="shared" si="80"/>
        <v>0</v>
      </c>
      <c r="AE155" s="88">
        <f t="shared" si="81"/>
        <v>0</v>
      </c>
      <c r="AF155" s="88">
        <f t="shared" si="82"/>
        <v>0</v>
      </c>
      <c r="AG155" s="49" t="s">
        <v>150</v>
      </c>
      <c r="AH155" s="49" t="s">
        <v>910</v>
      </c>
      <c r="AI155" s="50"/>
      <c r="AJ155" s="50"/>
      <c r="AK155" s="50"/>
      <c r="AL155" s="46"/>
      <c r="AM155" s="51">
        <f>IF($AL155=4,VLOOKUP($AR155,'Loyalty Incentive v1'!$L$3:$Q$15,2,FALSE),
IF($AL155=3,VLOOKUP($AR155,'Loyalty Incentive v1'!$L$3:$Q$15,3,FALSE),
IF($AL155=2,VLOOKUP($AR155,'Loyalty Incentive v1'!$L$3:$Q$15,4,FALSE),
IF($AL155=1,VLOOKUP($AR155,'Loyalty Incentive v1'!$L$3:$Q$15,5,FALSE),
IF($AL155=0,VLOOKUP($AR155,'Loyalty Incentive v1'!$L$3:$Q$15,6,FALSE),0)))))</f>
        <v>0</v>
      </c>
      <c r="AN155" s="51">
        <f>IFERROR(IF(I155&gt;="1",AM155,VLOOKUP(VALUE(I155),'Loyalty - Effec - 15July'!$I$5:$J$16,2,0)*AM155),0)</f>
        <v>0</v>
      </c>
      <c r="AO155" s="51">
        <v>0.13</v>
      </c>
      <c r="AP155" s="51">
        <f t="shared" si="83"/>
        <v>0.13</v>
      </c>
      <c r="AQ155" s="46" t="str">
        <f t="shared" si="95"/>
        <v>No</v>
      </c>
      <c r="AR155" s="46" t="str">
        <f t="shared" si="96"/>
        <v>AE2</v>
      </c>
      <c r="AS155" s="46" t="b">
        <f t="shared" si="97"/>
        <v>1</v>
      </c>
      <c r="AT155" s="82">
        <f t="shared" si="98"/>
        <v>0</v>
      </c>
      <c r="AU155" s="82">
        <f t="shared" si="84"/>
        <v>0</v>
      </c>
      <c r="AV155" s="82">
        <f t="shared" si="85"/>
        <v>0</v>
      </c>
      <c r="AW155" s="82">
        <f t="shared" si="86"/>
        <v>0</v>
      </c>
      <c r="AX155" s="85"/>
      <c r="AY155" s="82">
        <f t="shared" si="87"/>
        <v>0</v>
      </c>
      <c r="AZ155" s="82">
        <f t="shared" si="88"/>
        <v>0</v>
      </c>
      <c r="BA155" s="82">
        <f t="shared" si="89"/>
        <v>0</v>
      </c>
      <c r="BB155" s="83">
        <v>0</v>
      </c>
      <c r="BC155" s="83">
        <v>0</v>
      </c>
      <c r="BD155" s="83">
        <v>0</v>
      </c>
      <c r="BE155" s="84">
        <f>ROUND((IF(($AT155&lt;=700000),0,IF(((VLOOKUP($AR155,'Loyalty - Effec - 15July'!$B$5:$C$17,2,0)*$AT155)&lt;=120000),(VLOOKUP($AR155,'Loyalty - Effec - 15July'!$B$5:$C$17,2,0)*$AT155),120000))),0)</f>
        <v>0</v>
      </c>
      <c r="BF155" s="84">
        <f>ROUND(VLOOKUP($AR155,'Loyalty - Effec - 15July'!$B$5:$D$17,3,0)*$AT155,0)</f>
        <v>0</v>
      </c>
      <c r="BG155" s="85">
        <f t="shared" si="90"/>
        <v>0</v>
      </c>
      <c r="BH155" s="81">
        <f t="shared" si="91"/>
        <v>0</v>
      </c>
      <c r="BI155" s="85">
        <f t="shared" si="92"/>
        <v>0</v>
      </c>
      <c r="BJ155" s="85">
        <f t="shared" si="93"/>
        <v>0</v>
      </c>
      <c r="BK155" s="85">
        <f t="shared" si="94"/>
        <v>0</v>
      </c>
      <c r="BL155" s="85">
        <f t="shared" si="99"/>
        <v>0</v>
      </c>
      <c r="BM155" s="85">
        <f t="shared" si="100"/>
        <v>0</v>
      </c>
      <c r="BN155" s="85">
        <f t="shared" si="101"/>
        <v>0</v>
      </c>
      <c r="BO155" s="52" t="s">
        <v>85</v>
      </c>
      <c r="BP155" s="46"/>
      <c r="BQ155" s="46"/>
      <c r="BR155" s="47">
        <f t="shared" si="106"/>
        <v>0</v>
      </c>
      <c r="BS155" s="46">
        <v>0</v>
      </c>
      <c r="BT155" s="54">
        <v>0</v>
      </c>
      <c r="BU155" s="47">
        <f t="shared" si="103"/>
        <v>0</v>
      </c>
      <c r="BV155" s="53" t="s">
        <v>394</v>
      </c>
      <c r="BW155" s="53" t="s">
        <v>81</v>
      </c>
      <c r="BX155" s="53" t="s">
        <v>395</v>
      </c>
      <c r="BY155" s="53"/>
      <c r="BZ155" s="53"/>
      <c r="CA155" s="55"/>
    </row>
    <row r="156" spans="1:79" ht="12" customHeight="1">
      <c r="A156" s="59" t="s">
        <v>397</v>
      </c>
      <c r="B156" s="28" t="s">
        <v>79</v>
      </c>
      <c r="C156" s="28" t="s">
        <v>80</v>
      </c>
      <c r="D156" s="28" t="s">
        <v>81</v>
      </c>
      <c r="E156" s="43" t="s">
        <v>82</v>
      </c>
      <c r="F156" s="28" t="s">
        <v>901</v>
      </c>
      <c r="G156" s="44" t="s">
        <v>398</v>
      </c>
      <c r="H156" s="45">
        <v>44662</v>
      </c>
      <c r="I156" s="28" t="s">
        <v>994</v>
      </c>
      <c r="J156" s="28">
        <v>0</v>
      </c>
      <c r="K156" s="28" t="s">
        <v>421</v>
      </c>
      <c r="L156" s="28" t="s">
        <v>887</v>
      </c>
      <c r="M156" s="28" t="s">
        <v>2</v>
      </c>
      <c r="N156" s="28" t="str">
        <f t="shared" si="71"/>
        <v>AE4</v>
      </c>
      <c r="O156" s="81"/>
      <c r="P156" s="81">
        <f t="shared" si="72"/>
        <v>0</v>
      </c>
      <c r="Q156" s="81">
        <f t="shared" si="73"/>
        <v>0</v>
      </c>
      <c r="R156" s="81">
        <f t="shared" si="74"/>
        <v>0</v>
      </c>
      <c r="S156" s="81"/>
      <c r="T156" s="82">
        <f t="shared" si="75"/>
        <v>0</v>
      </c>
      <c r="U156" s="82">
        <f t="shared" si="76"/>
        <v>0</v>
      </c>
      <c r="V156" s="82">
        <f t="shared" si="77"/>
        <v>0</v>
      </c>
      <c r="W156" s="83">
        <v>0</v>
      </c>
      <c r="X156" s="83">
        <v>0</v>
      </c>
      <c r="Y156" s="83">
        <v>0</v>
      </c>
      <c r="Z156" s="84">
        <f>ROUND((IF(($O156&lt;=700000),0,IF(((VLOOKUP($M156,'Loyalty - Effec - 15July'!$B$5:$C$17,2,0)*$O156)&lt;=120000),(VLOOKUP($M156,'Loyalty - Effec - 15July'!$B$5:$C$17,2,0)*$O156),120000))),0)</f>
        <v>0</v>
      </c>
      <c r="AA156" s="84">
        <f>ROUND(VLOOKUP($M156,'Loyalty - Effec - 15July'!$B$5:$D$17,3,0)*$O156,0)</f>
        <v>0</v>
      </c>
      <c r="AB156" s="85">
        <f t="shared" si="78"/>
        <v>0</v>
      </c>
      <c r="AC156" s="86">
        <f t="shared" si="79"/>
        <v>0</v>
      </c>
      <c r="AD156" s="87">
        <f t="shared" si="80"/>
        <v>0</v>
      </c>
      <c r="AE156" s="88">
        <f t="shared" si="81"/>
        <v>0</v>
      </c>
      <c r="AF156" s="88">
        <f t="shared" si="82"/>
        <v>0</v>
      </c>
      <c r="AG156" s="49" t="s">
        <v>273</v>
      </c>
      <c r="AH156" s="49" t="s">
        <v>83</v>
      </c>
      <c r="AI156" s="50"/>
      <c r="AJ156" s="50"/>
      <c r="AK156" s="50"/>
      <c r="AL156" s="46"/>
      <c r="AM156" s="51">
        <f>IF($AL156=4,VLOOKUP($AR156,'Loyalty Incentive v1'!$L$3:$Q$15,2,FALSE),
IF($AL156=3,VLOOKUP($AR156,'Loyalty Incentive v1'!$L$3:$Q$15,3,FALSE),
IF($AL156=2,VLOOKUP($AR156,'Loyalty Incentive v1'!$L$3:$Q$15,4,FALSE),
IF($AL156=1,VLOOKUP($AR156,'Loyalty Incentive v1'!$L$3:$Q$15,5,FALSE),
IF($AL156=0,VLOOKUP($AR156,'Loyalty Incentive v1'!$L$3:$Q$15,6,FALSE),0)))))</f>
        <v>0</v>
      </c>
      <c r="AN156" s="51">
        <f>IFERROR(IF(I156&gt;="1",AM156,VLOOKUP(VALUE(I156),'Loyalty - Effec - 15July'!$I$5:$J$16,2,0)*AM156),0)</f>
        <v>0</v>
      </c>
      <c r="AO156" s="51">
        <v>-0.04</v>
      </c>
      <c r="AP156" s="51">
        <f t="shared" si="83"/>
        <v>-0.04</v>
      </c>
      <c r="AQ156" s="46" t="str">
        <f t="shared" si="95"/>
        <v>No</v>
      </c>
      <c r="AR156" s="46" t="str">
        <f t="shared" si="96"/>
        <v>AE4</v>
      </c>
      <c r="AS156" s="46" t="b">
        <f t="shared" si="97"/>
        <v>1</v>
      </c>
      <c r="AT156" s="82">
        <f t="shared" si="98"/>
        <v>0</v>
      </c>
      <c r="AU156" s="82">
        <f t="shared" si="84"/>
        <v>0</v>
      </c>
      <c r="AV156" s="82">
        <f t="shared" si="85"/>
        <v>0</v>
      </c>
      <c r="AW156" s="82">
        <f t="shared" si="86"/>
        <v>0</v>
      </c>
      <c r="AX156" s="85"/>
      <c r="AY156" s="82">
        <f t="shared" si="87"/>
        <v>0</v>
      </c>
      <c r="AZ156" s="82">
        <f t="shared" si="88"/>
        <v>0</v>
      </c>
      <c r="BA156" s="82">
        <f t="shared" si="89"/>
        <v>0</v>
      </c>
      <c r="BB156" s="83">
        <v>0</v>
      </c>
      <c r="BC156" s="83">
        <v>0</v>
      </c>
      <c r="BD156" s="83">
        <v>0</v>
      </c>
      <c r="BE156" s="84">
        <f>ROUND((IF(($AT156&lt;=700000),0,IF(((VLOOKUP($AR156,'Loyalty - Effec - 15July'!$B$5:$C$17,2,0)*$AT156)&lt;=120000),(VLOOKUP($AR156,'Loyalty - Effec - 15July'!$B$5:$C$17,2,0)*$AT156),120000))),0)</f>
        <v>0</v>
      </c>
      <c r="BF156" s="84">
        <f>ROUND(VLOOKUP($AR156,'Loyalty - Effec - 15July'!$B$5:$D$17,3,0)*$AT156,0)</f>
        <v>0</v>
      </c>
      <c r="BG156" s="85">
        <f t="shared" si="90"/>
        <v>0</v>
      </c>
      <c r="BH156" s="81">
        <f t="shared" si="91"/>
        <v>0</v>
      </c>
      <c r="BI156" s="85">
        <f t="shared" si="92"/>
        <v>0</v>
      </c>
      <c r="BJ156" s="85">
        <f t="shared" si="93"/>
        <v>0</v>
      </c>
      <c r="BK156" s="85">
        <f t="shared" si="94"/>
        <v>0</v>
      </c>
      <c r="BL156" s="85">
        <f t="shared" si="99"/>
        <v>0</v>
      </c>
      <c r="BM156" s="85">
        <f t="shared" si="100"/>
        <v>0</v>
      </c>
      <c r="BN156" s="85">
        <f t="shared" si="101"/>
        <v>0</v>
      </c>
      <c r="BO156" s="52" t="s">
        <v>85</v>
      </c>
      <c r="BP156" s="46"/>
      <c r="BQ156" s="46"/>
      <c r="BR156" s="47">
        <f>BG156-AB156</f>
        <v>0</v>
      </c>
      <c r="BS156" s="46">
        <v>3</v>
      </c>
      <c r="BT156" s="54">
        <v>9.9250000000000005E-2</v>
      </c>
      <c r="BU156" s="47">
        <f t="shared" si="103"/>
        <v>0</v>
      </c>
      <c r="BV156" s="53" t="s">
        <v>397</v>
      </c>
      <c r="BW156" s="53" t="s">
        <v>81</v>
      </c>
      <c r="BX156" s="53" t="s">
        <v>398</v>
      </c>
      <c r="BY156" s="53"/>
      <c r="BZ156" s="53"/>
      <c r="CA156" s="55"/>
    </row>
    <row r="157" spans="1:79" ht="15" customHeight="1">
      <c r="A157" s="42" t="s">
        <v>399</v>
      </c>
      <c r="B157" s="28" t="s">
        <v>79</v>
      </c>
      <c r="C157" s="28" t="s">
        <v>80</v>
      </c>
      <c r="D157" s="28" t="s">
        <v>932</v>
      </c>
      <c r="E157" s="43" t="s">
        <v>82</v>
      </c>
      <c r="F157" s="28" t="s">
        <v>901</v>
      </c>
      <c r="G157" s="44" t="s">
        <v>400</v>
      </c>
      <c r="H157" s="45">
        <v>44669</v>
      </c>
      <c r="I157" s="46" t="s">
        <v>994</v>
      </c>
      <c r="J157" s="28">
        <v>0</v>
      </c>
      <c r="K157" s="28" t="s">
        <v>863</v>
      </c>
      <c r="L157" s="28" t="s">
        <v>877</v>
      </c>
      <c r="M157" s="28" t="s">
        <v>4</v>
      </c>
      <c r="N157" s="28" t="str">
        <f t="shared" si="71"/>
        <v>AE6</v>
      </c>
      <c r="O157" s="81"/>
      <c r="P157" s="81">
        <f t="shared" si="72"/>
        <v>0</v>
      </c>
      <c r="Q157" s="81">
        <f t="shared" si="73"/>
        <v>0</v>
      </c>
      <c r="R157" s="81">
        <f t="shared" si="74"/>
        <v>0</v>
      </c>
      <c r="S157" s="81"/>
      <c r="T157" s="82">
        <f t="shared" si="75"/>
        <v>0</v>
      </c>
      <c r="U157" s="82">
        <f t="shared" si="76"/>
        <v>0</v>
      </c>
      <c r="V157" s="82">
        <f t="shared" si="77"/>
        <v>0</v>
      </c>
      <c r="W157" s="83">
        <v>0</v>
      </c>
      <c r="X157" s="83">
        <v>0</v>
      </c>
      <c r="Y157" s="83">
        <v>0</v>
      </c>
      <c r="Z157" s="84">
        <f>ROUND((IF(($O157&lt;=700000),0,IF(((VLOOKUP($M157,'Loyalty - Effec - 15July'!$B$5:$C$17,2,0)*$O157)&lt;=120000),(VLOOKUP($M157,'Loyalty - Effec - 15July'!$B$5:$C$17,2,0)*$O157),120000))),0)</f>
        <v>0</v>
      </c>
      <c r="AA157" s="84">
        <f>ROUND(VLOOKUP($M157,'Loyalty - Effec - 15July'!$B$5:$D$17,3,0)*$O157,0)</f>
        <v>0</v>
      </c>
      <c r="AB157" s="85">
        <f t="shared" si="78"/>
        <v>0</v>
      </c>
      <c r="AC157" s="86">
        <f t="shared" si="79"/>
        <v>0</v>
      </c>
      <c r="AD157" s="87">
        <f t="shared" si="80"/>
        <v>0</v>
      </c>
      <c r="AE157" s="88">
        <f t="shared" si="81"/>
        <v>0</v>
      </c>
      <c r="AF157" s="88">
        <f t="shared" si="82"/>
        <v>0</v>
      </c>
      <c r="AG157" s="49" t="s">
        <v>126</v>
      </c>
      <c r="AH157" s="49" t="s">
        <v>809</v>
      </c>
      <c r="AI157" s="50"/>
      <c r="AJ157" s="46"/>
      <c r="AK157" s="46"/>
      <c r="AL157" s="46"/>
      <c r="AM157" s="51">
        <f>IF($AL157=4,VLOOKUP($AR157,'Loyalty Incentive v1'!$L$3:$Q$15,2,FALSE),
IF($AL157=3,VLOOKUP($AR157,'Loyalty Incentive v1'!$L$3:$Q$15,3,FALSE),
IF($AL157=2,VLOOKUP($AR157,'Loyalty Incentive v1'!$L$3:$Q$15,4,FALSE),
IF($AL157=1,VLOOKUP($AR157,'Loyalty Incentive v1'!$L$3:$Q$15,5,FALSE),
IF($AL157=0,VLOOKUP($AR157,'Loyalty Incentive v1'!$L$3:$Q$15,6,FALSE),0)))))</f>
        <v>0</v>
      </c>
      <c r="AN157" s="51">
        <f>IFERROR(IF(I157&gt;="1",AM157,VLOOKUP(VALUE(I157),'Loyalty - Effec - 15July'!$I$5:$J$16,2,0)*AM157),0)</f>
        <v>0</v>
      </c>
      <c r="AO157" s="51">
        <v>0</v>
      </c>
      <c r="AP157" s="51">
        <f t="shared" si="83"/>
        <v>0</v>
      </c>
      <c r="AQ157" s="46" t="str">
        <f t="shared" si="95"/>
        <v>No</v>
      </c>
      <c r="AR157" s="46" t="str">
        <f t="shared" si="96"/>
        <v>AE6</v>
      </c>
      <c r="AS157" s="46" t="b">
        <f t="shared" si="97"/>
        <v>1</v>
      </c>
      <c r="AT157" s="82">
        <f t="shared" si="98"/>
        <v>0</v>
      </c>
      <c r="AU157" s="82">
        <f t="shared" si="84"/>
        <v>0</v>
      </c>
      <c r="AV157" s="82">
        <f t="shared" si="85"/>
        <v>0</v>
      </c>
      <c r="AW157" s="82">
        <f t="shared" si="86"/>
        <v>0</v>
      </c>
      <c r="AX157" s="85"/>
      <c r="AY157" s="82">
        <f t="shared" si="87"/>
        <v>0</v>
      </c>
      <c r="AZ157" s="82">
        <f t="shared" si="88"/>
        <v>0</v>
      </c>
      <c r="BA157" s="82">
        <f t="shared" si="89"/>
        <v>0</v>
      </c>
      <c r="BB157" s="83">
        <v>0</v>
      </c>
      <c r="BC157" s="83">
        <v>0</v>
      </c>
      <c r="BD157" s="83">
        <v>0</v>
      </c>
      <c r="BE157" s="84">
        <f>ROUND((IF(($AT157&lt;=700000),0,IF(((VLOOKUP($AR157,'Loyalty - Effec - 15July'!$B$5:$C$17,2,0)*$AT157)&lt;=120000),(VLOOKUP($AR157,'Loyalty - Effec - 15July'!$B$5:$C$17,2,0)*$AT157),120000))),0)</f>
        <v>0</v>
      </c>
      <c r="BF157" s="84">
        <f>ROUND(VLOOKUP($AR157,'Loyalty - Effec - 15July'!$B$5:$D$17,3,0)*$AT157,0)</f>
        <v>0</v>
      </c>
      <c r="BG157" s="85">
        <f t="shared" si="90"/>
        <v>0</v>
      </c>
      <c r="BH157" s="81">
        <f t="shared" si="91"/>
        <v>0</v>
      </c>
      <c r="BI157" s="85">
        <f t="shared" si="92"/>
        <v>0</v>
      </c>
      <c r="BJ157" s="85">
        <f t="shared" si="93"/>
        <v>0</v>
      </c>
      <c r="BK157" s="85">
        <f t="shared" si="94"/>
        <v>0</v>
      </c>
      <c r="BL157" s="85">
        <f t="shared" si="99"/>
        <v>0</v>
      </c>
      <c r="BM157" s="85">
        <f t="shared" si="100"/>
        <v>0</v>
      </c>
      <c r="BN157" s="85">
        <f t="shared" si="101"/>
        <v>0</v>
      </c>
      <c r="BO157" s="52" t="s">
        <v>85</v>
      </c>
      <c r="BP157" s="46"/>
      <c r="BQ157" s="46"/>
      <c r="BR157" s="47">
        <f>BG157-AB157</f>
        <v>0</v>
      </c>
      <c r="BU157" s="47">
        <f t="shared" si="103"/>
        <v>0</v>
      </c>
      <c r="BV157" s="53" t="s">
        <v>399</v>
      </c>
      <c r="BW157" s="53" t="s">
        <v>932</v>
      </c>
      <c r="BX157" s="53" t="s">
        <v>400</v>
      </c>
      <c r="BY157" s="53"/>
      <c r="BZ157" s="53"/>
    </row>
    <row r="158" spans="1:79" ht="14.4" customHeight="1">
      <c r="A158" s="42" t="s">
        <v>401</v>
      </c>
      <c r="B158" s="28" t="s">
        <v>79</v>
      </c>
      <c r="C158" s="28" t="s">
        <v>80</v>
      </c>
      <c r="D158" s="28" t="s">
        <v>932</v>
      </c>
      <c r="E158" s="43" t="s">
        <v>82</v>
      </c>
      <c r="F158" s="28" t="s">
        <v>901</v>
      </c>
      <c r="G158" s="44" t="s">
        <v>402</v>
      </c>
      <c r="H158" s="45">
        <v>44676</v>
      </c>
      <c r="I158" s="46" t="s">
        <v>994</v>
      </c>
      <c r="J158" s="28">
        <v>0</v>
      </c>
      <c r="K158" s="28" t="s">
        <v>403</v>
      </c>
      <c r="L158" s="28" t="s">
        <v>404</v>
      </c>
      <c r="M158" s="28" t="s">
        <v>0</v>
      </c>
      <c r="N158" s="28" t="str">
        <f t="shared" si="71"/>
        <v>AE2</v>
      </c>
      <c r="O158" s="81"/>
      <c r="P158" s="81">
        <f t="shared" si="72"/>
        <v>0</v>
      </c>
      <c r="Q158" s="81">
        <f t="shared" si="73"/>
        <v>0</v>
      </c>
      <c r="R158" s="81">
        <f t="shared" si="74"/>
        <v>0</v>
      </c>
      <c r="S158" s="81"/>
      <c r="T158" s="82">
        <f t="shared" si="75"/>
        <v>0</v>
      </c>
      <c r="U158" s="82">
        <f t="shared" si="76"/>
        <v>0</v>
      </c>
      <c r="V158" s="82">
        <f t="shared" si="77"/>
        <v>0</v>
      </c>
      <c r="W158" s="83">
        <v>0</v>
      </c>
      <c r="X158" s="83">
        <v>0</v>
      </c>
      <c r="Y158" s="83">
        <v>0</v>
      </c>
      <c r="Z158" s="84">
        <f>ROUND((IF(($O158&lt;=700000),0,IF(((VLOOKUP($M158,'Loyalty - Effec - 15July'!$B$5:$C$17,2,0)*$O158)&lt;=120000),(VLOOKUP($M158,'Loyalty - Effec - 15July'!$B$5:$C$17,2,0)*$O158),120000))),0)</f>
        <v>0</v>
      </c>
      <c r="AA158" s="84">
        <f>ROUND(VLOOKUP($M158,'Loyalty - Effec - 15July'!$B$5:$D$17,3,0)*$O158,0)</f>
        <v>0</v>
      </c>
      <c r="AB158" s="85">
        <f t="shared" si="78"/>
        <v>0</v>
      </c>
      <c r="AC158" s="86">
        <f t="shared" si="79"/>
        <v>0</v>
      </c>
      <c r="AD158" s="87">
        <f t="shared" si="80"/>
        <v>0</v>
      </c>
      <c r="AE158" s="88">
        <f t="shared" si="81"/>
        <v>0</v>
      </c>
      <c r="AF158" s="88">
        <f t="shared" si="82"/>
        <v>0</v>
      </c>
      <c r="AG158" s="49" t="s">
        <v>301</v>
      </c>
      <c r="AH158" s="49" t="s">
        <v>83</v>
      </c>
      <c r="AI158" s="50"/>
      <c r="AJ158" s="46"/>
      <c r="AK158" s="46"/>
      <c r="AL158" s="46"/>
      <c r="AM158" s="51">
        <f>IF($AL158=4,VLOOKUP($AR158,'Loyalty Incentive v1'!$L$3:$Q$15,2,FALSE),
IF($AL158=3,VLOOKUP($AR158,'Loyalty Incentive v1'!$L$3:$Q$15,3,FALSE),
IF($AL158=2,VLOOKUP($AR158,'Loyalty Incentive v1'!$L$3:$Q$15,4,FALSE),
IF($AL158=1,VLOOKUP($AR158,'Loyalty Incentive v1'!$L$3:$Q$15,5,FALSE),
IF($AL158=0,VLOOKUP($AR158,'Loyalty Incentive v1'!$L$3:$Q$15,6,FALSE),0)))))</f>
        <v>0</v>
      </c>
      <c r="AN158" s="51">
        <f>IFERROR(IF(I158&gt;="1",AM158,VLOOKUP(VALUE(I158),'Loyalty - Effec - 15July'!$I$5:$J$16,2,0)*AM158),0)</f>
        <v>0</v>
      </c>
      <c r="AO158" s="51">
        <v>0</v>
      </c>
      <c r="AP158" s="51">
        <f t="shared" si="83"/>
        <v>0</v>
      </c>
      <c r="AQ158" s="46" t="str">
        <f t="shared" si="95"/>
        <v>No</v>
      </c>
      <c r="AR158" s="46" t="str">
        <f t="shared" si="96"/>
        <v>AE2</v>
      </c>
      <c r="AS158" s="46" t="b">
        <f t="shared" si="97"/>
        <v>1</v>
      </c>
      <c r="AT158" s="82">
        <f t="shared" si="98"/>
        <v>0</v>
      </c>
      <c r="AU158" s="82">
        <f t="shared" si="84"/>
        <v>0</v>
      </c>
      <c r="AV158" s="82">
        <f t="shared" si="85"/>
        <v>0</v>
      </c>
      <c r="AW158" s="82">
        <f t="shared" si="86"/>
        <v>0</v>
      </c>
      <c r="AX158" s="85"/>
      <c r="AY158" s="82">
        <f t="shared" si="87"/>
        <v>0</v>
      </c>
      <c r="AZ158" s="82">
        <f t="shared" si="88"/>
        <v>0</v>
      </c>
      <c r="BA158" s="82">
        <f t="shared" si="89"/>
        <v>0</v>
      </c>
      <c r="BB158" s="83">
        <v>0</v>
      </c>
      <c r="BC158" s="83">
        <v>0</v>
      </c>
      <c r="BD158" s="83">
        <v>0</v>
      </c>
      <c r="BE158" s="84">
        <f>ROUND((IF(($AT158&lt;=700000),0,IF(((VLOOKUP($AR158,'Loyalty - Effec - 15July'!$B$5:$C$17,2,0)*$AT158)&lt;=120000),(VLOOKUP($AR158,'Loyalty - Effec - 15July'!$B$5:$C$17,2,0)*$AT158),120000))),0)</f>
        <v>0</v>
      </c>
      <c r="BF158" s="84">
        <f>ROUND(VLOOKUP($AR158,'Loyalty - Effec - 15July'!$B$5:$D$17,3,0)*$AT158,0)</f>
        <v>0</v>
      </c>
      <c r="BG158" s="85">
        <f t="shared" si="90"/>
        <v>0</v>
      </c>
      <c r="BH158" s="81">
        <f t="shared" si="91"/>
        <v>0</v>
      </c>
      <c r="BI158" s="85">
        <f t="shared" si="92"/>
        <v>0</v>
      </c>
      <c r="BJ158" s="85">
        <f t="shared" si="93"/>
        <v>0</v>
      </c>
      <c r="BK158" s="85">
        <f t="shared" si="94"/>
        <v>0</v>
      </c>
      <c r="BL158" s="85">
        <f t="shared" si="99"/>
        <v>0</v>
      </c>
      <c r="BM158" s="85">
        <f t="shared" si="100"/>
        <v>0</v>
      </c>
      <c r="BN158" s="85">
        <f t="shared" si="101"/>
        <v>0</v>
      </c>
      <c r="BO158" s="52" t="s">
        <v>85</v>
      </c>
      <c r="BP158" s="46"/>
      <c r="BQ158" s="46"/>
      <c r="BR158" s="47">
        <f>BG158-AB158</f>
        <v>0</v>
      </c>
      <c r="BU158" s="47">
        <f t="shared" si="103"/>
        <v>0</v>
      </c>
      <c r="BV158" s="53" t="s">
        <v>401</v>
      </c>
      <c r="BW158" s="53" t="s">
        <v>932</v>
      </c>
      <c r="BX158" s="53" t="s">
        <v>402</v>
      </c>
      <c r="BY158" s="53"/>
      <c r="BZ158" s="53"/>
    </row>
    <row r="159" spans="1:79" ht="12.6" customHeight="1">
      <c r="A159" s="42" t="s">
        <v>405</v>
      </c>
      <c r="B159" s="28" t="s">
        <v>79</v>
      </c>
      <c r="C159" s="28" t="s">
        <v>80</v>
      </c>
      <c r="D159" s="28" t="s">
        <v>932</v>
      </c>
      <c r="E159" s="43" t="s">
        <v>82</v>
      </c>
      <c r="F159" s="28" t="s">
        <v>901</v>
      </c>
      <c r="G159" s="44" t="s">
        <v>406</v>
      </c>
      <c r="H159" s="45">
        <v>44676</v>
      </c>
      <c r="I159" s="46" t="s">
        <v>994</v>
      </c>
      <c r="J159" s="28">
        <v>6</v>
      </c>
      <c r="K159" s="28" t="s">
        <v>403</v>
      </c>
      <c r="L159" s="28" t="s">
        <v>404</v>
      </c>
      <c r="M159" s="28" t="s">
        <v>0</v>
      </c>
      <c r="N159" s="28" t="str">
        <f t="shared" si="71"/>
        <v>AE2</v>
      </c>
      <c r="O159" s="81"/>
      <c r="P159" s="81">
        <f t="shared" si="72"/>
        <v>0</v>
      </c>
      <c r="Q159" s="81">
        <f t="shared" si="73"/>
        <v>0</v>
      </c>
      <c r="R159" s="81">
        <f t="shared" si="74"/>
        <v>0</v>
      </c>
      <c r="S159" s="81"/>
      <c r="T159" s="82">
        <f t="shared" si="75"/>
        <v>0</v>
      </c>
      <c r="U159" s="82">
        <f t="shared" si="76"/>
        <v>0</v>
      </c>
      <c r="V159" s="82">
        <f t="shared" si="77"/>
        <v>0</v>
      </c>
      <c r="W159" s="83">
        <v>0</v>
      </c>
      <c r="X159" s="83">
        <v>0</v>
      </c>
      <c r="Y159" s="83">
        <v>0</v>
      </c>
      <c r="Z159" s="84">
        <f>ROUND((IF(($O159&lt;=700000),0,IF(((VLOOKUP($M159,'Loyalty - Effec - 15July'!$B$5:$C$17,2,0)*$O159)&lt;=120000),(VLOOKUP($M159,'Loyalty - Effec - 15July'!$B$5:$C$17,2,0)*$O159),120000))),0)</f>
        <v>0</v>
      </c>
      <c r="AA159" s="84">
        <f>ROUND(VLOOKUP($M159,'Loyalty - Effec - 15July'!$B$5:$D$17,3,0)*$O159,0)</f>
        <v>0</v>
      </c>
      <c r="AB159" s="85">
        <f t="shared" si="78"/>
        <v>0</v>
      </c>
      <c r="AC159" s="86">
        <f t="shared" si="79"/>
        <v>0</v>
      </c>
      <c r="AD159" s="87">
        <f t="shared" si="80"/>
        <v>0</v>
      </c>
      <c r="AE159" s="88">
        <f t="shared" si="81"/>
        <v>0</v>
      </c>
      <c r="AF159" s="88">
        <f t="shared" si="82"/>
        <v>0</v>
      </c>
      <c r="AG159" s="49" t="s">
        <v>301</v>
      </c>
      <c r="AH159" s="49" t="s">
        <v>83</v>
      </c>
      <c r="AI159" s="50"/>
      <c r="AJ159" s="46"/>
      <c r="AK159" s="46"/>
      <c r="AL159" s="46"/>
      <c r="AM159" s="51">
        <f>IF($AL159=4,VLOOKUP($AR159,'Loyalty Incentive v1'!$L$3:$Q$15,2,FALSE),
IF($AL159=3,VLOOKUP($AR159,'Loyalty Incentive v1'!$L$3:$Q$15,3,FALSE),
IF($AL159=2,VLOOKUP($AR159,'Loyalty Incentive v1'!$L$3:$Q$15,4,FALSE),
IF($AL159=1,VLOOKUP($AR159,'Loyalty Incentive v1'!$L$3:$Q$15,5,FALSE),
IF($AL159=0,VLOOKUP($AR159,'Loyalty Incentive v1'!$L$3:$Q$15,6,FALSE),0)))))</f>
        <v>0</v>
      </c>
      <c r="AN159" s="51">
        <f>IFERROR(IF(I159&gt;="1",AM159,VLOOKUP(VALUE(I159),'Loyalty - Effec - 15July'!$I$5:$J$16,2,0)*AM159),0)</f>
        <v>0</v>
      </c>
      <c r="AO159" s="51">
        <v>0</v>
      </c>
      <c r="AP159" s="51">
        <f t="shared" si="83"/>
        <v>0</v>
      </c>
      <c r="AQ159" s="46" t="str">
        <f t="shared" si="95"/>
        <v>No</v>
      </c>
      <c r="AR159" s="46" t="str">
        <f t="shared" si="96"/>
        <v>AE2</v>
      </c>
      <c r="AS159" s="46" t="b">
        <f t="shared" si="97"/>
        <v>1</v>
      </c>
      <c r="AT159" s="82">
        <f t="shared" si="98"/>
        <v>0</v>
      </c>
      <c r="AU159" s="82">
        <f t="shared" si="84"/>
        <v>0</v>
      </c>
      <c r="AV159" s="82">
        <f t="shared" si="85"/>
        <v>0</v>
      </c>
      <c r="AW159" s="82">
        <f t="shared" si="86"/>
        <v>0</v>
      </c>
      <c r="AX159" s="85"/>
      <c r="AY159" s="82">
        <f t="shared" si="87"/>
        <v>0</v>
      </c>
      <c r="AZ159" s="82">
        <f t="shared" si="88"/>
        <v>0</v>
      </c>
      <c r="BA159" s="82">
        <f t="shared" si="89"/>
        <v>0</v>
      </c>
      <c r="BB159" s="83">
        <v>0</v>
      </c>
      <c r="BC159" s="83">
        <v>0</v>
      </c>
      <c r="BD159" s="83">
        <v>0</v>
      </c>
      <c r="BE159" s="84">
        <f>ROUND((IF(($AT159&lt;=700000),0,IF(((VLOOKUP($AR159,'Loyalty - Effec - 15July'!$B$5:$C$17,2,0)*$AT159)&lt;=120000),(VLOOKUP($AR159,'Loyalty - Effec - 15July'!$B$5:$C$17,2,0)*$AT159),120000))),0)</f>
        <v>0</v>
      </c>
      <c r="BF159" s="84">
        <f>ROUND(VLOOKUP($AR159,'Loyalty - Effec - 15July'!$B$5:$D$17,3,0)*$AT159,0)</f>
        <v>0</v>
      </c>
      <c r="BG159" s="85">
        <f t="shared" si="90"/>
        <v>0</v>
      </c>
      <c r="BH159" s="81">
        <f t="shared" si="91"/>
        <v>0</v>
      </c>
      <c r="BI159" s="85">
        <f t="shared" si="92"/>
        <v>0</v>
      </c>
      <c r="BJ159" s="85">
        <f t="shared" si="93"/>
        <v>0</v>
      </c>
      <c r="BK159" s="85">
        <f t="shared" si="94"/>
        <v>0</v>
      </c>
      <c r="BL159" s="85">
        <f t="shared" si="99"/>
        <v>0</v>
      </c>
      <c r="BM159" s="85">
        <f t="shared" si="100"/>
        <v>0</v>
      </c>
      <c r="BN159" s="85">
        <f t="shared" si="101"/>
        <v>0</v>
      </c>
      <c r="BO159" s="52" t="s">
        <v>85</v>
      </c>
      <c r="BP159" s="46"/>
      <c r="BQ159" s="46"/>
      <c r="BR159" s="47">
        <f t="shared" ref="BR159:BR174" si="107">BG159-AT159</f>
        <v>0</v>
      </c>
      <c r="BU159" s="47">
        <f t="shared" si="103"/>
        <v>0</v>
      </c>
      <c r="BV159" s="53" t="s">
        <v>405</v>
      </c>
      <c r="BW159" s="53" t="s">
        <v>932</v>
      </c>
      <c r="BX159" s="53" t="s">
        <v>406</v>
      </c>
      <c r="BY159" s="53"/>
      <c r="BZ159" s="53"/>
    </row>
    <row r="160" spans="1:79">
      <c r="A160" s="42" t="s">
        <v>408</v>
      </c>
      <c r="B160" s="28" t="s">
        <v>79</v>
      </c>
      <c r="C160" s="28" t="s">
        <v>80</v>
      </c>
      <c r="D160" s="28" t="s">
        <v>81</v>
      </c>
      <c r="E160" s="43" t="s">
        <v>82</v>
      </c>
      <c r="F160" s="28" t="s">
        <v>902</v>
      </c>
      <c r="G160" s="44" t="s">
        <v>409</v>
      </c>
      <c r="H160" s="45">
        <v>44690</v>
      </c>
      <c r="I160" s="28" t="s">
        <v>995</v>
      </c>
      <c r="J160" s="28">
        <v>0</v>
      </c>
      <c r="K160" s="28" t="s">
        <v>407</v>
      </c>
      <c r="L160" s="28" t="s">
        <v>868</v>
      </c>
      <c r="M160" s="28" t="s">
        <v>0</v>
      </c>
      <c r="N160" s="28" t="str">
        <f t="shared" si="71"/>
        <v>AE2</v>
      </c>
      <c r="O160" s="81"/>
      <c r="P160" s="81">
        <f t="shared" si="72"/>
        <v>0</v>
      </c>
      <c r="Q160" s="81">
        <f t="shared" si="73"/>
        <v>0</v>
      </c>
      <c r="R160" s="81">
        <f t="shared" si="74"/>
        <v>0</v>
      </c>
      <c r="S160" s="81"/>
      <c r="T160" s="82">
        <f t="shared" si="75"/>
        <v>0</v>
      </c>
      <c r="U160" s="82">
        <f t="shared" si="76"/>
        <v>0</v>
      </c>
      <c r="V160" s="82">
        <f t="shared" si="77"/>
        <v>0</v>
      </c>
      <c r="W160" s="83">
        <v>0</v>
      </c>
      <c r="X160" s="83">
        <v>0</v>
      </c>
      <c r="Y160" s="83">
        <v>0</v>
      </c>
      <c r="Z160" s="84">
        <f>ROUND((IF(($O160&lt;=700000),0,IF(((VLOOKUP($M160,'Loyalty - Effec - 15July'!$B$5:$C$17,2,0)*$O160)&lt;=120000),(VLOOKUP($M160,'Loyalty - Effec - 15July'!$B$5:$C$17,2,0)*$O160),120000))),0)</f>
        <v>0</v>
      </c>
      <c r="AA160" s="84">
        <f>ROUND(VLOOKUP($M160,'Loyalty - Effec - 15July'!$B$5:$D$17,3,0)*$O160,0)</f>
        <v>0</v>
      </c>
      <c r="AB160" s="85">
        <f t="shared" si="78"/>
        <v>0</v>
      </c>
      <c r="AC160" s="86">
        <f t="shared" si="79"/>
        <v>0</v>
      </c>
      <c r="AD160" s="87">
        <f t="shared" si="80"/>
        <v>0</v>
      </c>
      <c r="AE160" s="88">
        <f t="shared" si="81"/>
        <v>0</v>
      </c>
      <c r="AF160" s="88">
        <f t="shared" si="82"/>
        <v>0</v>
      </c>
      <c r="AG160" s="49" t="s">
        <v>261</v>
      </c>
      <c r="AH160" s="49" t="s">
        <v>83</v>
      </c>
      <c r="AI160" s="50"/>
      <c r="AJ160" s="50"/>
      <c r="AK160" s="50"/>
      <c r="AL160" s="46"/>
      <c r="AM160" s="51">
        <f>IF($AL160=4,VLOOKUP($AR160,'Loyalty Incentive v1'!$L$3:$Q$15,2,FALSE),
IF($AL160=3,VLOOKUP($AR160,'Loyalty Incentive v1'!$L$3:$Q$15,3,FALSE),
IF($AL160=2,VLOOKUP($AR160,'Loyalty Incentive v1'!$L$3:$Q$15,4,FALSE),
IF($AL160=1,VLOOKUP($AR160,'Loyalty Incentive v1'!$L$3:$Q$15,5,FALSE),
IF($AL160=0,VLOOKUP($AR160,'Loyalty Incentive v1'!$L$3:$Q$15,6,FALSE),0)))))</f>
        <v>0</v>
      </c>
      <c r="AN160" s="51">
        <f>IFERROR(IF(I160&gt;="1",AM160,VLOOKUP(VALUE(I160),'Loyalty - Effec - 15July'!$I$5:$J$16,2,0)*AM160),0)</f>
        <v>0</v>
      </c>
      <c r="AO160" s="51">
        <v>0</v>
      </c>
      <c r="AP160" s="51">
        <f t="shared" si="83"/>
        <v>0</v>
      </c>
      <c r="AQ160" s="46" t="str">
        <f t="shared" si="95"/>
        <v>No</v>
      </c>
      <c r="AR160" s="46" t="str">
        <f t="shared" si="96"/>
        <v>AE2</v>
      </c>
      <c r="AS160" s="46" t="b">
        <f t="shared" si="97"/>
        <v>1</v>
      </c>
      <c r="AT160" s="82">
        <f t="shared" si="98"/>
        <v>0</v>
      </c>
      <c r="AU160" s="82">
        <f t="shared" si="84"/>
        <v>0</v>
      </c>
      <c r="AV160" s="82">
        <f t="shared" si="85"/>
        <v>0</v>
      </c>
      <c r="AW160" s="82">
        <f t="shared" si="86"/>
        <v>0</v>
      </c>
      <c r="AX160" s="85"/>
      <c r="AY160" s="82">
        <f t="shared" si="87"/>
        <v>0</v>
      </c>
      <c r="AZ160" s="82">
        <f t="shared" si="88"/>
        <v>0</v>
      </c>
      <c r="BA160" s="82">
        <f t="shared" si="89"/>
        <v>0</v>
      </c>
      <c r="BB160" s="83">
        <v>0</v>
      </c>
      <c r="BC160" s="83">
        <v>0</v>
      </c>
      <c r="BD160" s="83">
        <v>0</v>
      </c>
      <c r="BE160" s="84">
        <f>ROUND((IF(($AT160&lt;=700000),0,IF(((VLOOKUP($AR160,'Loyalty - Effec - 15July'!$B$5:$C$17,2,0)*$AT160)&lt;=120000),(VLOOKUP($AR160,'Loyalty - Effec - 15July'!$B$5:$C$17,2,0)*$AT160),120000))),0)</f>
        <v>0</v>
      </c>
      <c r="BF160" s="84">
        <f>ROUND(VLOOKUP($AR160,'Loyalty - Effec - 15July'!$B$5:$D$17,3,0)*$AT160,0)</f>
        <v>0</v>
      </c>
      <c r="BG160" s="85">
        <f t="shared" si="90"/>
        <v>0</v>
      </c>
      <c r="BH160" s="81">
        <f t="shared" si="91"/>
        <v>0</v>
      </c>
      <c r="BI160" s="85">
        <f t="shared" si="92"/>
        <v>0</v>
      </c>
      <c r="BJ160" s="85">
        <f t="shared" si="93"/>
        <v>0</v>
      </c>
      <c r="BK160" s="85">
        <f t="shared" si="94"/>
        <v>0</v>
      </c>
      <c r="BL160" s="85">
        <f t="shared" si="99"/>
        <v>0</v>
      </c>
      <c r="BM160" s="85">
        <f t="shared" si="100"/>
        <v>0</v>
      </c>
      <c r="BN160" s="85">
        <f t="shared" si="101"/>
        <v>0</v>
      </c>
      <c r="BO160" s="52" t="s">
        <v>85</v>
      </c>
      <c r="BP160" s="46"/>
      <c r="BQ160" s="46"/>
      <c r="BR160" s="47">
        <f t="shared" si="107"/>
        <v>0</v>
      </c>
      <c r="BS160" s="46">
        <v>0</v>
      </c>
      <c r="BT160" s="54">
        <v>0</v>
      </c>
      <c r="BU160" s="47">
        <f t="shared" si="103"/>
        <v>0</v>
      </c>
      <c r="BV160" s="53" t="s">
        <v>408</v>
      </c>
      <c r="BW160" s="53" t="s">
        <v>81</v>
      </c>
      <c r="BX160" s="53" t="s">
        <v>409</v>
      </c>
      <c r="BY160" s="53"/>
      <c r="BZ160" s="53"/>
      <c r="CA160" s="55"/>
    </row>
    <row r="161" spans="1:79">
      <c r="A161" s="42" t="s">
        <v>410</v>
      </c>
      <c r="B161" s="28" t="s">
        <v>79</v>
      </c>
      <c r="C161" s="28" t="s">
        <v>80</v>
      </c>
      <c r="D161" s="28" t="s">
        <v>81</v>
      </c>
      <c r="E161" s="43" t="s">
        <v>82</v>
      </c>
      <c r="F161" s="28" t="s">
        <v>902</v>
      </c>
      <c r="G161" s="44" t="s">
        <v>648</v>
      </c>
      <c r="H161" s="45">
        <v>44690</v>
      </c>
      <c r="I161" s="28" t="s">
        <v>995</v>
      </c>
      <c r="J161" s="28">
        <v>0</v>
      </c>
      <c r="K161" s="28" t="s">
        <v>407</v>
      </c>
      <c r="L161" s="28" t="s">
        <v>868</v>
      </c>
      <c r="M161" s="28" t="s">
        <v>0</v>
      </c>
      <c r="N161" s="28" t="str">
        <f t="shared" si="71"/>
        <v>AE2</v>
      </c>
      <c r="O161" s="81"/>
      <c r="P161" s="81">
        <f t="shared" si="72"/>
        <v>0</v>
      </c>
      <c r="Q161" s="81">
        <f t="shared" si="73"/>
        <v>0</v>
      </c>
      <c r="R161" s="81">
        <f t="shared" si="74"/>
        <v>0</v>
      </c>
      <c r="S161" s="81"/>
      <c r="T161" s="82">
        <f t="shared" si="75"/>
        <v>0</v>
      </c>
      <c r="U161" s="82">
        <f t="shared" si="76"/>
        <v>0</v>
      </c>
      <c r="V161" s="82">
        <f t="shared" si="77"/>
        <v>0</v>
      </c>
      <c r="W161" s="83">
        <v>0</v>
      </c>
      <c r="X161" s="83">
        <v>0</v>
      </c>
      <c r="Y161" s="83">
        <v>0</v>
      </c>
      <c r="Z161" s="84">
        <f>ROUND((IF(($O161&lt;=700000),0,IF(((VLOOKUP($M161,'Loyalty - Effec - 15July'!$B$5:$C$17,2,0)*$O161)&lt;=120000),(VLOOKUP($M161,'Loyalty - Effec - 15July'!$B$5:$C$17,2,0)*$O161),120000))),0)</f>
        <v>0</v>
      </c>
      <c r="AA161" s="84">
        <f>ROUND(VLOOKUP($M161,'Loyalty - Effec - 15July'!$B$5:$D$17,3,0)*$O161,0)</f>
        <v>0</v>
      </c>
      <c r="AB161" s="85">
        <f t="shared" si="78"/>
        <v>0</v>
      </c>
      <c r="AC161" s="86">
        <f t="shared" si="79"/>
        <v>0</v>
      </c>
      <c r="AD161" s="87">
        <f t="shared" si="80"/>
        <v>0</v>
      </c>
      <c r="AE161" s="88">
        <f t="shared" si="81"/>
        <v>0</v>
      </c>
      <c r="AF161" s="88">
        <f t="shared" si="82"/>
        <v>0</v>
      </c>
      <c r="AG161" s="49" t="s">
        <v>261</v>
      </c>
      <c r="AH161" s="49" t="s">
        <v>83</v>
      </c>
      <c r="AI161" s="50"/>
      <c r="AJ161" s="50"/>
      <c r="AK161" s="50"/>
      <c r="AL161" s="46"/>
      <c r="AM161" s="51">
        <f>IF($AL161=4,VLOOKUP($AR161,'Loyalty Incentive v1'!$L$3:$Q$15,2,FALSE),
IF($AL161=3,VLOOKUP($AR161,'Loyalty Incentive v1'!$L$3:$Q$15,3,FALSE),
IF($AL161=2,VLOOKUP($AR161,'Loyalty Incentive v1'!$L$3:$Q$15,4,FALSE),
IF($AL161=1,VLOOKUP($AR161,'Loyalty Incentive v1'!$L$3:$Q$15,5,FALSE),
IF($AL161=0,VLOOKUP($AR161,'Loyalty Incentive v1'!$L$3:$Q$15,6,FALSE),0)))))</f>
        <v>0</v>
      </c>
      <c r="AN161" s="51">
        <f>IFERROR(IF(I161&gt;="1",AM161,VLOOKUP(VALUE(I161),'Loyalty - Effec - 15July'!$I$5:$J$16,2,0)*AM161),0)</f>
        <v>0</v>
      </c>
      <c r="AO161" s="51">
        <v>0</v>
      </c>
      <c r="AP161" s="51">
        <f t="shared" si="83"/>
        <v>0</v>
      </c>
      <c r="AQ161" s="46" t="str">
        <f t="shared" si="95"/>
        <v>No</v>
      </c>
      <c r="AR161" s="46" t="str">
        <f t="shared" si="96"/>
        <v>AE2</v>
      </c>
      <c r="AS161" s="46" t="b">
        <f t="shared" si="97"/>
        <v>1</v>
      </c>
      <c r="AT161" s="82">
        <f t="shared" si="98"/>
        <v>0</v>
      </c>
      <c r="AU161" s="82">
        <f t="shared" si="84"/>
        <v>0</v>
      </c>
      <c r="AV161" s="82">
        <f t="shared" si="85"/>
        <v>0</v>
      </c>
      <c r="AW161" s="82">
        <f t="shared" si="86"/>
        <v>0</v>
      </c>
      <c r="AX161" s="85"/>
      <c r="AY161" s="82">
        <f t="shared" si="87"/>
        <v>0</v>
      </c>
      <c r="AZ161" s="82">
        <f t="shared" si="88"/>
        <v>0</v>
      </c>
      <c r="BA161" s="82">
        <f t="shared" si="89"/>
        <v>0</v>
      </c>
      <c r="BB161" s="83">
        <v>0</v>
      </c>
      <c r="BC161" s="83">
        <v>0</v>
      </c>
      <c r="BD161" s="83">
        <v>0</v>
      </c>
      <c r="BE161" s="84">
        <f>ROUND((IF(($AT161&lt;=700000),0,IF(((VLOOKUP($AR161,'Loyalty - Effec - 15July'!$B$5:$C$17,2,0)*$AT161)&lt;=120000),(VLOOKUP($AR161,'Loyalty - Effec - 15July'!$B$5:$C$17,2,0)*$AT161),120000))),0)</f>
        <v>0</v>
      </c>
      <c r="BF161" s="84">
        <f>ROUND(VLOOKUP($AR161,'Loyalty - Effec - 15July'!$B$5:$D$17,3,0)*$AT161,0)</f>
        <v>0</v>
      </c>
      <c r="BG161" s="85">
        <f t="shared" si="90"/>
        <v>0</v>
      </c>
      <c r="BH161" s="81">
        <f t="shared" si="91"/>
        <v>0</v>
      </c>
      <c r="BI161" s="85">
        <f t="shared" si="92"/>
        <v>0</v>
      </c>
      <c r="BJ161" s="85">
        <f t="shared" si="93"/>
        <v>0</v>
      </c>
      <c r="BK161" s="85">
        <f t="shared" si="94"/>
        <v>0</v>
      </c>
      <c r="BL161" s="85">
        <f t="shared" si="99"/>
        <v>0</v>
      </c>
      <c r="BM161" s="85">
        <f t="shared" si="100"/>
        <v>0</v>
      </c>
      <c r="BN161" s="85">
        <f t="shared" si="101"/>
        <v>0</v>
      </c>
      <c r="BO161" s="52" t="s">
        <v>85</v>
      </c>
      <c r="BP161" s="46"/>
      <c r="BQ161" s="46"/>
      <c r="BR161" s="47">
        <f t="shared" si="107"/>
        <v>0</v>
      </c>
      <c r="BS161" s="46">
        <v>0</v>
      </c>
      <c r="BT161" s="54">
        <v>0</v>
      </c>
      <c r="BU161" s="47">
        <f t="shared" si="103"/>
        <v>0</v>
      </c>
      <c r="BV161" s="53" t="s">
        <v>410</v>
      </c>
      <c r="BW161" s="53" t="s">
        <v>81</v>
      </c>
      <c r="BX161" s="53" t="s">
        <v>648</v>
      </c>
      <c r="BY161" s="53"/>
      <c r="BZ161" s="53"/>
      <c r="CA161" s="55"/>
    </row>
    <row r="162" spans="1:79">
      <c r="A162" s="42" t="s">
        <v>411</v>
      </c>
      <c r="B162" s="28" t="s">
        <v>79</v>
      </c>
      <c r="C162" s="28" t="s">
        <v>80</v>
      </c>
      <c r="D162" s="28" t="s">
        <v>932</v>
      </c>
      <c r="E162" s="43" t="s">
        <v>82</v>
      </c>
      <c r="F162" s="28" t="s">
        <v>902</v>
      </c>
      <c r="G162" s="44" t="s">
        <v>412</v>
      </c>
      <c r="H162" s="45">
        <v>44690</v>
      </c>
      <c r="I162" s="46" t="s">
        <v>995</v>
      </c>
      <c r="J162" s="28">
        <v>6</v>
      </c>
      <c r="K162" s="28" t="s">
        <v>420</v>
      </c>
      <c r="L162" s="28" t="s">
        <v>888</v>
      </c>
      <c r="M162" s="28" t="s">
        <v>0</v>
      </c>
      <c r="N162" s="28" t="str">
        <f t="shared" si="71"/>
        <v>AE2</v>
      </c>
      <c r="O162" s="81"/>
      <c r="P162" s="81">
        <f t="shared" si="72"/>
        <v>0</v>
      </c>
      <c r="Q162" s="81">
        <f t="shared" si="73"/>
        <v>0</v>
      </c>
      <c r="R162" s="81">
        <f t="shared" si="74"/>
        <v>0</v>
      </c>
      <c r="S162" s="81"/>
      <c r="T162" s="82">
        <f t="shared" si="75"/>
        <v>0</v>
      </c>
      <c r="U162" s="82">
        <f t="shared" si="76"/>
        <v>0</v>
      </c>
      <c r="V162" s="82">
        <f t="shared" si="77"/>
        <v>0</v>
      </c>
      <c r="W162" s="83">
        <v>0</v>
      </c>
      <c r="X162" s="83">
        <v>0</v>
      </c>
      <c r="Y162" s="83">
        <v>0</v>
      </c>
      <c r="Z162" s="84">
        <f>ROUND((IF(($O162&lt;=700000),0,IF(((VLOOKUP($M162,'Loyalty - Effec - 15July'!$B$5:$C$17,2,0)*$O162)&lt;=120000),(VLOOKUP($M162,'Loyalty - Effec - 15July'!$B$5:$C$17,2,0)*$O162),120000))),0)</f>
        <v>0</v>
      </c>
      <c r="AA162" s="84">
        <f>ROUND(VLOOKUP($M162,'Loyalty - Effec - 15July'!$B$5:$D$17,3,0)*$O162,0)</f>
        <v>0</v>
      </c>
      <c r="AB162" s="85">
        <f t="shared" si="78"/>
        <v>0</v>
      </c>
      <c r="AC162" s="86">
        <f t="shared" si="79"/>
        <v>0</v>
      </c>
      <c r="AD162" s="87">
        <f t="shared" si="80"/>
        <v>0</v>
      </c>
      <c r="AE162" s="88">
        <f t="shared" si="81"/>
        <v>0</v>
      </c>
      <c r="AF162" s="88">
        <f t="shared" si="82"/>
        <v>0</v>
      </c>
      <c r="AG162" s="49" t="s">
        <v>687</v>
      </c>
      <c r="AH162" s="49" t="s">
        <v>129</v>
      </c>
      <c r="AI162" s="50"/>
      <c r="AJ162" s="46"/>
      <c r="AK162" s="46"/>
      <c r="AL162" s="46"/>
      <c r="AM162" s="51">
        <f>IF($AL162=4,VLOOKUP($AR162,'Loyalty Incentive v1'!$L$3:$Q$15,2,FALSE),
IF($AL162=3,VLOOKUP($AR162,'Loyalty Incentive v1'!$L$3:$Q$15,3,FALSE),
IF($AL162=2,VLOOKUP($AR162,'Loyalty Incentive v1'!$L$3:$Q$15,4,FALSE),
IF($AL162=1,VLOOKUP($AR162,'Loyalty Incentive v1'!$L$3:$Q$15,5,FALSE),
IF($AL162=0,VLOOKUP($AR162,'Loyalty Incentive v1'!$L$3:$Q$15,6,FALSE),0)))))</f>
        <v>0</v>
      </c>
      <c r="AN162" s="51">
        <f>IFERROR(IF(I162&gt;="1",AM162,VLOOKUP(VALUE(I162),'Loyalty - Effec - 15July'!$I$5:$J$16,2,0)*AM162),0)</f>
        <v>0</v>
      </c>
      <c r="AO162" s="51">
        <v>0</v>
      </c>
      <c r="AP162" s="51">
        <f t="shared" si="83"/>
        <v>0</v>
      </c>
      <c r="AQ162" s="46" t="str">
        <f t="shared" si="95"/>
        <v>No</v>
      </c>
      <c r="AR162" s="46" t="str">
        <f t="shared" si="96"/>
        <v>AE2</v>
      </c>
      <c r="AS162" s="46" t="b">
        <f t="shared" si="97"/>
        <v>1</v>
      </c>
      <c r="AT162" s="82">
        <f t="shared" si="98"/>
        <v>0</v>
      </c>
      <c r="AU162" s="82">
        <f t="shared" si="84"/>
        <v>0</v>
      </c>
      <c r="AV162" s="82">
        <f t="shared" si="85"/>
        <v>0</v>
      </c>
      <c r="AW162" s="82">
        <f t="shared" si="86"/>
        <v>0</v>
      </c>
      <c r="AX162" s="85"/>
      <c r="AY162" s="82">
        <f t="shared" si="87"/>
        <v>0</v>
      </c>
      <c r="AZ162" s="82">
        <f t="shared" si="88"/>
        <v>0</v>
      </c>
      <c r="BA162" s="82">
        <f t="shared" si="89"/>
        <v>0</v>
      </c>
      <c r="BB162" s="83">
        <v>0</v>
      </c>
      <c r="BC162" s="83">
        <v>0</v>
      </c>
      <c r="BD162" s="83">
        <v>0</v>
      </c>
      <c r="BE162" s="84">
        <f>ROUND((IF(($AT162&lt;=700000),0,IF(((VLOOKUP($AR162,'Loyalty - Effec - 15July'!$B$5:$C$17,2,0)*$AT162)&lt;=120000),(VLOOKUP($AR162,'Loyalty - Effec - 15July'!$B$5:$C$17,2,0)*$AT162),120000))),0)</f>
        <v>0</v>
      </c>
      <c r="BF162" s="84">
        <f>ROUND(VLOOKUP($AR162,'Loyalty - Effec - 15July'!$B$5:$D$17,3,0)*$AT162,0)</f>
        <v>0</v>
      </c>
      <c r="BG162" s="85">
        <f t="shared" si="90"/>
        <v>0</v>
      </c>
      <c r="BH162" s="81">
        <f t="shared" si="91"/>
        <v>0</v>
      </c>
      <c r="BI162" s="85">
        <f t="shared" si="92"/>
        <v>0</v>
      </c>
      <c r="BJ162" s="85">
        <f t="shared" si="93"/>
        <v>0</v>
      </c>
      <c r="BK162" s="85">
        <f t="shared" si="94"/>
        <v>0</v>
      </c>
      <c r="BL162" s="85">
        <f t="shared" si="99"/>
        <v>0</v>
      </c>
      <c r="BM162" s="85">
        <f t="shared" si="100"/>
        <v>0</v>
      </c>
      <c r="BN162" s="85">
        <f t="shared" si="101"/>
        <v>0</v>
      </c>
      <c r="BO162" s="52" t="s">
        <v>85</v>
      </c>
      <c r="BP162" s="46"/>
      <c r="BQ162" s="46"/>
      <c r="BR162" s="47">
        <f t="shared" si="107"/>
        <v>0</v>
      </c>
      <c r="BU162" s="47">
        <f t="shared" si="103"/>
        <v>0</v>
      </c>
      <c r="BV162" s="53" t="s">
        <v>411</v>
      </c>
      <c r="BW162" s="53" t="s">
        <v>932</v>
      </c>
      <c r="BX162" s="53" t="s">
        <v>412</v>
      </c>
      <c r="BY162" s="53"/>
      <c r="BZ162" s="53"/>
    </row>
    <row r="163" spans="1:79">
      <c r="A163" s="42" t="s">
        <v>427</v>
      </c>
      <c r="B163" s="28" t="s">
        <v>79</v>
      </c>
      <c r="C163" s="28" t="s">
        <v>80</v>
      </c>
      <c r="D163" s="28" t="s">
        <v>932</v>
      </c>
      <c r="E163" s="43" t="s">
        <v>82</v>
      </c>
      <c r="F163" s="28" t="s">
        <v>901</v>
      </c>
      <c r="G163" s="44" t="s">
        <v>649</v>
      </c>
      <c r="H163" s="45">
        <v>44697</v>
      </c>
      <c r="I163" s="46" t="s">
        <v>995</v>
      </c>
      <c r="J163" s="28">
        <v>6</v>
      </c>
      <c r="K163" s="28" t="s">
        <v>415</v>
      </c>
      <c r="L163" s="28" t="s">
        <v>889</v>
      </c>
      <c r="M163" s="28" t="s">
        <v>0</v>
      </c>
      <c r="N163" s="28" t="str">
        <f t="shared" si="71"/>
        <v>AE2</v>
      </c>
      <c r="O163" s="81"/>
      <c r="P163" s="81">
        <f t="shared" si="72"/>
        <v>0</v>
      </c>
      <c r="Q163" s="81">
        <f t="shared" si="73"/>
        <v>0</v>
      </c>
      <c r="R163" s="81">
        <f t="shared" si="74"/>
        <v>0</v>
      </c>
      <c r="S163" s="81"/>
      <c r="T163" s="82">
        <f t="shared" si="75"/>
        <v>0</v>
      </c>
      <c r="U163" s="82">
        <f t="shared" si="76"/>
        <v>0</v>
      </c>
      <c r="V163" s="82">
        <f t="shared" si="77"/>
        <v>0</v>
      </c>
      <c r="W163" s="83">
        <v>0</v>
      </c>
      <c r="X163" s="83">
        <v>0</v>
      </c>
      <c r="Y163" s="83">
        <v>0</v>
      </c>
      <c r="Z163" s="84">
        <f>ROUND((IF(($O163&lt;=700000),0,IF(((VLOOKUP($M163,'Loyalty - Effec - 15July'!$B$5:$C$17,2,0)*$O163)&lt;=120000),(VLOOKUP($M163,'Loyalty - Effec - 15July'!$B$5:$C$17,2,0)*$O163),120000))),0)</f>
        <v>0</v>
      </c>
      <c r="AA163" s="84">
        <f>ROUND(VLOOKUP($M163,'Loyalty - Effec - 15July'!$B$5:$D$17,3,0)*$O163,0)</f>
        <v>0</v>
      </c>
      <c r="AB163" s="85">
        <f t="shared" si="78"/>
        <v>0</v>
      </c>
      <c r="AC163" s="86">
        <f t="shared" si="79"/>
        <v>0</v>
      </c>
      <c r="AD163" s="87">
        <f t="shared" si="80"/>
        <v>0</v>
      </c>
      <c r="AE163" s="88">
        <f t="shared" si="81"/>
        <v>0</v>
      </c>
      <c r="AF163" s="88">
        <f t="shared" si="82"/>
        <v>0</v>
      </c>
      <c r="AG163" s="49" t="s">
        <v>161</v>
      </c>
      <c r="AH163" s="49" t="s">
        <v>929</v>
      </c>
      <c r="AI163" s="50"/>
      <c r="AJ163" s="46"/>
      <c r="AK163" s="46"/>
      <c r="AL163" s="46"/>
      <c r="AM163" s="51">
        <f>IF($AL163=4,VLOOKUP($AR163,'Loyalty Incentive v1'!$L$3:$Q$15,2,FALSE),
IF($AL163=3,VLOOKUP($AR163,'Loyalty Incentive v1'!$L$3:$Q$15,3,FALSE),
IF($AL163=2,VLOOKUP($AR163,'Loyalty Incentive v1'!$L$3:$Q$15,4,FALSE),
IF($AL163=1,VLOOKUP($AR163,'Loyalty Incentive v1'!$L$3:$Q$15,5,FALSE),
IF($AL163=0,VLOOKUP($AR163,'Loyalty Incentive v1'!$L$3:$Q$15,6,FALSE),0)))))</f>
        <v>0</v>
      </c>
      <c r="AN163" s="51">
        <f>IFERROR(IF(I163&gt;="1",AM163,VLOOKUP(VALUE(I163),'Loyalty - Effec - 15July'!$I$5:$J$16,2,0)*AM163),0)</f>
        <v>0</v>
      </c>
      <c r="AO163" s="51">
        <v>0</v>
      </c>
      <c r="AP163" s="51">
        <f t="shared" si="83"/>
        <v>0</v>
      </c>
      <c r="AQ163" s="46" t="str">
        <f t="shared" si="95"/>
        <v>No</v>
      </c>
      <c r="AR163" s="46" t="str">
        <f t="shared" si="96"/>
        <v>AE2</v>
      </c>
      <c r="AS163" s="46" t="b">
        <f t="shared" si="97"/>
        <v>1</v>
      </c>
      <c r="AT163" s="82">
        <f t="shared" si="98"/>
        <v>0</v>
      </c>
      <c r="AU163" s="82">
        <f t="shared" si="84"/>
        <v>0</v>
      </c>
      <c r="AV163" s="82">
        <f t="shared" si="85"/>
        <v>0</v>
      </c>
      <c r="AW163" s="82">
        <f t="shared" si="86"/>
        <v>0</v>
      </c>
      <c r="AX163" s="85"/>
      <c r="AY163" s="82">
        <f t="shared" si="87"/>
        <v>0</v>
      </c>
      <c r="AZ163" s="82">
        <f t="shared" si="88"/>
        <v>0</v>
      </c>
      <c r="BA163" s="82">
        <f t="shared" si="89"/>
        <v>0</v>
      </c>
      <c r="BB163" s="83">
        <v>0</v>
      </c>
      <c r="BC163" s="83">
        <v>0</v>
      </c>
      <c r="BD163" s="83">
        <v>0</v>
      </c>
      <c r="BE163" s="84">
        <f>ROUND((IF(($AT163&lt;=700000),0,IF(((VLOOKUP($AR163,'Loyalty - Effec - 15July'!$B$5:$C$17,2,0)*$AT163)&lt;=120000),(VLOOKUP($AR163,'Loyalty - Effec - 15July'!$B$5:$C$17,2,0)*$AT163),120000))),0)</f>
        <v>0</v>
      </c>
      <c r="BF163" s="84">
        <f>ROUND(VLOOKUP($AR163,'Loyalty - Effec - 15July'!$B$5:$D$17,3,0)*$AT163,0)</f>
        <v>0</v>
      </c>
      <c r="BG163" s="85">
        <f t="shared" si="90"/>
        <v>0</v>
      </c>
      <c r="BH163" s="81">
        <f t="shared" si="91"/>
        <v>0</v>
      </c>
      <c r="BI163" s="85">
        <f t="shared" si="92"/>
        <v>0</v>
      </c>
      <c r="BJ163" s="85">
        <f t="shared" si="93"/>
        <v>0</v>
      </c>
      <c r="BK163" s="85">
        <f t="shared" si="94"/>
        <v>0</v>
      </c>
      <c r="BL163" s="85">
        <f t="shared" si="99"/>
        <v>0</v>
      </c>
      <c r="BM163" s="85">
        <f t="shared" si="100"/>
        <v>0</v>
      </c>
      <c r="BN163" s="85">
        <f t="shared" si="101"/>
        <v>0</v>
      </c>
      <c r="BO163" s="52" t="s">
        <v>85</v>
      </c>
      <c r="BP163" s="46"/>
      <c r="BQ163" s="46"/>
      <c r="BR163" s="47">
        <f t="shared" si="107"/>
        <v>0</v>
      </c>
      <c r="BU163" s="47">
        <f t="shared" si="103"/>
        <v>0</v>
      </c>
      <c r="BV163" s="53" t="s">
        <v>427</v>
      </c>
      <c r="BW163" s="53" t="s">
        <v>932</v>
      </c>
      <c r="BX163" s="53" t="s">
        <v>649</v>
      </c>
      <c r="BY163" s="53"/>
      <c r="BZ163" s="53"/>
    </row>
    <row r="164" spans="1:79">
      <c r="A164" s="42" t="s">
        <v>428</v>
      </c>
      <c r="B164" s="28" t="s">
        <v>79</v>
      </c>
      <c r="C164" s="28" t="s">
        <v>80</v>
      </c>
      <c r="D164" s="28" t="s">
        <v>932</v>
      </c>
      <c r="E164" s="43" t="s">
        <v>82</v>
      </c>
      <c r="F164" s="28" t="s">
        <v>901</v>
      </c>
      <c r="G164" s="44" t="s">
        <v>650</v>
      </c>
      <c r="H164" s="45">
        <v>44704</v>
      </c>
      <c r="I164" s="46" t="s">
        <v>995</v>
      </c>
      <c r="J164" s="28">
        <v>3</v>
      </c>
      <c r="K164" s="28" t="s">
        <v>413</v>
      </c>
      <c r="L164" s="28" t="s">
        <v>140</v>
      </c>
      <c r="M164" s="28" t="s">
        <v>2</v>
      </c>
      <c r="N164" s="28" t="str">
        <f t="shared" si="71"/>
        <v>AE4</v>
      </c>
      <c r="O164" s="81"/>
      <c r="P164" s="81">
        <f t="shared" si="72"/>
        <v>0</v>
      </c>
      <c r="Q164" s="81">
        <f t="shared" si="73"/>
        <v>0</v>
      </c>
      <c r="R164" s="81">
        <f t="shared" si="74"/>
        <v>0</v>
      </c>
      <c r="S164" s="81"/>
      <c r="T164" s="82">
        <f t="shared" si="75"/>
        <v>0</v>
      </c>
      <c r="U164" s="82">
        <f t="shared" si="76"/>
        <v>0</v>
      </c>
      <c r="V164" s="82">
        <f t="shared" si="77"/>
        <v>0</v>
      </c>
      <c r="W164" s="83">
        <v>0</v>
      </c>
      <c r="X164" s="83">
        <v>0</v>
      </c>
      <c r="Y164" s="83">
        <v>0</v>
      </c>
      <c r="Z164" s="84">
        <f>ROUND((IF(($O164&lt;=700000),0,IF(((VLOOKUP($M164,'Loyalty - Effec - 15July'!$B$5:$C$17,2,0)*$O164)&lt;=120000),(VLOOKUP($M164,'Loyalty - Effec - 15July'!$B$5:$C$17,2,0)*$O164),120000))),0)</f>
        <v>0</v>
      </c>
      <c r="AA164" s="84">
        <f>ROUND(VLOOKUP($M164,'Loyalty - Effec - 15July'!$B$5:$D$17,3,0)*$O164,0)</f>
        <v>0</v>
      </c>
      <c r="AB164" s="85">
        <f t="shared" si="78"/>
        <v>0</v>
      </c>
      <c r="AC164" s="86">
        <f t="shared" si="79"/>
        <v>0</v>
      </c>
      <c r="AD164" s="87">
        <f t="shared" si="80"/>
        <v>0</v>
      </c>
      <c r="AE164" s="88">
        <f t="shared" si="81"/>
        <v>0</v>
      </c>
      <c r="AF164" s="88">
        <f t="shared" si="82"/>
        <v>0</v>
      </c>
      <c r="AG164" s="49" t="s">
        <v>170</v>
      </c>
      <c r="AH164" s="49" t="s">
        <v>909</v>
      </c>
      <c r="AI164" s="50"/>
      <c r="AJ164" s="46"/>
      <c r="AK164" s="46"/>
      <c r="AL164" s="46"/>
      <c r="AM164" s="51">
        <f>IF($AL164=4,VLOOKUP($AR164,'Loyalty Incentive v1'!$L$3:$Q$15,2,FALSE),
IF($AL164=3,VLOOKUP($AR164,'Loyalty Incentive v1'!$L$3:$Q$15,3,FALSE),
IF($AL164=2,VLOOKUP($AR164,'Loyalty Incentive v1'!$L$3:$Q$15,4,FALSE),
IF($AL164=1,VLOOKUP($AR164,'Loyalty Incentive v1'!$L$3:$Q$15,5,FALSE),
IF($AL164=0,VLOOKUP($AR164,'Loyalty Incentive v1'!$L$3:$Q$15,6,FALSE),0)))))</f>
        <v>0</v>
      </c>
      <c r="AN164" s="51">
        <f>IFERROR(IF(I164&gt;="1",AM164,VLOOKUP(VALUE(I164),'Loyalty - Effec - 15July'!$I$5:$J$16,2,0)*AM164),0)</f>
        <v>0</v>
      </c>
      <c r="AO164" s="51">
        <v>0</v>
      </c>
      <c r="AP164" s="51">
        <f t="shared" si="83"/>
        <v>0</v>
      </c>
      <c r="AQ164" s="46" t="str">
        <f t="shared" si="95"/>
        <v>No</v>
      </c>
      <c r="AR164" s="46" t="str">
        <f t="shared" si="96"/>
        <v>AE4</v>
      </c>
      <c r="AS164" s="46" t="b">
        <f t="shared" si="97"/>
        <v>1</v>
      </c>
      <c r="AT164" s="82">
        <f t="shared" si="98"/>
        <v>0</v>
      </c>
      <c r="AU164" s="82">
        <f t="shared" si="84"/>
        <v>0</v>
      </c>
      <c r="AV164" s="82">
        <f t="shared" si="85"/>
        <v>0</v>
      </c>
      <c r="AW164" s="82">
        <f t="shared" si="86"/>
        <v>0</v>
      </c>
      <c r="AX164" s="85"/>
      <c r="AY164" s="82">
        <f t="shared" si="87"/>
        <v>0</v>
      </c>
      <c r="AZ164" s="82">
        <f t="shared" si="88"/>
        <v>0</v>
      </c>
      <c r="BA164" s="82">
        <f t="shared" si="89"/>
        <v>0</v>
      </c>
      <c r="BB164" s="83">
        <v>0</v>
      </c>
      <c r="BC164" s="83">
        <v>0</v>
      </c>
      <c r="BD164" s="83">
        <v>0</v>
      </c>
      <c r="BE164" s="84">
        <f>ROUND((IF(($AT164&lt;=700000),0,IF(((VLOOKUP($AR164,'Loyalty - Effec - 15July'!$B$5:$C$17,2,0)*$AT164)&lt;=120000),(VLOOKUP($AR164,'Loyalty - Effec - 15July'!$B$5:$C$17,2,0)*$AT164),120000))),0)</f>
        <v>0</v>
      </c>
      <c r="BF164" s="84">
        <f>ROUND(VLOOKUP($AR164,'Loyalty - Effec - 15July'!$B$5:$D$17,3,0)*$AT164,0)</f>
        <v>0</v>
      </c>
      <c r="BG164" s="85">
        <f t="shared" si="90"/>
        <v>0</v>
      </c>
      <c r="BH164" s="81">
        <f t="shared" si="91"/>
        <v>0</v>
      </c>
      <c r="BI164" s="85">
        <f t="shared" si="92"/>
        <v>0</v>
      </c>
      <c r="BJ164" s="85">
        <f t="shared" si="93"/>
        <v>0</v>
      </c>
      <c r="BK164" s="85">
        <f t="shared" si="94"/>
        <v>0</v>
      </c>
      <c r="BL164" s="85">
        <f t="shared" si="99"/>
        <v>0</v>
      </c>
      <c r="BM164" s="85">
        <f t="shared" si="100"/>
        <v>0</v>
      </c>
      <c r="BN164" s="85">
        <f t="shared" si="101"/>
        <v>0</v>
      </c>
      <c r="BO164" s="52" t="s">
        <v>85</v>
      </c>
      <c r="BP164" s="46"/>
      <c r="BQ164" s="46"/>
      <c r="BR164" s="47">
        <f t="shared" si="107"/>
        <v>0</v>
      </c>
      <c r="BU164" s="47">
        <f t="shared" si="103"/>
        <v>0</v>
      </c>
      <c r="BV164" s="53" t="s">
        <v>428</v>
      </c>
      <c r="BW164" s="53" t="s">
        <v>932</v>
      </c>
      <c r="BX164" s="53" t="s">
        <v>650</v>
      </c>
      <c r="BY164" s="53"/>
      <c r="BZ164" s="53"/>
    </row>
    <row r="165" spans="1:79">
      <c r="A165" s="42" t="s">
        <v>429</v>
      </c>
      <c r="B165" s="28" t="s">
        <v>79</v>
      </c>
      <c r="C165" s="28" t="s">
        <v>80</v>
      </c>
      <c r="D165" s="28" t="s">
        <v>932</v>
      </c>
      <c r="E165" s="43" t="s">
        <v>82</v>
      </c>
      <c r="F165" s="28" t="s">
        <v>901</v>
      </c>
      <c r="G165" s="44" t="s">
        <v>651</v>
      </c>
      <c r="H165" s="45">
        <v>44711</v>
      </c>
      <c r="I165" s="46" t="s">
        <v>995</v>
      </c>
      <c r="J165" s="28">
        <v>4.3</v>
      </c>
      <c r="K165" s="28" t="s">
        <v>407</v>
      </c>
      <c r="L165" s="28" t="s">
        <v>868</v>
      </c>
      <c r="M165" s="28" t="s">
        <v>1</v>
      </c>
      <c r="N165" s="28" t="str">
        <f t="shared" si="71"/>
        <v>AE3</v>
      </c>
      <c r="O165" s="81"/>
      <c r="P165" s="81">
        <f t="shared" si="72"/>
        <v>0</v>
      </c>
      <c r="Q165" s="81">
        <f t="shared" si="73"/>
        <v>0</v>
      </c>
      <c r="R165" s="81">
        <f t="shared" si="74"/>
        <v>0</v>
      </c>
      <c r="S165" s="81"/>
      <c r="T165" s="82">
        <f t="shared" si="75"/>
        <v>0</v>
      </c>
      <c r="U165" s="82">
        <f t="shared" si="76"/>
        <v>0</v>
      </c>
      <c r="V165" s="82">
        <f t="shared" si="77"/>
        <v>0</v>
      </c>
      <c r="W165" s="83">
        <v>0</v>
      </c>
      <c r="X165" s="83">
        <v>0</v>
      </c>
      <c r="Y165" s="83">
        <v>0</v>
      </c>
      <c r="Z165" s="84">
        <f>ROUND((IF(($O165&lt;=700000),0,IF(((VLOOKUP($M165,'Loyalty - Effec - 15July'!$B$5:$C$17,2,0)*$O165)&lt;=120000),(VLOOKUP($M165,'Loyalty - Effec - 15July'!$B$5:$C$17,2,0)*$O165),120000))),0)</f>
        <v>0</v>
      </c>
      <c r="AA165" s="84">
        <f>ROUND(VLOOKUP($M165,'Loyalty - Effec - 15July'!$B$5:$D$17,3,0)*$O165,0)</f>
        <v>0</v>
      </c>
      <c r="AB165" s="85">
        <f t="shared" si="78"/>
        <v>0</v>
      </c>
      <c r="AC165" s="86">
        <f t="shared" si="79"/>
        <v>0</v>
      </c>
      <c r="AD165" s="87">
        <f t="shared" si="80"/>
        <v>0</v>
      </c>
      <c r="AE165" s="88">
        <f t="shared" si="81"/>
        <v>0</v>
      </c>
      <c r="AF165" s="88">
        <f t="shared" si="82"/>
        <v>0</v>
      </c>
      <c r="AG165" s="49" t="s">
        <v>702</v>
      </c>
      <c r="AH165" s="49" t="s">
        <v>349</v>
      </c>
      <c r="AI165" s="50"/>
      <c r="AJ165" s="46"/>
      <c r="AK165" s="46"/>
      <c r="AL165" s="46"/>
      <c r="AM165" s="51">
        <f>IF($AL165=4,VLOOKUP($AR165,'Loyalty Incentive v1'!$L$3:$Q$15,2,FALSE),
IF($AL165=3,VLOOKUP($AR165,'Loyalty Incentive v1'!$L$3:$Q$15,3,FALSE),
IF($AL165=2,VLOOKUP($AR165,'Loyalty Incentive v1'!$L$3:$Q$15,4,FALSE),
IF($AL165=1,VLOOKUP($AR165,'Loyalty Incentive v1'!$L$3:$Q$15,5,FALSE),
IF($AL165=0,VLOOKUP($AR165,'Loyalty Incentive v1'!$L$3:$Q$15,6,FALSE),0)))))</f>
        <v>0</v>
      </c>
      <c r="AN165" s="51">
        <f>IFERROR(IF(I165&gt;="1",AM165,VLOOKUP(VALUE(I165),'Loyalty - Effec - 15July'!$I$5:$J$16,2,0)*AM165),0)</f>
        <v>0</v>
      </c>
      <c r="AO165" s="51">
        <v>0</v>
      </c>
      <c r="AP165" s="51">
        <f t="shared" si="83"/>
        <v>0</v>
      </c>
      <c r="AQ165" s="46" t="str">
        <f t="shared" si="95"/>
        <v>No</v>
      </c>
      <c r="AR165" s="46" t="str">
        <f t="shared" si="96"/>
        <v>AE3</v>
      </c>
      <c r="AS165" s="46" t="b">
        <f t="shared" si="97"/>
        <v>1</v>
      </c>
      <c r="AT165" s="82">
        <f t="shared" si="98"/>
        <v>0</v>
      </c>
      <c r="AU165" s="82">
        <f t="shared" si="84"/>
        <v>0</v>
      </c>
      <c r="AV165" s="82">
        <f t="shared" si="85"/>
        <v>0</v>
      </c>
      <c r="AW165" s="82">
        <f t="shared" si="86"/>
        <v>0</v>
      </c>
      <c r="AX165" s="85"/>
      <c r="AY165" s="82">
        <f t="shared" si="87"/>
        <v>0</v>
      </c>
      <c r="AZ165" s="82">
        <f t="shared" si="88"/>
        <v>0</v>
      </c>
      <c r="BA165" s="82">
        <f t="shared" si="89"/>
        <v>0</v>
      </c>
      <c r="BB165" s="83">
        <v>0</v>
      </c>
      <c r="BC165" s="83">
        <v>0</v>
      </c>
      <c r="BD165" s="83">
        <v>0</v>
      </c>
      <c r="BE165" s="84">
        <f>ROUND((IF(($AT165&lt;=700000),0,IF(((VLOOKUP($AR165,'Loyalty - Effec - 15July'!$B$5:$C$17,2,0)*$AT165)&lt;=120000),(VLOOKUP($AR165,'Loyalty - Effec - 15July'!$B$5:$C$17,2,0)*$AT165),120000))),0)</f>
        <v>0</v>
      </c>
      <c r="BF165" s="84">
        <f>ROUND(VLOOKUP($AR165,'Loyalty - Effec - 15July'!$B$5:$D$17,3,0)*$AT165,0)</f>
        <v>0</v>
      </c>
      <c r="BG165" s="85">
        <f t="shared" si="90"/>
        <v>0</v>
      </c>
      <c r="BH165" s="81">
        <f t="shared" si="91"/>
        <v>0</v>
      </c>
      <c r="BI165" s="85">
        <f t="shared" si="92"/>
        <v>0</v>
      </c>
      <c r="BJ165" s="85">
        <f t="shared" si="93"/>
        <v>0</v>
      </c>
      <c r="BK165" s="85">
        <f t="shared" si="94"/>
        <v>0</v>
      </c>
      <c r="BL165" s="85">
        <f t="shared" si="99"/>
        <v>0</v>
      </c>
      <c r="BM165" s="85">
        <f t="shared" si="100"/>
        <v>0</v>
      </c>
      <c r="BN165" s="85">
        <f t="shared" si="101"/>
        <v>0</v>
      </c>
      <c r="BO165" s="52" t="s">
        <v>85</v>
      </c>
      <c r="BP165" s="46"/>
      <c r="BQ165" s="46"/>
      <c r="BR165" s="47">
        <f t="shared" si="107"/>
        <v>0</v>
      </c>
      <c r="BU165" s="47">
        <f t="shared" si="103"/>
        <v>0</v>
      </c>
      <c r="BV165" s="53" t="s">
        <v>429</v>
      </c>
      <c r="BW165" s="53" t="s">
        <v>932</v>
      </c>
      <c r="BX165" s="53" t="s">
        <v>651</v>
      </c>
      <c r="BY165" s="53"/>
      <c r="BZ165" s="53"/>
    </row>
    <row r="166" spans="1:79">
      <c r="A166" s="42" t="s">
        <v>430</v>
      </c>
      <c r="B166" s="28" t="s">
        <v>79</v>
      </c>
      <c r="C166" s="28" t="s">
        <v>80</v>
      </c>
      <c r="D166" s="28" t="s">
        <v>81</v>
      </c>
      <c r="E166" s="43" t="s">
        <v>82</v>
      </c>
      <c r="F166" s="28" t="s">
        <v>901</v>
      </c>
      <c r="G166" s="44" t="s">
        <v>652</v>
      </c>
      <c r="H166" s="45">
        <v>44711</v>
      </c>
      <c r="I166" s="28" t="s">
        <v>995</v>
      </c>
      <c r="J166" s="28">
        <v>6.4</v>
      </c>
      <c r="K166" s="28" t="s">
        <v>420</v>
      </c>
      <c r="L166" s="28" t="s">
        <v>890</v>
      </c>
      <c r="M166" s="28" t="s">
        <v>1</v>
      </c>
      <c r="N166" s="28" t="str">
        <f t="shared" si="71"/>
        <v>AE3</v>
      </c>
      <c r="O166" s="81"/>
      <c r="P166" s="81">
        <f t="shared" si="72"/>
        <v>0</v>
      </c>
      <c r="Q166" s="81">
        <f t="shared" si="73"/>
        <v>0</v>
      </c>
      <c r="R166" s="81">
        <f t="shared" si="74"/>
        <v>0</v>
      </c>
      <c r="S166" s="81"/>
      <c r="T166" s="82">
        <f t="shared" si="75"/>
        <v>0</v>
      </c>
      <c r="U166" s="82">
        <f t="shared" si="76"/>
        <v>0</v>
      </c>
      <c r="V166" s="82">
        <f t="shared" si="77"/>
        <v>0</v>
      </c>
      <c r="W166" s="83">
        <v>0</v>
      </c>
      <c r="X166" s="83">
        <v>0</v>
      </c>
      <c r="Y166" s="83">
        <v>0</v>
      </c>
      <c r="Z166" s="84">
        <f>ROUND((IF(($O166&lt;=700000),0,IF(((VLOOKUP($M166,'Loyalty - Effec - 15July'!$B$5:$C$17,2,0)*$O166)&lt;=120000),(VLOOKUP($M166,'Loyalty - Effec - 15July'!$B$5:$C$17,2,0)*$O166),120000))),0)</f>
        <v>0</v>
      </c>
      <c r="AA166" s="84">
        <f>ROUND(VLOOKUP($M166,'Loyalty - Effec - 15July'!$B$5:$D$17,3,0)*$O166,0)</f>
        <v>0</v>
      </c>
      <c r="AB166" s="85">
        <f t="shared" si="78"/>
        <v>0</v>
      </c>
      <c r="AC166" s="86">
        <f t="shared" si="79"/>
        <v>0</v>
      </c>
      <c r="AD166" s="87">
        <f t="shared" si="80"/>
        <v>0</v>
      </c>
      <c r="AE166" s="88">
        <f t="shared" si="81"/>
        <v>0</v>
      </c>
      <c r="AF166" s="88">
        <f t="shared" si="82"/>
        <v>0</v>
      </c>
      <c r="AG166" s="49" t="s">
        <v>129</v>
      </c>
      <c r="AH166" s="49" t="s">
        <v>129</v>
      </c>
      <c r="AI166" s="50"/>
      <c r="AJ166" s="50"/>
      <c r="AK166" s="50"/>
      <c r="AL166" s="46"/>
      <c r="AM166" s="51">
        <f>IF($AL166=4,VLOOKUP($AR166,'Loyalty Incentive v1'!$L$3:$Q$15,2,FALSE),
IF($AL166=3,VLOOKUP($AR166,'Loyalty Incentive v1'!$L$3:$Q$15,3,FALSE),
IF($AL166=2,VLOOKUP($AR166,'Loyalty Incentive v1'!$L$3:$Q$15,4,FALSE),
IF($AL166=1,VLOOKUP($AR166,'Loyalty Incentive v1'!$L$3:$Q$15,5,FALSE),
IF($AL166=0,VLOOKUP($AR166,'Loyalty Incentive v1'!$L$3:$Q$15,6,FALSE),0)))))</f>
        <v>0</v>
      </c>
      <c r="AN166" s="51">
        <f>IFERROR(IF(I166&gt;="1",AM166,VLOOKUP(VALUE(I166),'Loyalty - Effec - 15July'!$I$5:$J$16,2,0)*AM166),0)</f>
        <v>0</v>
      </c>
      <c r="AO166" s="51">
        <v>-0.1</v>
      </c>
      <c r="AP166" s="51">
        <f t="shared" si="83"/>
        <v>-0.1</v>
      </c>
      <c r="AQ166" s="46" t="str">
        <f t="shared" si="95"/>
        <v>No</v>
      </c>
      <c r="AR166" s="46" t="str">
        <f t="shared" si="96"/>
        <v>AE3</v>
      </c>
      <c r="AS166" s="46" t="b">
        <f t="shared" si="97"/>
        <v>1</v>
      </c>
      <c r="AT166" s="82">
        <f t="shared" si="98"/>
        <v>0</v>
      </c>
      <c r="AU166" s="82">
        <f t="shared" si="84"/>
        <v>0</v>
      </c>
      <c r="AV166" s="82">
        <f t="shared" si="85"/>
        <v>0</v>
      </c>
      <c r="AW166" s="82">
        <f t="shared" si="86"/>
        <v>0</v>
      </c>
      <c r="AX166" s="85"/>
      <c r="AY166" s="82">
        <f t="shared" si="87"/>
        <v>0</v>
      </c>
      <c r="AZ166" s="82">
        <f t="shared" si="88"/>
        <v>0</v>
      </c>
      <c r="BA166" s="82">
        <f t="shared" si="89"/>
        <v>0</v>
      </c>
      <c r="BB166" s="83">
        <v>0</v>
      </c>
      <c r="BC166" s="83">
        <v>0</v>
      </c>
      <c r="BD166" s="83">
        <v>0</v>
      </c>
      <c r="BE166" s="84">
        <f>ROUND((IF(($AT166&lt;=700000),0,IF(((VLOOKUP($AR166,'Loyalty - Effec - 15July'!$B$5:$C$17,2,0)*$AT166)&lt;=120000),(VLOOKUP($AR166,'Loyalty - Effec - 15July'!$B$5:$C$17,2,0)*$AT166),120000))),0)</f>
        <v>0</v>
      </c>
      <c r="BF166" s="84">
        <f>ROUND(VLOOKUP($AR166,'Loyalty - Effec - 15July'!$B$5:$D$17,3,0)*$AT166,0)</f>
        <v>0</v>
      </c>
      <c r="BG166" s="85">
        <f t="shared" si="90"/>
        <v>0</v>
      </c>
      <c r="BH166" s="81">
        <f t="shared" si="91"/>
        <v>0</v>
      </c>
      <c r="BI166" s="85">
        <f t="shared" si="92"/>
        <v>0</v>
      </c>
      <c r="BJ166" s="85">
        <f t="shared" si="93"/>
        <v>0</v>
      </c>
      <c r="BK166" s="85">
        <f t="shared" si="94"/>
        <v>0</v>
      </c>
      <c r="BL166" s="85">
        <f t="shared" si="99"/>
        <v>0</v>
      </c>
      <c r="BM166" s="85">
        <f t="shared" si="100"/>
        <v>0</v>
      </c>
      <c r="BN166" s="85">
        <f t="shared" si="101"/>
        <v>0</v>
      </c>
      <c r="BO166" s="52" t="s">
        <v>85</v>
      </c>
      <c r="BP166" s="46"/>
      <c r="BQ166" s="46"/>
      <c r="BR166" s="47">
        <f t="shared" si="107"/>
        <v>0</v>
      </c>
      <c r="BS166" s="46">
        <v>4</v>
      </c>
      <c r="BT166" s="54">
        <v>0.34916666666666668</v>
      </c>
      <c r="BU166" s="47">
        <f t="shared" si="103"/>
        <v>0</v>
      </c>
      <c r="BV166" s="53" t="s">
        <v>430</v>
      </c>
      <c r="BW166" s="53" t="s">
        <v>81</v>
      </c>
      <c r="BX166" s="53" t="s">
        <v>652</v>
      </c>
      <c r="BY166" s="53"/>
      <c r="BZ166" s="53"/>
      <c r="CA166" s="55"/>
    </row>
    <row r="167" spans="1:79">
      <c r="A167" s="42" t="s">
        <v>431</v>
      </c>
      <c r="B167" s="28" t="s">
        <v>79</v>
      </c>
      <c r="C167" s="28" t="s">
        <v>80</v>
      </c>
      <c r="D167" s="28" t="s">
        <v>81</v>
      </c>
      <c r="E167" s="43" t="s">
        <v>82</v>
      </c>
      <c r="F167" s="28" t="s">
        <v>901</v>
      </c>
      <c r="G167" s="44" t="s">
        <v>653</v>
      </c>
      <c r="H167" s="45">
        <v>44711</v>
      </c>
      <c r="I167" s="28" t="s">
        <v>995</v>
      </c>
      <c r="J167" s="28">
        <v>0</v>
      </c>
      <c r="K167" s="28" t="s">
        <v>863</v>
      </c>
      <c r="L167" s="28" t="s">
        <v>881</v>
      </c>
      <c r="M167" s="28" t="s">
        <v>1</v>
      </c>
      <c r="N167" s="28" t="str">
        <f t="shared" si="71"/>
        <v>AE3</v>
      </c>
      <c r="O167" s="81"/>
      <c r="P167" s="81">
        <f t="shared" si="72"/>
        <v>0</v>
      </c>
      <c r="Q167" s="81">
        <f t="shared" si="73"/>
        <v>0</v>
      </c>
      <c r="R167" s="81">
        <f t="shared" si="74"/>
        <v>0</v>
      </c>
      <c r="S167" s="81"/>
      <c r="T167" s="82">
        <f t="shared" si="75"/>
        <v>0</v>
      </c>
      <c r="U167" s="82">
        <f t="shared" si="76"/>
        <v>0</v>
      </c>
      <c r="V167" s="82">
        <f t="shared" si="77"/>
        <v>0</v>
      </c>
      <c r="W167" s="83">
        <v>0</v>
      </c>
      <c r="X167" s="83">
        <v>0</v>
      </c>
      <c r="Y167" s="83">
        <v>0</v>
      </c>
      <c r="Z167" s="84">
        <f>ROUND((IF(($O167&lt;=700000),0,IF(((VLOOKUP($M167,'Loyalty - Effec - 15July'!$B$5:$C$17,2,0)*$O167)&lt;=120000),(VLOOKUP($M167,'Loyalty - Effec - 15July'!$B$5:$C$17,2,0)*$O167),120000))),0)</f>
        <v>0</v>
      </c>
      <c r="AA167" s="84">
        <f>ROUND(VLOOKUP($M167,'Loyalty - Effec - 15July'!$B$5:$D$17,3,0)*$O167,0)</f>
        <v>0</v>
      </c>
      <c r="AB167" s="85">
        <f t="shared" si="78"/>
        <v>0</v>
      </c>
      <c r="AC167" s="86">
        <f t="shared" si="79"/>
        <v>0</v>
      </c>
      <c r="AD167" s="87">
        <f t="shared" si="80"/>
        <v>0</v>
      </c>
      <c r="AE167" s="88">
        <f t="shared" si="81"/>
        <v>0</v>
      </c>
      <c r="AF167" s="88">
        <f t="shared" si="82"/>
        <v>0</v>
      </c>
      <c r="AG167" s="49" t="s">
        <v>126</v>
      </c>
      <c r="AH167" s="49" t="s">
        <v>809</v>
      </c>
      <c r="AI167" s="50"/>
      <c r="AJ167" s="50"/>
      <c r="AK167" s="50"/>
      <c r="AL167" s="46"/>
      <c r="AM167" s="51">
        <f>IF($AL167=4,VLOOKUP($AR167,'Loyalty Incentive v1'!$L$3:$Q$15,2,FALSE),
IF($AL167=3,VLOOKUP($AR167,'Loyalty Incentive v1'!$L$3:$Q$15,3,FALSE),
IF($AL167=2,VLOOKUP($AR167,'Loyalty Incentive v1'!$L$3:$Q$15,4,FALSE),
IF($AL167=1,VLOOKUP($AR167,'Loyalty Incentive v1'!$L$3:$Q$15,5,FALSE),
IF($AL167=0,VLOOKUP($AR167,'Loyalty Incentive v1'!$L$3:$Q$15,6,FALSE),0)))))</f>
        <v>0</v>
      </c>
      <c r="AN167" s="51">
        <f>IFERROR(IF(I167&gt;="1",AM167,VLOOKUP(VALUE(I167),'Loyalty - Effec - 15July'!$I$5:$J$16,2,0)*AM167),0)</f>
        <v>0</v>
      </c>
      <c r="AO167" s="51">
        <v>-0.08</v>
      </c>
      <c r="AP167" s="51">
        <f t="shared" si="83"/>
        <v>-0.08</v>
      </c>
      <c r="AQ167" s="46" t="str">
        <f t="shared" si="95"/>
        <v>No</v>
      </c>
      <c r="AR167" s="46" t="str">
        <f t="shared" si="96"/>
        <v>AE3</v>
      </c>
      <c r="AS167" s="46" t="b">
        <f t="shared" si="97"/>
        <v>1</v>
      </c>
      <c r="AT167" s="82">
        <f t="shared" si="98"/>
        <v>0</v>
      </c>
      <c r="AU167" s="82">
        <f t="shared" si="84"/>
        <v>0</v>
      </c>
      <c r="AV167" s="82">
        <f t="shared" si="85"/>
        <v>0</v>
      </c>
      <c r="AW167" s="82">
        <f t="shared" si="86"/>
        <v>0</v>
      </c>
      <c r="AX167" s="85"/>
      <c r="AY167" s="82">
        <f t="shared" si="87"/>
        <v>0</v>
      </c>
      <c r="AZ167" s="82">
        <f t="shared" si="88"/>
        <v>0</v>
      </c>
      <c r="BA167" s="82">
        <f t="shared" si="89"/>
        <v>0</v>
      </c>
      <c r="BB167" s="83">
        <v>0</v>
      </c>
      <c r="BC167" s="83">
        <v>0</v>
      </c>
      <c r="BD167" s="83">
        <v>0</v>
      </c>
      <c r="BE167" s="84">
        <f>ROUND((IF(($AT167&lt;=700000),0,IF(((VLOOKUP($AR167,'Loyalty - Effec - 15July'!$B$5:$C$17,2,0)*$AT167)&lt;=120000),(VLOOKUP($AR167,'Loyalty - Effec - 15July'!$B$5:$C$17,2,0)*$AT167),120000))),0)</f>
        <v>0</v>
      </c>
      <c r="BF167" s="84">
        <f>ROUND(VLOOKUP($AR167,'Loyalty - Effec - 15July'!$B$5:$D$17,3,0)*$AT167,0)</f>
        <v>0</v>
      </c>
      <c r="BG167" s="85">
        <f t="shared" si="90"/>
        <v>0</v>
      </c>
      <c r="BH167" s="81">
        <f t="shared" si="91"/>
        <v>0</v>
      </c>
      <c r="BI167" s="85">
        <f t="shared" si="92"/>
        <v>0</v>
      </c>
      <c r="BJ167" s="85">
        <f t="shared" si="93"/>
        <v>0</v>
      </c>
      <c r="BK167" s="85">
        <f t="shared" si="94"/>
        <v>0</v>
      </c>
      <c r="BL167" s="85">
        <f t="shared" si="99"/>
        <v>0</v>
      </c>
      <c r="BM167" s="85">
        <f t="shared" si="100"/>
        <v>0</v>
      </c>
      <c r="BN167" s="85">
        <f t="shared" si="101"/>
        <v>0</v>
      </c>
      <c r="BO167" s="52" t="s">
        <v>85</v>
      </c>
      <c r="BP167" s="46">
        <v>0</v>
      </c>
      <c r="BQ167" s="46"/>
      <c r="BR167" s="47">
        <f t="shared" si="107"/>
        <v>0</v>
      </c>
      <c r="BS167" s="46">
        <v>4</v>
      </c>
      <c r="BT167" s="54">
        <v>0.34916666666666668</v>
      </c>
      <c r="BU167" s="47">
        <f t="shared" si="103"/>
        <v>0</v>
      </c>
      <c r="BV167" s="53" t="s">
        <v>431</v>
      </c>
      <c r="BW167" s="53" t="s">
        <v>81</v>
      </c>
      <c r="BX167" s="53" t="s">
        <v>653</v>
      </c>
      <c r="BY167" s="53"/>
      <c r="BZ167" s="53"/>
      <c r="CA167" s="55"/>
    </row>
    <row r="168" spans="1:79">
      <c r="A168" s="42" t="s">
        <v>432</v>
      </c>
      <c r="B168" s="28" t="s">
        <v>79</v>
      </c>
      <c r="C168" s="28" t="s">
        <v>80</v>
      </c>
      <c r="D168" s="28" t="s">
        <v>81</v>
      </c>
      <c r="E168" s="43" t="s">
        <v>82</v>
      </c>
      <c r="F168" s="28" t="s">
        <v>901</v>
      </c>
      <c r="G168" s="44" t="s">
        <v>654</v>
      </c>
      <c r="H168" s="45">
        <v>44711</v>
      </c>
      <c r="I168" s="28" t="s">
        <v>995</v>
      </c>
      <c r="J168" s="28">
        <v>3</v>
      </c>
      <c r="K168" s="28" t="s">
        <v>420</v>
      </c>
      <c r="L168" s="28" t="s">
        <v>890</v>
      </c>
      <c r="M168" s="28" t="s">
        <v>1</v>
      </c>
      <c r="N168" s="28" t="str">
        <f t="shared" si="71"/>
        <v>AE3</v>
      </c>
      <c r="O168" s="81"/>
      <c r="P168" s="81">
        <f t="shared" si="72"/>
        <v>0</v>
      </c>
      <c r="Q168" s="81">
        <f t="shared" si="73"/>
        <v>0</v>
      </c>
      <c r="R168" s="81">
        <f t="shared" si="74"/>
        <v>0</v>
      </c>
      <c r="S168" s="81"/>
      <c r="T168" s="82">
        <f t="shared" si="75"/>
        <v>0</v>
      </c>
      <c r="U168" s="82">
        <f t="shared" si="76"/>
        <v>0</v>
      </c>
      <c r="V168" s="82">
        <f t="shared" si="77"/>
        <v>0</v>
      </c>
      <c r="W168" s="83">
        <v>0</v>
      </c>
      <c r="X168" s="83">
        <v>0</v>
      </c>
      <c r="Y168" s="83">
        <v>0</v>
      </c>
      <c r="Z168" s="84">
        <f>ROUND((IF(($O168&lt;=700000),0,IF(((VLOOKUP($M168,'Loyalty - Effec - 15July'!$B$5:$C$17,2,0)*$O168)&lt;=120000),(VLOOKUP($M168,'Loyalty - Effec - 15July'!$B$5:$C$17,2,0)*$O168),120000))),0)</f>
        <v>0</v>
      </c>
      <c r="AA168" s="84">
        <f>ROUND(VLOOKUP($M168,'Loyalty - Effec - 15July'!$B$5:$D$17,3,0)*$O168,0)</f>
        <v>0</v>
      </c>
      <c r="AB168" s="85">
        <f t="shared" si="78"/>
        <v>0</v>
      </c>
      <c r="AC168" s="86">
        <f t="shared" si="79"/>
        <v>0</v>
      </c>
      <c r="AD168" s="87">
        <f t="shared" si="80"/>
        <v>0</v>
      </c>
      <c r="AE168" s="88">
        <f t="shared" si="81"/>
        <v>0</v>
      </c>
      <c r="AF168" s="88">
        <f t="shared" si="82"/>
        <v>0</v>
      </c>
      <c r="AG168" s="49" t="s">
        <v>129</v>
      </c>
      <c r="AH168" s="49" t="s">
        <v>129</v>
      </c>
      <c r="AI168" s="50"/>
      <c r="AJ168" s="50"/>
      <c r="AK168" s="50"/>
      <c r="AL168" s="46"/>
      <c r="AM168" s="51">
        <f>IF($AL168=4,VLOOKUP($AR168,'Loyalty Incentive v1'!$L$3:$Q$15,2,FALSE),
IF($AL168=3,VLOOKUP($AR168,'Loyalty Incentive v1'!$L$3:$Q$15,3,FALSE),
IF($AL168=2,VLOOKUP($AR168,'Loyalty Incentive v1'!$L$3:$Q$15,4,FALSE),
IF($AL168=1,VLOOKUP($AR168,'Loyalty Incentive v1'!$L$3:$Q$15,5,FALSE),
IF($AL168=0,VLOOKUP($AR168,'Loyalty Incentive v1'!$L$3:$Q$15,6,FALSE),0)))))</f>
        <v>0</v>
      </c>
      <c r="AN168" s="51">
        <f>IFERROR(IF(I168&gt;="1",AM168,VLOOKUP(VALUE(I168),'Loyalty - Effec - 15July'!$I$5:$J$16,2,0)*AM168),0)</f>
        <v>0</v>
      </c>
      <c r="AO168" s="51">
        <v>-0.1</v>
      </c>
      <c r="AP168" s="51">
        <f t="shared" si="83"/>
        <v>-0.1</v>
      </c>
      <c r="AQ168" s="46" t="str">
        <f t="shared" si="95"/>
        <v>No</v>
      </c>
      <c r="AR168" s="46" t="str">
        <f t="shared" si="96"/>
        <v>AE3</v>
      </c>
      <c r="AS168" s="46" t="b">
        <f t="shared" si="97"/>
        <v>1</v>
      </c>
      <c r="AT168" s="82">
        <f t="shared" si="98"/>
        <v>0</v>
      </c>
      <c r="AU168" s="82">
        <f t="shared" si="84"/>
        <v>0</v>
      </c>
      <c r="AV168" s="82">
        <f t="shared" si="85"/>
        <v>0</v>
      </c>
      <c r="AW168" s="82">
        <f t="shared" si="86"/>
        <v>0</v>
      </c>
      <c r="AX168" s="85"/>
      <c r="AY168" s="82">
        <f t="shared" si="87"/>
        <v>0</v>
      </c>
      <c r="AZ168" s="82">
        <f t="shared" si="88"/>
        <v>0</v>
      </c>
      <c r="BA168" s="82">
        <f t="shared" si="89"/>
        <v>0</v>
      </c>
      <c r="BB168" s="83">
        <v>0</v>
      </c>
      <c r="BC168" s="83">
        <v>0</v>
      </c>
      <c r="BD168" s="83">
        <v>0</v>
      </c>
      <c r="BE168" s="84">
        <f>ROUND((IF(($AT168&lt;=700000),0,IF(((VLOOKUP($AR168,'Loyalty - Effec - 15July'!$B$5:$C$17,2,0)*$AT168)&lt;=120000),(VLOOKUP($AR168,'Loyalty - Effec - 15July'!$B$5:$C$17,2,0)*$AT168),120000))),0)</f>
        <v>0</v>
      </c>
      <c r="BF168" s="84">
        <f>ROUND(VLOOKUP($AR168,'Loyalty - Effec - 15July'!$B$5:$D$17,3,0)*$AT168,0)</f>
        <v>0</v>
      </c>
      <c r="BG168" s="85">
        <f t="shared" si="90"/>
        <v>0</v>
      </c>
      <c r="BH168" s="81">
        <f t="shared" si="91"/>
        <v>0</v>
      </c>
      <c r="BI168" s="85">
        <f t="shared" si="92"/>
        <v>0</v>
      </c>
      <c r="BJ168" s="85">
        <f t="shared" si="93"/>
        <v>0</v>
      </c>
      <c r="BK168" s="85">
        <f t="shared" si="94"/>
        <v>0</v>
      </c>
      <c r="BL168" s="85">
        <f t="shared" si="99"/>
        <v>0</v>
      </c>
      <c r="BM168" s="85">
        <f t="shared" si="100"/>
        <v>0</v>
      </c>
      <c r="BN168" s="85">
        <f t="shared" si="101"/>
        <v>0</v>
      </c>
      <c r="BO168" s="52" t="s">
        <v>85</v>
      </c>
      <c r="BP168" s="46"/>
      <c r="BQ168" s="46"/>
      <c r="BR168" s="47">
        <f t="shared" si="107"/>
        <v>0</v>
      </c>
      <c r="BS168" s="46">
        <v>4</v>
      </c>
      <c r="BT168" s="54">
        <v>0.34916666666666668</v>
      </c>
      <c r="BU168" s="47">
        <f t="shared" si="103"/>
        <v>0</v>
      </c>
      <c r="BV168" s="53" t="s">
        <v>432</v>
      </c>
      <c r="BW168" s="53" t="s">
        <v>81</v>
      </c>
      <c r="BX168" s="53" t="s">
        <v>654</v>
      </c>
      <c r="BY168" s="53"/>
      <c r="BZ168" s="53"/>
      <c r="CA168" s="55"/>
    </row>
    <row r="169" spans="1:79">
      <c r="A169" s="42" t="s">
        <v>433</v>
      </c>
      <c r="B169" s="28" t="s">
        <v>79</v>
      </c>
      <c r="C169" s="28" t="s">
        <v>80</v>
      </c>
      <c r="D169" s="28" t="s">
        <v>81</v>
      </c>
      <c r="E169" s="43" t="s">
        <v>82</v>
      </c>
      <c r="F169" s="28" t="s">
        <v>901</v>
      </c>
      <c r="G169" s="44" t="s">
        <v>655</v>
      </c>
      <c r="H169" s="45">
        <v>44711</v>
      </c>
      <c r="I169" s="28" t="s">
        <v>995</v>
      </c>
      <c r="J169" s="28">
        <v>3</v>
      </c>
      <c r="K169" s="28" t="s">
        <v>863</v>
      </c>
      <c r="L169" s="28" t="s">
        <v>881</v>
      </c>
      <c r="M169" s="28" t="s">
        <v>1</v>
      </c>
      <c r="N169" s="28" t="str">
        <f t="shared" si="71"/>
        <v>AE3</v>
      </c>
      <c r="O169" s="81"/>
      <c r="P169" s="81">
        <f t="shared" si="72"/>
        <v>0</v>
      </c>
      <c r="Q169" s="81">
        <f t="shared" si="73"/>
        <v>0</v>
      </c>
      <c r="R169" s="81">
        <f t="shared" si="74"/>
        <v>0</v>
      </c>
      <c r="S169" s="81"/>
      <c r="T169" s="82">
        <f t="shared" si="75"/>
        <v>0</v>
      </c>
      <c r="U169" s="82">
        <f t="shared" si="76"/>
        <v>0</v>
      </c>
      <c r="V169" s="82">
        <f t="shared" si="77"/>
        <v>0</v>
      </c>
      <c r="W169" s="83">
        <v>0</v>
      </c>
      <c r="X169" s="83">
        <v>0</v>
      </c>
      <c r="Y169" s="83">
        <v>0</v>
      </c>
      <c r="Z169" s="84">
        <f>ROUND((IF(($O169&lt;=700000),0,IF(((VLOOKUP($M169,'Loyalty - Effec - 15July'!$B$5:$C$17,2,0)*$O169)&lt;=120000),(VLOOKUP($M169,'Loyalty - Effec - 15July'!$B$5:$C$17,2,0)*$O169),120000))),0)</f>
        <v>0</v>
      </c>
      <c r="AA169" s="84">
        <f>ROUND(VLOOKUP($M169,'Loyalty - Effec - 15July'!$B$5:$D$17,3,0)*$O169,0)</f>
        <v>0</v>
      </c>
      <c r="AB169" s="85">
        <f t="shared" si="78"/>
        <v>0</v>
      </c>
      <c r="AC169" s="86">
        <f t="shared" si="79"/>
        <v>0</v>
      </c>
      <c r="AD169" s="87">
        <f t="shared" si="80"/>
        <v>0</v>
      </c>
      <c r="AE169" s="88">
        <f t="shared" si="81"/>
        <v>0</v>
      </c>
      <c r="AF169" s="88">
        <f t="shared" si="82"/>
        <v>0</v>
      </c>
      <c r="AG169" s="49" t="s">
        <v>126</v>
      </c>
      <c r="AH169" s="49" t="s">
        <v>809</v>
      </c>
      <c r="AI169" s="50"/>
      <c r="AJ169" s="50"/>
      <c r="AK169" s="50"/>
      <c r="AL169" s="46"/>
      <c r="AM169" s="51">
        <f>IF($AL169=4,VLOOKUP($AR169,'Loyalty Incentive v1'!$L$3:$Q$15,2,FALSE),
IF($AL169=3,VLOOKUP($AR169,'Loyalty Incentive v1'!$L$3:$Q$15,3,FALSE),
IF($AL169=2,VLOOKUP($AR169,'Loyalty Incentive v1'!$L$3:$Q$15,4,FALSE),
IF($AL169=1,VLOOKUP($AR169,'Loyalty Incentive v1'!$L$3:$Q$15,5,FALSE),
IF($AL169=0,VLOOKUP($AR169,'Loyalty Incentive v1'!$L$3:$Q$15,6,FALSE),0)))))</f>
        <v>0</v>
      </c>
      <c r="AN169" s="51">
        <f>IFERROR(IF(I169&gt;="1",AM169,VLOOKUP(VALUE(I169),'Loyalty - Effec - 15July'!$I$5:$J$16,2,0)*AM169),0)</f>
        <v>0</v>
      </c>
      <c r="AO169" s="51">
        <v>-0.08</v>
      </c>
      <c r="AP169" s="51">
        <f t="shared" si="83"/>
        <v>-0.08</v>
      </c>
      <c r="AQ169" s="46" t="str">
        <f t="shared" si="95"/>
        <v>No</v>
      </c>
      <c r="AR169" s="46" t="str">
        <f t="shared" si="96"/>
        <v>AE3</v>
      </c>
      <c r="AS169" s="46" t="b">
        <f t="shared" si="97"/>
        <v>1</v>
      </c>
      <c r="AT169" s="82">
        <f t="shared" si="98"/>
        <v>0</v>
      </c>
      <c r="AU169" s="82">
        <f t="shared" si="84"/>
        <v>0</v>
      </c>
      <c r="AV169" s="82">
        <f t="shared" si="85"/>
        <v>0</v>
      </c>
      <c r="AW169" s="82">
        <f t="shared" si="86"/>
        <v>0</v>
      </c>
      <c r="AX169" s="85"/>
      <c r="AY169" s="82">
        <f t="shared" si="87"/>
        <v>0</v>
      </c>
      <c r="AZ169" s="82">
        <f t="shared" si="88"/>
        <v>0</v>
      </c>
      <c r="BA169" s="82">
        <f t="shared" si="89"/>
        <v>0</v>
      </c>
      <c r="BB169" s="83">
        <v>0</v>
      </c>
      <c r="BC169" s="83">
        <v>0</v>
      </c>
      <c r="BD169" s="83">
        <v>0</v>
      </c>
      <c r="BE169" s="84">
        <f>ROUND((IF(($AT169&lt;=700000),0,IF(((VLOOKUP($AR169,'Loyalty - Effec - 15July'!$B$5:$C$17,2,0)*$AT169)&lt;=120000),(VLOOKUP($AR169,'Loyalty - Effec - 15July'!$B$5:$C$17,2,0)*$AT169),120000))),0)</f>
        <v>0</v>
      </c>
      <c r="BF169" s="84">
        <f>ROUND(VLOOKUP($AR169,'Loyalty - Effec - 15July'!$B$5:$D$17,3,0)*$AT169,0)</f>
        <v>0</v>
      </c>
      <c r="BG169" s="85">
        <f t="shared" si="90"/>
        <v>0</v>
      </c>
      <c r="BH169" s="81">
        <f t="shared" si="91"/>
        <v>0</v>
      </c>
      <c r="BI169" s="85">
        <f t="shared" si="92"/>
        <v>0</v>
      </c>
      <c r="BJ169" s="85">
        <f t="shared" si="93"/>
        <v>0</v>
      </c>
      <c r="BK169" s="85">
        <f t="shared" si="94"/>
        <v>0</v>
      </c>
      <c r="BL169" s="85">
        <f t="shared" si="99"/>
        <v>0</v>
      </c>
      <c r="BM169" s="85">
        <f t="shared" si="100"/>
        <v>0</v>
      </c>
      <c r="BN169" s="85">
        <f t="shared" si="101"/>
        <v>0</v>
      </c>
      <c r="BO169" s="52" t="s">
        <v>85</v>
      </c>
      <c r="BP169" s="46"/>
      <c r="BQ169" s="46"/>
      <c r="BR169" s="47">
        <f t="shared" si="107"/>
        <v>0</v>
      </c>
      <c r="BS169" s="46">
        <v>4</v>
      </c>
      <c r="BT169" s="54">
        <v>0.35916666666666663</v>
      </c>
      <c r="BU169" s="47">
        <f t="shared" si="103"/>
        <v>0</v>
      </c>
      <c r="BV169" s="53" t="s">
        <v>433</v>
      </c>
      <c r="BW169" s="53" t="s">
        <v>81</v>
      </c>
      <c r="BX169" s="53" t="s">
        <v>655</v>
      </c>
      <c r="BY169" s="53"/>
      <c r="BZ169" s="53"/>
      <c r="CA169" s="55"/>
    </row>
    <row r="170" spans="1:79">
      <c r="A170" s="42" t="s">
        <v>434</v>
      </c>
      <c r="B170" s="28" t="s">
        <v>79</v>
      </c>
      <c r="C170" s="28" t="s">
        <v>80</v>
      </c>
      <c r="D170" s="28" t="s">
        <v>932</v>
      </c>
      <c r="E170" s="43" t="s">
        <v>82</v>
      </c>
      <c r="F170" s="28" t="s">
        <v>901</v>
      </c>
      <c r="G170" s="44" t="s">
        <v>656</v>
      </c>
      <c r="H170" s="45">
        <v>44718</v>
      </c>
      <c r="I170" s="46" t="s">
        <v>996</v>
      </c>
      <c r="J170" s="28">
        <v>5.5</v>
      </c>
      <c r="K170" s="28" t="s">
        <v>413</v>
      </c>
      <c r="L170" s="28" t="s">
        <v>880</v>
      </c>
      <c r="M170" s="28" t="s">
        <v>2</v>
      </c>
      <c r="N170" s="28" t="str">
        <f t="shared" si="71"/>
        <v>AE4</v>
      </c>
      <c r="O170" s="81"/>
      <c r="P170" s="81">
        <f t="shared" si="72"/>
        <v>0</v>
      </c>
      <c r="Q170" s="81">
        <f t="shared" si="73"/>
        <v>0</v>
      </c>
      <c r="R170" s="81">
        <f t="shared" si="74"/>
        <v>0</v>
      </c>
      <c r="S170" s="81"/>
      <c r="T170" s="82">
        <f t="shared" si="75"/>
        <v>0</v>
      </c>
      <c r="U170" s="82">
        <f t="shared" si="76"/>
        <v>0</v>
      </c>
      <c r="V170" s="82">
        <f t="shared" si="77"/>
        <v>0</v>
      </c>
      <c r="W170" s="83">
        <v>0</v>
      </c>
      <c r="X170" s="83">
        <v>0</v>
      </c>
      <c r="Y170" s="83">
        <v>0</v>
      </c>
      <c r="Z170" s="84">
        <f>ROUND((IF(($O170&lt;=700000),0,IF(((VLOOKUP($M170,'Loyalty - Effec - 15July'!$B$5:$C$17,2,0)*$O170)&lt;=120000),(VLOOKUP($M170,'Loyalty - Effec - 15July'!$B$5:$C$17,2,0)*$O170),120000))),0)</f>
        <v>0</v>
      </c>
      <c r="AA170" s="84">
        <f>ROUND(VLOOKUP($M170,'Loyalty - Effec - 15July'!$B$5:$D$17,3,0)*$O170,0)</f>
        <v>0</v>
      </c>
      <c r="AB170" s="85">
        <f t="shared" si="78"/>
        <v>0</v>
      </c>
      <c r="AC170" s="86">
        <f t="shared" si="79"/>
        <v>0</v>
      </c>
      <c r="AD170" s="87">
        <f t="shared" si="80"/>
        <v>0</v>
      </c>
      <c r="AE170" s="88">
        <f t="shared" si="81"/>
        <v>0</v>
      </c>
      <c r="AF170" s="88">
        <f t="shared" si="82"/>
        <v>0</v>
      </c>
      <c r="AG170" s="49" t="s">
        <v>655</v>
      </c>
      <c r="AH170" s="49" t="s">
        <v>126</v>
      </c>
      <c r="AI170" s="50"/>
      <c r="AJ170" s="46"/>
      <c r="AK170" s="46"/>
      <c r="AL170" s="46"/>
      <c r="AM170" s="51">
        <f>IF($AL170=4,VLOOKUP($AR170,'Loyalty Incentive v1'!$L$3:$Q$15,2,FALSE),
IF($AL170=3,VLOOKUP($AR170,'Loyalty Incentive v1'!$L$3:$Q$15,3,FALSE),
IF($AL170=2,VLOOKUP($AR170,'Loyalty Incentive v1'!$L$3:$Q$15,4,FALSE),
IF($AL170=1,VLOOKUP($AR170,'Loyalty Incentive v1'!$L$3:$Q$15,5,FALSE),
IF($AL170=0,VLOOKUP($AR170,'Loyalty Incentive v1'!$L$3:$Q$15,6,FALSE),0)))))</f>
        <v>0</v>
      </c>
      <c r="AN170" s="51">
        <f>IFERROR(IF(I170&gt;="1",AM170,VLOOKUP(VALUE(I170),'Loyalty - Effec - 15July'!$I$5:$J$16,2,0)*AM170),0)</f>
        <v>0</v>
      </c>
      <c r="AO170" s="51">
        <v>0</v>
      </c>
      <c r="AP170" s="51">
        <f t="shared" si="83"/>
        <v>0</v>
      </c>
      <c r="AQ170" s="46" t="str">
        <f t="shared" si="95"/>
        <v>No</v>
      </c>
      <c r="AR170" s="46" t="str">
        <f t="shared" si="96"/>
        <v>AE4</v>
      </c>
      <c r="AS170" s="46" t="b">
        <f t="shared" si="97"/>
        <v>1</v>
      </c>
      <c r="AT170" s="82">
        <f t="shared" si="98"/>
        <v>0</v>
      </c>
      <c r="AU170" s="82">
        <f t="shared" si="84"/>
        <v>0</v>
      </c>
      <c r="AV170" s="82">
        <f t="shared" si="85"/>
        <v>0</v>
      </c>
      <c r="AW170" s="82">
        <f t="shared" si="86"/>
        <v>0</v>
      </c>
      <c r="AX170" s="85"/>
      <c r="AY170" s="82">
        <f t="shared" si="87"/>
        <v>0</v>
      </c>
      <c r="AZ170" s="82">
        <f t="shared" si="88"/>
        <v>0</v>
      </c>
      <c r="BA170" s="82">
        <f t="shared" si="89"/>
        <v>0</v>
      </c>
      <c r="BB170" s="83">
        <v>0</v>
      </c>
      <c r="BC170" s="83">
        <v>0</v>
      </c>
      <c r="BD170" s="83">
        <v>0</v>
      </c>
      <c r="BE170" s="84">
        <f>ROUND((IF(($AT170&lt;=700000),0,IF(((VLOOKUP($AR170,'Loyalty - Effec - 15July'!$B$5:$C$17,2,0)*$AT170)&lt;=120000),(VLOOKUP($AR170,'Loyalty - Effec - 15July'!$B$5:$C$17,2,0)*$AT170),120000))),0)</f>
        <v>0</v>
      </c>
      <c r="BF170" s="84">
        <f>ROUND(VLOOKUP($AR170,'Loyalty - Effec - 15July'!$B$5:$D$17,3,0)*$AT170,0)</f>
        <v>0</v>
      </c>
      <c r="BG170" s="85">
        <f t="shared" si="90"/>
        <v>0</v>
      </c>
      <c r="BH170" s="81">
        <f t="shared" si="91"/>
        <v>0</v>
      </c>
      <c r="BI170" s="85">
        <f t="shared" si="92"/>
        <v>0</v>
      </c>
      <c r="BJ170" s="85">
        <f t="shared" si="93"/>
        <v>0</v>
      </c>
      <c r="BK170" s="85">
        <f t="shared" si="94"/>
        <v>0</v>
      </c>
      <c r="BL170" s="85">
        <f t="shared" si="99"/>
        <v>0</v>
      </c>
      <c r="BM170" s="85">
        <f t="shared" si="100"/>
        <v>0</v>
      </c>
      <c r="BN170" s="85">
        <f t="shared" si="101"/>
        <v>0</v>
      </c>
      <c r="BO170" s="52" t="s">
        <v>85</v>
      </c>
      <c r="BP170" s="46"/>
      <c r="BQ170" s="46"/>
      <c r="BR170" s="47">
        <f t="shared" si="107"/>
        <v>0</v>
      </c>
      <c r="BU170" s="47">
        <f t="shared" si="103"/>
        <v>0</v>
      </c>
      <c r="BV170" s="53" t="s">
        <v>434</v>
      </c>
      <c r="BW170" s="53" t="s">
        <v>932</v>
      </c>
      <c r="BX170" s="53" t="s">
        <v>656</v>
      </c>
      <c r="BY170" s="53"/>
      <c r="BZ170" s="53"/>
    </row>
    <row r="171" spans="1:79">
      <c r="A171" s="42" t="s">
        <v>435</v>
      </c>
      <c r="B171" s="28" t="s">
        <v>79</v>
      </c>
      <c r="C171" s="28" t="s">
        <v>80</v>
      </c>
      <c r="D171" s="28" t="s">
        <v>932</v>
      </c>
      <c r="E171" s="43" t="s">
        <v>82</v>
      </c>
      <c r="F171" s="28" t="s">
        <v>901</v>
      </c>
      <c r="G171" s="44" t="s">
        <v>657</v>
      </c>
      <c r="H171" s="45">
        <v>44725</v>
      </c>
      <c r="I171" s="46" t="s">
        <v>996</v>
      </c>
      <c r="J171" s="28">
        <v>0</v>
      </c>
      <c r="K171" s="28" t="s">
        <v>93</v>
      </c>
      <c r="L171" s="28" t="s">
        <v>873</v>
      </c>
      <c r="M171" s="28" t="s">
        <v>2</v>
      </c>
      <c r="N171" s="28" t="str">
        <f t="shared" si="71"/>
        <v>AE4</v>
      </c>
      <c r="O171" s="81"/>
      <c r="P171" s="81">
        <f t="shared" si="72"/>
        <v>0</v>
      </c>
      <c r="Q171" s="81">
        <f t="shared" si="73"/>
        <v>0</v>
      </c>
      <c r="R171" s="81">
        <f t="shared" si="74"/>
        <v>0</v>
      </c>
      <c r="S171" s="81"/>
      <c r="T171" s="82">
        <f t="shared" si="75"/>
        <v>0</v>
      </c>
      <c r="U171" s="82">
        <f t="shared" si="76"/>
        <v>0</v>
      </c>
      <c r="V171" s="82">
        <f t="shared" si="77"/>
        <v>0</v>
      </c>
      <c r="W171" s="83">
        <v>0</v>
      </c>
      <c r="X171" s="83">
        <v>0</v>
      </c>
      <c r="Y171" s="83">
        <v>0</v>
      </c>
      <c r="Z171" s="84">
        <f>ROUND((IF(($O171&lt;=700000),0,IF(((VLOOKUP($M171,'Loyalty - Effec - 15July'!$B$5:$C$17,2,0)*$O171)&lt;=120000),(VLOOKUP($M171,'Loyalty - Effec - 15July'!$B$5:$C$17,2,0)*$O171),120000))),0)</f>
        <v>0</v>
      </c>
      <c r="AA171" s="84">
        <f>ROUND(VLOOKUP($M171,'Loyalty - Effec - 15July'!$B$5:$D$17,3,0)*$O171,0)</f>
        <v>0</v>
      </c>
      <c r="AB171" s="85">
        <f t="shared" si="78"/>
        <v>0</v>
      </c>
      <c r="AC171" s="86">
        <f t="shared" si="79"/>
        <v>0</v>
      </c>
      <c r="AD171" s="87">
        <f t="shared" si="80"/>
        <v>0</v>
      </c>
      <c r="AE171" s="88">
        <f t="shared" si="81"/>
        <v>0</v>
      </c>
      <c r="AF171" s="88">
        <f t="shared" si="82"/>
        <v>0</v>
      </c>
      <c r="AG171" s="49" t="s">
        <v>198</v>
      </c>
      <c r="AH171" s="49" t="s">
        <v>909</v>
      </c>
      <c r="AI171" s="50"/>
      <c r="AJ171" s="46"/>
      <c r="AK171" s="46"/>
      <c r="AL171" s="46"/>
      <c r="AM171" s="51">
        <f>IF($AL171=4,VLOOKUP($AR171,'Loyalty Incentive v1'!$L$3:$Q$15,2,FALSE),
IF($AL171=3,VLOOKUP($AR171,'Loyalty Incentive v1'!$L$3:$Q$15,3,FALSE),
IF($AL171=2,VLOOKUP($AR171,'Loyalty Incentive v1'!$L$3:$Q$15,4,FALSE),
IF($AL171=1,VLOOKUP($AR171,'Loyalty Incentive v1'!$L$3:$Q$15,5,FALSE),
IF($AL171=0,VLOOKUP($AR171,'Loyalty Incentive v1'!$L$3:$Q$15,6,FALSE),0)))))</f>
        <v>0</v>
      </c>
      <c r="AN171" s="51">
        <f>IFERROR(IF(I171&gt;="1",AM171,VLOOKUP(VALUE(I171),'Loyalty - Effec - 15July'!$I$5:$J$16,2,0)*AM171),0)</f>
        <v>0</v>
      </c>
      <c r="AO171" s="51">
        <v>0</v>
      </c>
      <c r="AP171" s="51">
        <f t="shared" si="83"/>
        <v>0</v>
      </c>
      <c r="AQ171" s="46" t="str">
        <f t="shared" si="95"/>
        <v>No</v>
      </c>
      <c r="AR171" s="46" t="str">
        <f t="shared" si="96"/>
        <v>AE4</v>
      </c>
      <c r="AS171" s="46" t="b">
        <f t="shared" si="97"/>
        <v>1</v>
      </c>
      <c r="AT171" s="82">
        <f t="shared" si="98"/>
        <v>0</v>
      </c>
      <c r="AU171" s="82">
        <f t="shared" si="84"/>
        <v>0</v>
      </c>
      <c r="AV171" s="82">
        <f t="shared" si="85"/>
        <v>0</v>
      </c>
      <c r="AW171" s="82">
        <f t="shared" si="86"/>
        <v>0</v>
      </c>
      <c r="AX171" s="85"/>
      <c r="AY171" s="82">
        <f t="shared" si="87"/>
        <v>0</v>
      </c>
      <c r="AZ171" s="82">
        <f t="shared" si="88"/>
        <v>0</v>
      </c>
      <c r="BA171" s="82">
        <f t="shared" si="89"/>
        <v>0</v>
      </c>
      <c r="BB171" s="83">
        <v>0</v>
      </c>
      <c r="BC171" s="83">
        <v>0</v>
      </c>
      <c r="BD171" s="83">
        <v>0</v>
      </c>
      <c r="BE171" s="84">
        <f>ROUND((IF(($AT171&lt;=700000),0,IF(((VLOOKUP($AR171,'Loyalty - Effec - 15July'!$B$5:$C$17,2,0)*$AT171)&lt;=120000),(VLOOKUP($AR171,'Loyalty - Effec - 15July'!$B$5:$C$17,2,0)*$AT171),120000))),0)</f>
        <v>0</v>
      </c>
      <c r="BF171" s="84">
        <f>ROUND(VLOOKUP($AR171,'Loyalty - Effec - 15July'!$B$5:$D$17,3,0)*$AT171,0)</f>
        <v>0</v>
      </c>
      <c r="BG171" s="85">
        <f t="shared" si="90"/>
        <v>0</v>
      </c>
      <c r="BH171" s="81">
        <f t="shared" si="91"/>
        <v>0</v>
      </c>
      <c r="BI171" s="85">
        <f t="shared" si="92"/>
        <v>0</v>
      </c>
      <c r="BJ171" s="85">
        <f t="shared" si="93"/>
        <v>0</v>
      </c>
      <c r="BK171" s="85">
        <f t="shared" si="94"/>
        <v>0</v>
      </c>
      <c r="BL171" s="85">
        <f t="shared" si="99"/>
        <v>0</v>
      </c>
      <c r="BM171" s="85">
        <f t="shared" si="100"/>
        <v>0</v>
      </c>
      <c r="BN171" s="85">
        <f t="shared" si="101"/>
        <v>0</v>
      </c>
      <c r="BO171" s="52" t="s">
        <v>85</v>
      </c>
      <c r="BP171" s="46"/>
      <c r="BQ171" s="46"/>
      <c r="BR171" s="47">
        <f t="shared" si="107"/>
        <v>0</v>
      </c>
      <c r="BU171" s="47">
        <f t="shared" si="103"/>
        <v>0</v>
      </c>
      <c r="BV171" s="53" t="s">
        <v>435</v>
      </c>
      <c r="BW171" s="53" t="s">
        <v>932</v>
      </c>
      <c r="BX171" s="53" t="s">
        <v>657</v>
      </c>
      <c r="BY171" s="53"/>
      <c r="BZ171" s="53"/>
    </row>
    <row r="172" spans="1:79">
      <c r="A172" s="42" t="s">
        <v>436</v>
      </c>
      <c r="B172" s="28" t="s">
        <v>79</v>
      </c>
      <c r="C172" s="28" t="s">
        <v>80</v>
      </c>
      <c r="D172" s="28" t="s">
        <v>932</v>
      </c>
      <c r="E172" s="43" t="s">
        <v>82</v>
      </c>
      <c r="F172" s="28" t="s">
        <v>901</v>
      </c>
      <c r="G172" s="44" t="s">
        <v>658</v>
      </c>
      <c r="H172" s="45">
        <v>44725</v>
      </c>
      <c r="I172" s="46" t="s">
        <v>996</v>
      </c>
      <c r="J172" s="28">
        <v>4</v>
      </c>
      <c r="K172" s="28" t="s">
        <v>396</v>
      </c>
      <c r="L172" s="28" t="s">
        <v>891</v>
      </c>
      <c r="M172" s="28" t="s">
        <v>2</v>
      </c>
      <c r="N172" s="28" t="str">
        <f t="shared" si="71"/>
        <v>AE4</v>
      </c>
      <c r="O172" s="81"/>
      <c r="P172" s="81">
        <f t="shared" si="72"/>
        <v>0</v>
      </c>
      <c r="Q172" s="81">
        <f t="shared" si="73"/>
        <v>0</v>
      </c>
      <c r="R172" s="81">
        <f t="shared" si="74"/>
        <v>0</v>
      </c>
      <c r="S172" s="81"/>
      <c r="T172" s="82">
        <f t="shared" si="75"/>
        <v>0</v>
      </c>
      <c r="U172" s="82">
        <f t="shared" si="76"/>
        <v>0</v>
      </c>
      <c r="V172" s="82">
        <f t="shared" si="77"/>
        <v>0</v>
      </c>
      <c r="W172" s="83">
        <v>0</v>
      </c>
      <c r="X172" s="83">
        <v>0</v>
      </c>
      <c r="Y172" s="83">
        <v>0</v>
      </c>
      <c r="Z172" s="84">
        <f>ROUND((IF(($O172&lt;=700000),0,IF(((VLOOKUP($M172,'Loyalty - Effec - 15July'!$B$5:$C$17,2,0)*$O172)&lt;=120000),(VLOOKUP($M172,'Loyalty - Effec - 15July'!$B$5:$C$17,2,0)*$O172),120000))),0)</f>
        <v>0</v>
      </c>
      <c r="AA172" s="84">
        <f>ROUND(VLOOKUP($M172,'Loyalty - Effec - 15July'!$B$5:$D$17,3,0)*$O172,0)</f>
        <v>0</v>
      </c>
      <c r="AB172" s="85">
        <f t="shared" si="78"/>
        <v>0</v>
      </c>
      <c r="AC172" s="86">
        <f t="shared" si="79"/>
        <v>0</v>
      </c>
      <c r="AD172" s="87">
        <f t="shared" si="80"/>
        <v>0</v>
      </c>
      <c r="AE172" s="88">
        <f t="shared" si="81"/>
        <v>0</v>
      </c>
      <c r="AF172" s="88">
        <f t="shared" si="82"/>
        <v>0</v>
      </c>
      <c r="AG172" s="49" t="s">
        <v>150</v>
      </c>
      <c r="AH172" s="49" t="s">
        <v>811</v>
      </c>
      <c r="AI172" s="50"/>
      <c r="AJ172" s="46"/>
      <c r="AK172" s="46"/>
      <c r="AL172" s="46"/>
      <c r="AM172" s="51">
        <f>IF($AL172=4,VLOOKUP($AR172,'Loyalty Incentive v1'!$L$3:$Q$15,2,FALSE),
IF($AL172=3,VLOOKUP($AR172,'Loyalty Incentive v1'!$L$3:$Q$15,3,FALSE),
IF($AL172=2,VLOOKUP($AR172,'Loyalty Incentive v1'!$L$3:$Q$15,4,FALSE),
IF($AL172=1,VLOOKUP($AR172,'Loyalty Incentive v1'!$L$3:$Q$15,5,FALSE),
IF($AL172=0,VLOOKUP($AR172,'Loyalty Incentive v1'!$L$3:$Q$15,6,FALSE),0)))))</f>
        <v>0</v>
      </c>
      <c r="AN172" s="51">
        <f>IFERROR(IF(I172&gt;="1",AM172,VLOOKUP(VALUE(I172),'Loyalty - Effec - 15July'!$I$5:$J$16,2,0)*AM172),0)</f>
        <v>0</v>
      </c>
      <c r="AO172" s="51">
        <v>0</v>
      </c>
      <c r="AP172" s="51">
        <f t="shared" si="83"/>
        <v>0</v>
      </c>
      <c r="AQ172" s="46" t="str">
        <f t="shared" si="95"/>
        <v>No</v>
      </c>
      <c r="AR172" s="46" t="str">
        <f t="shared" si="96"/>
        <v>AE4</v>
      </c>
      <c r="AS172" s="46" t="b">
        <f t="shared" si="97"/>
        <v>1</v>
      </c>
      <c r="AT172" s="82">
        <f t="shared" si="98"/>
        <v>0</v>
      </c>
      <c r="AU172" s="82">
        <f t="shared" si="84"/>
        <v>0</v>
      </c>
      <c r="AV172" s="82">
        <f t="shared" si="85"/>
        <v>0</v>
      </c>
      <c r="AW172" s="82">
        <f t="shared" si="86"/>
        <v>0</v>
      </c>
      <c r="AX172" s="85"/>
      <c r="AY172" s="82">
        <f t="shared" si="87"/>
        <v>0</v>
      </c>
      <c r="AZ172" s="82">
        <f t="shared" si="88"/>
        <v>0</v>
      </c>
      <c r="BA172" s="82">
        <f t="shared" si="89"/>
        <v>0</v>
      </c>
      <c r="BB172" s="83">
        <v>0</v>
      </c>
      <c r="BC172" s="83">
        <v>0</v>
      </c>
      <c r="BD172" s="83">
        <v>0</v>
      </c>
      <c r="BE172" s="84">
        <f>ROUND((IF(($AT172&lt;=700000),0,IF(((VLOOKUP($AR172,'Loyalty - Effec - 15July'!$B$5:$C$17,2,0)*$AT172)&lt;=120000),(VLOOKUP($AR172,'Loyalty - Effec - 15July'!$B$5:$C$17,2,0)*$AT172),120000))),0)</f>
        <v>0</v>
      </c>
      <c r="BF172" s="84">
        <f>ROUND(VLOOKUP($AR172,'Loyalty - Effec - 15July'!$B$5:$D$17,3,0)*$AT172,0)</f>
        <v>0</v>
      </c>
      <c r="BG172" s="85">
        <f t="shared" si="90"/>
        <v>0</v>
      </c>
      <c r="BH172" s="81">
        <f t="shared" si="91"/>
        <v>0</v>
      </c>
      <c r="BI172" s="85">
        <f t="shared" si="92"/>
        <v>0</v>
      </c>
      <c r="BJ172" s="85">
        <f t="shared" si="93"/>
        <v>0</v>
      </c>
      <c r="BK172" s="85">
        <f t="shared" si="94"/>
        <v>0</v>
      </c>
      <c r="BL172" s="85">
        <f t="shared" si="99"/>
        <v>0</v>
      </c>
      <c r="BM172" s="85">
        <f t="shared" si="100"/>
        <v>0</v>
      </c>
      <c r="BN172" s="85">
        <f t="shared" si="101"/>
        <v>0</v>
      </c>
      <c r="BO172" s="52" t="s">
        <v>85</v>
      </c>
      <c r="BP172" s="46"/>
      <c r="BQ172" s="46"/>
      <c r="BR172" s="47">
        <f t="shared" si="107"/>
        <v>0</v>
      </c>
      <c r="BU172" s="47">
        <f t="shared" si="103"/>
        <v>0</v>
      </c>
      <c r="BV172" s="53" t="s">
        <v>436</v>
      </c>
      <c r="BW172" s="53" t="s">
        <v>932</v>
      </c>
      <c r="BX172" s="53" t="s">
        <v>658</v>
      </c>
      <c r="BY172" s="53"/>
      <c r="BZ172" s="53"/>
    </row>
    <row r="173" spans="1:79">
      <c r="A173" s="42" t="s">
        <v>437</v>
      </c>
      <c r="B173" s="28" t="s">
        <v>79</v>
      </c>
      <c r="C173" s="28" t="s">
        <v>80</v>
      </c>
      <c r="D173" s="28" t="s">
        <v>932</v>
      </c>
      <c r="E173" s="43" t="s">
        <v>82</v>
      </c>
      <c r="F173" s="28" t="s">
        <v>901</v>
      </c>
      <c r="G173" s="44" t="s">
        <v>659</v>
      </c>
      <c r="H173" s="45">
        <v>44725</v>
      </c>
      <c r="I173" s="46" t="s">
        <v>996</v>
      </c>
      <c r="J173" s="28">
        <v>9</v>
      </c>
      <c r="K173" s="28" t="s">
        <v>396</v>
      </c>
      <c r="L173" s="28" t="s">
        <v>891</v>
      </c>
      <c r="M173" s="28" t="s">
        <v>2</v>
      </c>
      <c r="N173" s="28" t="str">
        <f t="shared" si="71"/>
        <v>AE4</v>
      </c>
      <c r="O173" s="81"/>
      <c r="P173" s="81">
        <f t="shared" si="72"/>
        <v>0</v>
      </c>
      <c r="Q173" s="81">
        <f t="shared" si="73"/>
        <v>0</v>
      </c>
      <c r="R173" s="81">
        <f t="shared" si="74"/>
        <v>0</v>
      </c>
      <c r="S173" s="81"/>
      <c r="T173" s="82">
        <f t="shared" si="75"/>
        <v>0</v>
      </c>
      <c r="U173" s="82">
        <f t="shared" si="76"/>
        <v>0</v>
      </c>
      <c r="V173" s="82">
        <f t="shared" si="77"/>
        <v>0</v>
      </c>
      <c r="W173" s="83">
        <v>0</v>
      </c>
      <c r="X173" s="83">
        <v>0</v>
      </c>
      <c r="Y173" s="83">
        <v>0</v>
      </c>
      <c r="Z173" s="84">
        <f>ROUND((IF(($O173&lt;=700000),0,IF(((VLOOKUP($M173,'Loyalty - Effec - 15July'!$B$5:$C$17,2,0)*$O173)&lt;=120000),(VLOOKUP($M173,'Loyalty - Effec - 15July'!$B$5:$C$17,2,0)*$O173),120000))),0)</f>
        <v>0</v>
      </c>
      <c r="AA173" s="84">
        <f>ROUND(VLOOKUP($M173,'Loyalty - Effec - 15July'!$B$5:$D$17,3,0)*$O173,0)</f>
        <v>0</v>
      </c>
      <c r="AB173" s="85">
        <f t="shared" si="78"/>
        <v>0</v>
      </c>
      <c r="AC173" s="86">
        <f t="shared" si="79"/>
        <v>0</v>
      </c>
      <c r="AD173" s="87">
        <f t="shared" si="80"/>
        <v>0</v>
      </c>
      <c r="AE173" s="88">
        <f t="shared" si="81"/>
        <v>0</v>
      </c>
      <c r="AF173" s="88">
        <f t="shared" si="82"/>
        <v>0</v>
      </c>
      <c r="AG173" s="49" t="s">
        <v>150</v>
      </c>
      <c r="AH173" s="49" t="s">
        <v>811</v>
      </c>
      <c r="AI173" s="50"/>
      <c r="AJ173" s="46"/>
      <c r="AK173" s="46"/>
      <c r="AL173" s="46"/>
      <c r="AM173" s="51">
        <f>IF($AL173=4,VLOOKUP($AR173,'Loyalty Incentive v1'!$L$3:$Q$15,2,FALSE),
IF($AL173=3,VLOOKUP($AR173,'Loyalty Incentive v1'!$L$3:$Q$15,3,FALSE),
IF($AL173=2,VLOOKUP($AR173,'Loyalty Incentive v1'!$L$3:$Q$15,4,FALSE),
IF($AL173=1,VLOOKUP($AR173,'Loyalty Incentive v1'!$L$3:$Q$15,5,FALSE),
IF($AL173=0,VLOOKUP($AR173,'Loyalty Incentive v1'!$L$3:$Q$15,6,FALSE),0)))))</f>
        <v>0</v>
      </c>
      <c r="AN173" s="51">
        <f>IFERROR(IF(I173&gt;="1",AM173,VLOOKUP(VALUE(I173),'Loyalty - Effec - 15July'!$I$5:$J$16,2,0)*AM173),0)</f>
        <v>0</v>
      </c>
      <c r="AO173" s="51">
        <v>0</v>
      </c>
      <c r="AP173" s="51">
        <f t="shared" si="83"/>
        <v>0</v>
      </c>
      <c r="AQ173" s="46" t="str">
        <f t="shared" si="95"/>
        <v>No</v>
      </c>
      <c r="AR173" s="46" t="str">
        <f t="shared" si="96"/>
        <v>AE4</v>
      </c>
      <c r="AS173" s="46" t="b">
        <f t="shared" si="97"/>
        <v>1</v>
      </c>
      <c r="AT173" s="82">
        <f t="shared" si="98"/>
        <v>0</v>
      </c>
      <c r="AU173" s="82">
        <f t="shared" si="84"/>
        <v>0</v>
      </c>
      <c r="AV173" s="82">
        <f t="shared" si="85"/>
        <v>0</v>
      </c>
      <c r="AW173" s="82">
        <f t="shared" si="86"/>
        <v>0</v>
      </c>
      <c r="AX173" s="85"/>
      <c r="AY173" s="82">
        <f t="shared" si="87"/>
        <v>0</v>
      </c>
      <c r="AZ173" s="82">
        <f t="shared" si="88"/>
        <v>0</v>
      </c>
      <c r="BA173" s="82">
        <f t="shared" si="89"/>
        <v>0</v>
      </c>
      <c r="BB173" s="83">
        <v>0</v>
      </c>
      <c r="BC173" s="83">
        <v>0</v>
      </c>
      <c r="BD173" s="83">
        <v>0</v>
      </c>
      <c r="BE173" s="84">
        <f>ROUND((IF(($AT173&lt;=700000),0,IF(((VLOOKUP($AR173,'Loyalty - Effec - 15July'!$B$5:$C$17,2,0)*$AT173)&lt;=120000),(VLOOKUP($AR173,'Loyalty - Effec - 15July'!$B$5:$C$17,2,0)*$AT173),120000))),0)</f>
        <v>0</v>
      </c>
      <c r="BF173" s="84">
        <f>ROUND(VLOOKUP($AR173,'Loyalty - Effec - 15July'!$B$5:$D$17,3,0)*$AT173,0)</f>
        <v>0</v>
      </c>
      <c r="BG173" s="85">
        <f t="shared" si="90"/>
        <v>0</v>
      </c>
      <c r="BH173" s="81">
        <f t="shared" si="91"/>
        <v>0</v>
      </c>
      <c r="BI173" s="85">
        <f t="shared" si="92"/>
        <v>0</v>
      </c>
      <c r="BJ173" s="85">
        <f t="shared" si="93"/>
        <v>0</v>
      </c>
      <c r="BK173" s="85">
        <f t="shared" si="94"/>
        <v>0</v>
      </c>
      <c r="BL173" s="85">
        <f t="shared" si="99"/>
        <v>0</v>
      </c>
      <c r="BM173" s="85">
        <f t="shared" si="100"/>
        <v>0</v>
      </c>
      <c r="BN173" s="85">
        <f t="shared" si="101"/>
        <v>0</v>
      </c>
      <c r="BO173" s="52" t="s">
        <v>85</v>
      </c>
      <c r="BP173" s="46"/>
      <c r="BQ173" s="46"/>
      <c r="BR173" s="47">
        <f t="shared" si="107"/>
        <v>0</v>
      </c>
      <c r="BU173" s="47">
        <f t="shared" si="103"/>
        <v>0</v>
      </c>
      <c r="BV173" s="53" t="s">
        <v>437</v>
      </c>
      <c r="BW173" s="53" t="s">
        <v>932</v>
      </c>
      <c r="BX173" s="53" t="s">
        <v>659</v>
      </c>
      <c r="BY173" s="53"/>
      <c r="BZ173" s="53"/>
    </row>
    <row r="174" spans="1:79">
      <c r="A174" s="42" t="s">
        <v>438</v>
      </c>
      <c r="B174" s="28" t="s">
        <v>79</v>
      </c>
      <c r="C174" s="28" t="s">
        <v>80</v>
      </c>
      <c r="D174" s="28" t="s">
        <v>932</v>
      </c>
      <c r="E174" s="43" t="s">
        <v>82</v>
      </c>
      <c r="F174" s="28" t="s">
        <v>901</v>
      </c>
      <c r="G174" s="44" t="s">
        <v>660</v>
      </c>
      <c r="H174" s="45">
        <v>44732</v>
      </c>
      <c r="I174" s="46" t="s">
        <v>996</v>
      </c>
      <c r="J174" s="28">
        <v>6.6</v>
      </c>
      <c r="K174" s="28" t="s">
        <v>93</v>
      </c>
      <c r="L174" s="28" t="s">
        <v>873</v>
      </c>
      <c r="M174" s="28" t="s">
        <v>2</v>
      </c>
      <c r="N174" s="28" t="str">
        <f t="shared" si="71"/>
        <v>AE4</v>
      </c>
      <c r="O174" s="81"/>
      <c r="P174" s="81">
        <f t="shared" si="72"/>
        <v>0</v>
      </c>
      <c r="Q174" s="81">
        <f t="shared" si="73"/>
        <v>0</v>
      </c>
      <c r="R174" s="81">
        <f t="shared" si="74"/>
        <v>0</v>
      </c>
      <c r="S174" s="81"/>
      <c r="T174" s="82">
        <f t="shared" si="75"/>
        <v>0</v>
      </c>
      <c r="U174" s="82">
        <f t="shared" si="76"/>
        <v>0</v>
      </c>
      <c r="V174" s="82">
        <f t="shared" si="77"/>
        <v>0</v>
      </c>
      <c r="W174" s="83">
        <v>0</v>
      </c>
      <c r="X174" s="83">
        <v>0</v>
      </c>
      <c r="Y174" s="83">
        <v>0</v>
      </c>
      <c r="Z174" s="84">
        <f>ROUND((IF(($O174&lt;=700000),0,IF(((VLOOKUP($M174,'Loyalty - Effec - 15July'!$B$5:$C$17,2,0)*$O174)&lt;=120000),(VLOOKUP($M174,'Loyalty - Effec - 15July'!$B$5:$C$17,2,0)*$O174),120000))),0)</f>
        <v>0</v>
      </c>
      <c r="AA174" s="84">
        <f>ROUND(VLOOKUP($M174,'Loyalty - Effec - 15July'!$B$5:$D$17,3,0)*$O174,0)</f>
        <v>0</v>
      </c>
      <c r="AB174" s="85">
        <f t="shared" si="78"/>
        <v>0</v>
      </c>
      <c r="AC174" s="86">
        <f t="shared" si="79"/>
        <v>0</v>
      </c>
      <c r="AD174" s="87">
        <f t="shared" si="80"/>
        <v>0</v>
      </c>
      <c r="AE174" s="88">
        <f t="shared" si="81"/>
        <v>0</v>
      </c>
      <c r="AF174" s="88">
        <f t="shared" si="82"/>
        <v>0</v>
      </c>
      <c r="AG174" s="49" t="s">
        <v>913</v>
      </c>
      <c r="AH174" s="49" t="s">
        <v>909</v>
      </c>
      <c r="AI174" s="50"/>
      <c r="AJ174" s="46"/>
      <c r="AK174" s="46"/>
      <c r="AL174" s="46"/>
      <c r="AM174" s="51">
        <f>IF($AL174=4,VLOOKUP($AR174,'Loyalty Incentive v1'!$L$3:$Q$15,2,FALSE),
IF($AL174=3,VLOOKUP($AR174,'Loyalty Incentive v1'!$L$3:$Q$15,3,FALSE),
IF($AL174=2,VLOOKUP($AR174,'Loyalty Incentive v1'!$L$3:$Q$15,4,FALSE),
IF($AL174=1,VLOOKUP($AR174,'Loyalty Incentive v1'!$L$3:$Q$15,5,FALSE),
IF($AL174=0,VLOOKUP($AR174,'Loyalty Incentive v1'!$L$3:$Q$15,6,FALSE),0)))))</f>
        <v>0</v>
      </c>
      <c r="AN174" s="51">
        <f>IFERROR(IF(I174&gt;="1",AM174,VLOOKUP(VALUE(I174),'Loyalty - Effec - 15July'!$I$5:$J$16,2,0)*AM174),0)</f>
        <v>0</v>
      </c>
      <c r="AO174" s="51">
        <v>0</v>
      </c>
      <c r="AP174" s="51">
        <f t="shared" si="83"/>
        <v>0</v>
      </c>
      <c r="AQ174" s="46" t="str">
        <f t="shared" si="95"/>
        <v>No</v>
      </c>
      <c r="AR174" s="46" t="str">
        <f t="shared" si="96"/>
        <v>AE4</v>
      </c>
      <c r="AS174" s="46" t="b">
        <f t="shared" si="97"/>
        <v>1</v>
      </c>
      <c r="AT174" s="82">
        <f t="shared" si="98"/>
        <v>0</v>
      </c>
      <c r="AU174" s="82">
        <f t="shared" si="84"/>
        <v>0</v>
      </c>
      <c r="AV174" s="82">
        <f t="shared" si="85"/>
        <v>0</v>
      </c>
      <c r="AW174" s="82">
        <f t="shared" si="86"/>
        <v>0</v>
      </c>
      <c r="AX174" s="85"/>
      <c r="AY174" s="82">
        <f t="shared" si="87"/>
        <v>0</v>
      </c>
      <c r="AZ174" s="82">
        <f t="shared" si="88"/>
        <v>0</v>
      </c>
      <c r="BA174" s="82">
        <f t="shared" si="89"/>
        <v>0</v>
      </c>
      <c r="BB174" s="83">
        <v>0</v>
      </c>
      <c r="BC174" s="83">
        <v>0</v>
      </c>
      <c r="BD174" s="83">
        <v>0</v>
      </c>
      <c r="BE174" s="84">
        <f>ROUND((IF(($AT174&lt;=700000),0,IF(((VLOOKUP($AR174,'Loyalty - Effec - 15July'!$B$5:$C$17,2,0)*$AT174)&lt;=120000),(VLOOKUP($AR174,'Loyalty - Effec - 15July'!$B$5:$C$17,2,0)*$AT174),120000))),0)</f>
        <v>0</v>
      </c>
      <c r="BF174" s="84">
        <f>ROUND(VLOOKUP($AR174,'Loyalty - Effec - 15July'!$B$5:$D$17,3,0)*$AT174,0)</f>
        <v>0</v>
      </c>
      <c r="BG174" s="85">
        <f t="shared" si="90"/>
        <v>0</v>
      </c>
      <c r="BH174" s="81">
        <f t="shared" si="91"/>
        <v>0</v>
      </c>
      <c r="BI174" s="85">
        <f t="shared" si="92"/>
        <v>0</v>
      </c>
      <c r="BJ174" s="85">
        <f t="shared" si="93"/>
        <v>0</v>
      </c>
      <c r="BK174" s="85">
        <f t="shared" si="94"/>
        <v>0</v>
      </c>
      <c r="BL174" s="85">
        <f t="shared" si="99"/>
        <v>0</v>
      </c>
      <c r="BM174" s="85">
        <f t="shared" si="100"/>
        <v>0</v>
      </c>
      <c r="BN174" s="85">
        <f t="shared" si="101"/>
        <v>0</v>
      </c>
      <c r="BO174" s="52" t="s">
        <v>85</v>
      </c>
      <c r="BP174" s="46"/>
      <c r="BQ174" s="46"/>
      <c r="BR174" s="47">
        <f t="shared" si="107"/>
        <v>0</v>
      </c>
      <c r="BU174" s="47">
        <f t="shared" si="103"/>
        <v>0</v>
      </c>
      <c r="BV174" s="53" t="s">
        <v>438</v>
      </c>
      <c r="BW174" s="53" t="s">
        <v>932</v>
      </c>
      <c r="BX174" s="53" t="s">
        <v>660</v>
      </c>
      <c r="BY174" s="53"/>
      <c r="BZ174" s="53"/>
    </row>
    <row r="175" spans="1:79">
      <c r="A175" s="42" t="s">
        <v>439</v>
      </c>
      <c r="B175" s="28" t="s">
        <v>79</v>
      </c>
      <c r="C175" s="28" t="s">
        <v>80</v>
      </c>
      <c r="D175" s="28" t="s">
        <v>932</v>
      </c>
      <c r="E175" s="43" t="s">
        <v>82</v>
      </c>
      <c r="F175" s="28" t="s">
        <v>901</v>
      </c>
      <c r="G175" s="44" t="s">
        <v>661</v>
      </c>
      <c r="H175" s="45">
        <v>44732</v>
      </c>
      <c r="I175" s="46" t="s">
        <v>996</v>
      </c>
      <c r="J175" s="28">
        <v>0</v>
      </c>
      <c r="K175" s="28" t="s">
        <v>413</v>
      </c>
      <c r="L175" s="28" t="s">
        <v>880</v>
      </c>
      <c r="M175" s="28" t="s">
        <v>2</v>
      </c>
      <c r="N175" s="28" t="str">
        <f t="shared" si="71"/>
        <v>AE4</v>
      </c>
      <c r="O175" s="81"/>
      <c r="P175" s="81">
        <f t="shared" si="72"/>
        <v>0</v>
      </c>
      <c r="Q175" s="81">
        <f t="shared" si="73"/>
        <v>0</v>
      </c>
      <c r="R175" s="81">
        <f t="shared" si="74"/>
        <v>0</v>
      </c>
      <c r="S175" s="81"/>
      <c r="T175" s="82">
        <f t="shared" si="75"/>
        <v>0</v>
      </c>
      <c r="U175" s="82">
        <f t="shared" si="76"/>
        <v>0</v>
      </c>
      <c r="V175" s="82">
        <f t="shared" si="77"/>
        <v>0</v>
      </c>
      <c r="W175" s="83">
        <v>0</v>
      </c>
      <c r="X175" s="83">
        <v>0</v>
      </c>
      <c r="Y175" s="83">
        <v>0</v>
      </c>
      <c r="Z175" s="84">
        <f>ROUND((IF(($O175&lt;=700000),0,IF(((VLOOKUP($M175,'Loyalty - Effec - 15July'!$B$5:$C$17,2,0)*$O175)&lt;=120000),(VLOOKUP($M175,'Loyalty - Effec - 15July'!$B$5:$C$17,2,0)*$O175),120000))),0)</f>
        <v>0</v>
      </c>
      <c r="AA175" s="84">
        <f>ROUND(VLOOKUP($M175,'Loyalty - Effec - 15July'!$B$5:$D$17,3,0)*$O175,0)</f>
        <v>0</v>
      </c>
      <c r="AB175" s="85">
        <f t="shared" si="78"/>
        <v>0</v>
      </c>
      <c r="AC175" s="86">
        <f t="shared" si="79"/>
        <v>0</v>
      </c>
      <c r="AD175" s="87">
        <f t="shared" si="80"/>
        <v>0</v>
      </c>
      <c r="AE175" s="88">
        <f t="shared" si="81"/>
        <v>0</v>
      </c>
      <c r="AF175" s="88">
        <f t="shared" si="82"/>
        <v>0</v>
      </c>
      <c r="AG175" s="49" t="s">
        <v>251</v>
      </c>
      <c r="AH175" s="49" t="s">
        <v>126</v>
      </c>
      <c r="AI175" s="50"/>
      <c r="AJ175" s="46"/>
      <c r="AK175" s="46"/>
      <c r="AL175" s="46"/>
      <c r="AM175" s="51">
        <f>IF($AL175=4,VLOOKUP($AR175,'Loyalty Incentive v1'!$L$3:$Q$15,2,FALSE),
IF($AL175=3,VLOOKUP($AR175,'Loyalty Incentive v1'!$L$3:$Q$15,3,FALSE),
IF($AL175=2,VLOOKUP($AR175,'Loyalty Incentive v1'!$L$3:$Q$15,4,FALSE),
IF($AL175=1,VLOOKUP($AR175,'Loyalty Incentive v1'!$L$3:$Q$15,5,FALSE),
IF($AL175=0,VLOOKUP($AR175,'Loyalty Incentive v1'!$L$3:$Q$15,6,FALSE),0)))))</f>
        <v>0</v>
      </c>
      <c r="AN175" s="51">
        <f>IFERROR(IF(I175&gt;="1",AM175,VLOOKUP(VALUE(I175),'Loyalty - Effec - 15July'!$I$5:$J$16,2,0)*AM175),0)</f>
        <v>0</v>
      </c>
      <c r="AO175" s="51">
        <v>0</v>
      </c>
      <c r="AP175" s="51">
        <f t="shared" si="83"/>
        <v>0</v>
      </c>
      <c r="AQ175" s="46" t="str">
        <f t="shared" si="95"/>
        <v>No</v>
      </c>
      <c r="AR175" s="46" t="str">
        <f t="shared" si="96"/>
        <v>AE4</v>
      </c>
      <c r="AS175" s="46" t="b">
        <f t="shared" si="97"/>
        <v>1</v>
      </c>
      <c r="AT175" s="82">
        <f t="shared" si="98"/>
        <v>0</v>
      </c>
      <c r="AU175" s="82">
        <f t="shared" si="84"/>
        <v>0</v>
      </c>
      <c r="AV175" s="82">
        <f t="shared" si="85"/>
        <v>0</v>
      </c>
      <c r="AW175" s="82">
        <f t="shared" si="86"/>
        <v>0</v>
      </c>
      <c r="AX175" s="85"/>
      <c r="AY175" s="82">
        <f t="shared" si="87"/>
        <v>0</v>
      </c>
      <c r="AZ175" s="82">
        <f t="shared" si="88"/>
        <v>0</v>
      </c>
      <c r="BA175" s="82">
        <f t="shared" si="89"/>
        <v>0</v>
      </c>
      <c r="BB175" s="83">
        <v>0</v>
      </c>
      <c r="BC175" s="83">
        <v>0</v>
      </c>
      <c r="BD175" s="83">
        <v>0</v>
      </c>
      <c r="BE175" s="84">
        <f>ROUND((IF(($AT175&lt;=700000),0,IF(((VLOOKUP($AR175,'Loyalty - Effec - 15July'!$B$5:$C$17,2,0)*$AT175)&lt;=120000),(VLOOKUP($AR175,'Loyalty - Effec - 15July'!$B$5:$C$17,2,0)*$AT175),120000))),0)</f>
        <v>0</v>
      </c>
      <c r="BF175" s="84">
        <f>ROUND(VLOOKUP($AR175,'Loyalty - Effec - 15July'!$B$5:$D$17,3,0)*$AT175,0)</f>
        <v>0</v>
      </c>
      <c r="BG175" s="85">
        <f t="shared" si="90"/>
        <v>0</v>
      </c>
      <c r="BH175" s="81">
        <f t="shared" si="91"/>
        <v>0</v>
      </c>
      <c r="BI175" s="85">
        <f t="shared" si="92"/>
        <v>0</v>
      </c>
      <c r="BJ175" s="85">
        <f t="shared" si="93"/>
        <v>0</v>
      </c>
      <c r="BK175" s="85">
        <f t="shared" si="94"/>
        <v>0</v>
      </c>
      <c r="BL175" s="85">
        <f t="shared" si="99"/>
        <v>0</v>
      </c>
      <c r="BM175" s="85">
        <f t="shared" si="100"/>
        <v>0</v>
      </c>
      <c r="BN175" s="85">
        <f t="shared" si="101"/>
        <v>0</v>
      </c>
      <c r="BO175" s="52" t="s">
        <v>85</v>
      </c>
      <c r="BP175" s="46"/>
      <c r="BQ175" s="46"/>
      <c r="BR175" s="47">
        <f t="shared" ref="BR175:BR185" si="108">BG175-AB175</f>
        <v>0</v>
      </c>
      <c r="BU175" s="47">
        <f t="shared" si="103"/>
        <v>0</v>
      </c>
      <c r="BV175" s="53" t="s">
        <v>439</v>
      </c>
      <c r="BW175" s="53" t="s">
        <v>932</v>
      </c>
      <c r="BX175" s="53" t="s">
        <v>661</v>
      </c>
      <c r="BY175" s="53"/>
      <c r="BZ175" s="53"/>
    </row>
    <row r="176" spans="1:79">
      <c r="A176" s="42" t="s">
        <v>440</v>
      </c>
      <c r="B176" s="28" t="s">
        <v>79</v>
      </c>
      <c r="C176" s="28" t="s">
        <v>80</v>
      </c>
      <c r="D176" s="28" t="s">
        <v>932</v>
      </c>
      <c r="E176" s="43" t="s">
        <v>82</v>
      </c>
      <c r="F176" s="28" t="s">
        <v>901</v>
      </c>
      <c r="G176" s="44" t="s">
        <v>662</v>
      </c>
      <c r="H176" s="45">
        <v>44732</v>
      </c>
      <c r="I176" s="46" t="s">
        <v>996</v>
      </c>
      <c r="J176" s="28">
        <v>0</v>
      </c>
      <c r="K176" s="28" t="s">
        <v>93</v>
      </c>
      <c r="L176" s="28" t="s">
        <v>94</v>
      </c>
      <c r="M176" s="28" t="s">
        <v>1</v>
      </c>
      <c r="N176" s="28" t="str">
        <f t="shared" si="71"/>
        <v>AE3</v>
      </c>
      <c r="O176" s="81"/>
      <c r="P176" s="81">
        <f t="shared" si="72"/>
        <v>0</v>
      </c>
      <c r="Q176" s="81">
        <f t="shared" si="73"/>
        <v>0</v>
      </c>
      <c r="R176" s="81">
        <f t="shared" si="74"/>
        <v>0</v>
      </c>
      <c r="S176" s="81"/>
      <c r="T176" s="82">
        <f t="shared" si="75"/>
        <v>0</v>
      </c>
      <c r="U176" s="82">
        <f t="shared" si="76"/>
        <v>0</v>
      </c>
      <c r="V176" s="82">
        <f t="shared" si="77"/>
        <v>0</v>
      </c>
      <c r="W176" s="83">
        <v>0</v>
      </c>
      <c r="X176" s="83">
        <v>0</v>
      </c>
      <c r="Y176" s="83">
        <v>0</v>
      </c>
      <c r="Z176" s="84">
        <f>ROUND((IF(($O176&lt;=700000),0,IF(((VLOOKUP($M176,'Loyalty - Effec - 15July'!$B$5:$C$17,2,0)*$O176)&lt;=120000),(VLOOKUP($M176,'Loyalty - Effec - 15July'!$B$5:$C$17,2,0)*$O176),120000))),0)</f>
        <v>0</v>
      </c>
      <c r="AA176" s="84">
        <f>ROUND(VLOOKUP($M176,'Loyalty - Effec - 15July'!$B$5:$D$17,3,0)*$O176,0)</f>
        <v>0</v>
      </c>
      <c r="AB176" s="85">
        <f t="shared" si="78"/>
        <v>0</v>
      </c>
      <c r="AC176" s="86">
        <f t="shared" si="79"/>
        <v>0</v>
      </c>
      <c r="AD176" s="87">
        <f t="shared" si="80"/>
        <v>0</v>
      </c>
      <c r="AE176" s="88">
        <f t="shared" si="81"/>
        <v>0</v>
      </c>
      <c r="AF176" s="88">
        <f t="shared" si="82"/>
        <v>0</v>
      </c>
      <c r="AG176" s="49" t="s">
        <v>176</v>
      </c>
      <c r="AH176" s="49" t="s">
        <v>200</v>
      </c>
      <c r="AI176" s="50"/>
      <c r="AJ176" s="46"/>
      <c r="AK176" s="46"/>
      <c r="AL176" s="46"/>
      <c r="AM176" s="51">
        <f>IF($AL176=4,VLOOKUP($AR176,'Loyalty Incentive v1'!$L$3:$Q$15,2,FALSE),
IF($AL176=3,VLOOKUP($AR176,'Loyalty Incentive v1'!$L$3:$Q$15,3,FALSE),
IF($AL176=2,VLOOKUP($AR176,'Loyalty Incentive v1'!$L$3:$Q$15,4,FALSE),
IF($AL176=1,VLOOKUP($AR176,'Loyalty Incentive v1'!$L$3:$Q$15,5,FALSE),
IF($AL176=0,VLOOKUP($AR176,'Loyalty Incentive v1'!$L$3:$Q$15,6,FALSE),0)))))</f>
        <v>0</v>
      </c>
      <c r="AN176" s="51">
        <f>IFERROR(IF(I176&gt;="1",AM176,VLOOKUP(VALUE(I176),'Loyalty - Effec - 15July'!$I$5:$J$16,2,0)*AM176),0)</f>
        <v>0</v>
      </c>
      <c r="AO176" s="51">
        <v>0</v>
      </c>
      <c r="AP176" s="51">
        <f t="shared" si="83"/>
        <v>0</v>
      </c>
      <c r="AQ176" s="46" t="str">
        <f t="shared" si="95"/>
        <v>No</v>
      </c>
      <c r="AR176" s="46" t="str">
        <f t="shared" si="96"/>
        <v>AE3</v>
      </c>
      <c r="AS176" s="46" t="b">
        <f t="shared" si="97"/>
        <v>1</v>
      </c>
      <c r="AT176" s="82">
        <f t="shared" si="98"/>
        <v>0</v>
      </c>
      <c r="AU176" s="82">
        <f t="shared" si="84"/>
        <v>0</v>
      </c>
      <c r="AV176" s="82">
        <f t="shared" si="85"/>
        <v>0</v>
      </c>
      <c r="AW176" s="82">
        <f t="shared" si="86"/>
        <v>0</v>
      </c>
      <c r="AX176" s="85"/>
      <c r="AY176" s="82">
        <f t="shared" si="87"/>
        <v>0</v>
      </c>
      <c r="AZ176" s="82">
        <f t="shared" si="88"/>
        <v>0</v>
      </c>
      <c r="BA176" s="82">
        <f t="shared" si="89"/>
        <v>0</v>
      </c>
      <c r="BB176" s="83">
        <v>0</v>
      </c>
      <c r="BC176" s="83">
        <v>0</v>
      </c>
      <c r="BD176" s="83">
        <v>0</v>
      </c>
      <c r="BE176" s="84">
        <f>ROUND((IF(($AT176&lt;=700000),0,IF(((VLOOKUP($AR176,'Loyalty - Effec - 15July'!$B$5:$C$17,2,0)*$AT176)&lt;=120000),(VLOOKUP($AR176,'Loyalty - Effec - 15July'!$B$5:$C$17,2,0)*$AT176),120000))),0)</f>
        <v>0</v>
      </c>
      <c r="BF176" s="84">
        <f>ROUND(VLOOKUP($AR176,'Loyalty - Effec - 15July'!$B$5:$D$17,3,0)*$AT176,0)</f>
        <v>0</v>
      </c>
      <c r="BG176" s="85">
        <f t="shared" si="90"/>
        <v>0</v>
      </c>
      <c r="BH176" s="81">
        <f t="shared" si="91"/>
        <v>0</v>
      </c>
      <c r="BI176" s="85">
        <f t="shared" si="92"/>
        <v>0</v>
      </c>
      <c r="BJ176" s="85">
        <f t="shared" si="93"/>
        <v>0</v>
      </c>
      <c r="BK176" s="85">
        <f t="shared" si="94"/>
        <v>0</v>
      </c>
      <c r="BL176" s="85">
        <f t="shared" si="99"/>
        <v>0</v>
      </c>
      <c r="BM176" s="85">
        <f t="shared" si="100"/>
        <v>0</v>
      </c>
      <c r="BN176" s="85">
        <f t="shared" si="101"/>
        <v>0</v>
      </c>
      <c r="BO176" s="52" t="s">
        <v>85</v>
      </c>
      <c r="BP176" s="46"/>
      <c r="BQ176" s="46"/>
      <c r="BR176" s="47">
        <f t="shared" si="108"/>
        <v>0</v>
      </c>
      <c r="BU176" s="47">
        <f t="shared" si="103"/>
        <v>0</v>
      </c>
      <c r="BV176" s="53" t="s">
        <v>440</v>
      </c>
      <c r="BW176" s="53" t="s">
        <v>932</v>
      </c>
      <c r="BX176" s="53" t="s">
        <v>662</v>
      </c>
      <c r="BY176" s="53"/>
      <c r="BZ176" s="53"/>
    </row>
    <row r="177" spans="1:79">
      <c r="A177" s="42" t="s">
        <v>441</v>
      </c>
      <c r="B177" s="28" t="s">
        <v>79</v>
      </c>
      <c r="C177" s="28" t="s">
        <v>80</v>
      </c>
      <c r="D177" s="28" t="s">
        <v>932</v>
      </c>
      <c r="E177" s="43" t="s">
        <v>82</v>
      </c>
      <c r="F177" s="28" t="s">
        <v>901</v>
      </c>
      <c r="G177" s="44" t="s">
        <v>663</v>
      </c>
      <c r="H177" s="45">
        <v>44732</v>
      </c>
      <c r="I177" s="46" t="s">
        <v>996</v>
      </c>
      <c r="J177" s="28">
        <v>0</v>
      </c>
      <c r="K177" s="28" t="s">
        <v>413</v>
      </c>
      <c r="L177" s="28" t="s">
        <v>880</v>
      </c>
      <c r="M177" s="28" t="s">
        <v>1</v>
      </c>
      <c r="N177" s="28" t="str">
        <f t="shared" si="71"/>
        <v>AE3</v>
      </c>
      <c r="O177" s="81"/>
      <c r="P177" s="81">
        <f t="shared" si="72"/>
        <v>0</v>
      </c>
      <c r="Q177" s="81">
        <f t="shared" si="73"/>
        <v>0</v>
      </c>
      <c r="R177" s="81">
        <f t="shared" si="74"/>
        <v>0</v>
      </c>
      <c r="S177" s="81"/>
      <c r="T177" s="82">
        <f t="shared" si="75"/>
        <v>0</v>
      </c>
      <c r="U177" s="82">
        <f t="shared" si="76"/>
        <v>0</v>
      </c>
      <c r="V177" s="82">
        <f t="shared" si="77"/>
        <v>0</v>
      </c>
      <c r="W177" s="83">
        <v>0</v>
      </c>
      <c r="X177" s="83">
        <v>0</v>
      </c>
      <c r="Y177" s="83">
        <v>0</v>
      </c>
      <c r="Z177" s="84">
        <f>ROUND((IF(($O177&lt;=700000),0,IF(((VLOOKUP($M177,'Loyalty - Effec - 15July'!$B$5:$C$17,2,0)*$O177)&lt;=120000),(VLOOKUP($M177,'Loyalty - Effec - 15July'!$B$5:$C$17,2,0)*$O177),120000))),0)</f>
        <v>0</v>
      </c>
      <c r="AA177" s="84">
        <f>ROUND(VLOOKUP($M177,'Loyalty - Effec - 15July'!$B$5:$D$17,3,0)*$O177,0)</f>
        <v>0</v>
      </c>
      <c r="AB177" s="85">
        <f t="shared" si="78"/>
        <v>0</v>
      </c>
      <c r="AC177" s="86">
        <f t="shared" si="79"/>
        <v>0</v>
      </c>
      <c r="AD177" s="87">
        <f t="shared" si="80"/>
        <v>0</v>
      </c>
      <c r="AE177" s="88">
        <f t="shared" si="81"/>
        <v>0</v>
      </c>
      <c r="AF177" s="88">
        <f t="shared" si="82"/>
        <v>0</v>
      </c>
      <c r="AG177" s="49" t="s">
        <v>190</v>
      </c>
      <c r="AH177" s="49" t="s">
        <v>909</v>
      </c>
      <c r="AI177" s="50"/>
      <c r="AJ177" s="46"/>
      <c r="AK177" s="46"/>
      <c r="AL177" s="46"/>
      <c r="AM177" s="51">
        <f>IF($AL177=4,VLOOKUP($AR177,'Loyalty Incentive v1'!$L$3:$Q$15,2,FALSE),
IF($AL177=3,VLOOKUP($AR177,'Loyalty Incentive v1'!$L$3:$Q$15,3,FALSE),
IF($AL177=2,VLOOKUP($AR177,'Loyalty Incentive v1'!$L$3:$Q$15,4,FALSE),
IF($AL177=1,VLOOKUP($AR177,'Loyalty Incentive v1'!$L$3:$Q$15,5,FALSE),
IF($AL177=0,VLOOKUP($AR177,'Loyalty Incentive v1'!$L$3:$Q$15,6,FALSE),0)))))</f>
        <v>0</v>
      </c>
      <c r="AN177" s="51">
        <f>IFERROR(IF(I177&gt;="1",AM177,VLOOKUP(VALUE(I177),'Loyalty - Effec - 15July'!$I$5:$J$16,2,0)*AM177),0)</f>
        <v>0</v>
      </c>
      <c r="AO177" s="51">
        <v>0</v>
      </c>
      <c r="AP177" s="51">
        <f t="shared" si="83"/>
        <v>0</v>
      </c>
      <c r="AQ177" s="46" t="str">
        <f t="shared" si="95"/>
        <v>No</v>
      </c>
      <c r="AR177" s="46" t="str">
        <f t="shared" si="96"/>
        <v>AE3</v>
      </c>
      <c r="AS177" s="46" t="b">
        <f t="shared" si="97"/>
        <v>1</v>
      </c>
      <c r="AT177" s="82">
        <f t="shared" si="98"/>
        <v>0</v>
      </c>
      <c r="AU177" s="82">
        <f t="shared" si="84"/>
        <v>0</v>
      </c>
      <c r="AV177" s="82">
        <f t="shared" si="85"/>
        <v>0</v>
      </c>
      <c r="AW177" s="82">
        <f t="shared" si="86"/>
        <v>0</v>
      </c>
      <c r="AX177" s="85"/>
      <c r="AY177" s="82">
        <f t="shared" si="87"/>
        <v>0</v>
      </c>
      <c r="AZ177" s="82">
        <f t="shared" si="88"/>
        <v>0</v>
      </c>
      <c r="BA177" s="82">
        <f t="shared" si="89"/>
        <v>0</v>
      </c>
      <c r="BB177" s="83">
        <v>0</v>
      </c>
      <c r="BC177" s="83">
        <v>0</v>
      </c>
      <c r="BD177" s="83">
        <v>0</v>
      </c>
      <c r="BE177" s="84">
        <f>ROUND((IF(($AT177&lt;=700000),0,IF(((VLOOKUP($AR177,'Loyalty - Effec - 15July'!$B$5:$C$17,2,0)*$AT177)&lt;=120000),(VLOOKUP($AR177,'Loyalty - Effec - 15July'!$B$5:$C$17,2,0)*$AT177),120000))),0)</f>
        <v>0</v>
      </c>
      <c r="BF177" s="84">
        <f>ROUND(VLOOKUP($AR177,'Loyalty - Effec - 15July'!$B$5:$D$17,3,0)*$AT177,0)</f>
        <v>0</v>
      </c>
      <c r="BG177" s="85">
        <f t="shared" si="90"/>
        <v>0</v>
      </c>
      <c r="BH177" s="81">
        <f t="shared" si="91"/>
        <v>0</v>
      </c>
      <c r="BI177" s="85">
        <f t="shared" si="92"/>
        <v>0</v>
      </c>
      <c r="BJ177" s="85">
        <f t="shared" si="93"/>
        <v>0</v>
      </c>
      <c r="BK177" s="85">
        <f t="shared" si="94"/>
        <v>0</v>
      </c>
      <c r="BL177" s="85">
        <f t="shared" si="99"/>
        <v>0</v>
      </c>
      <c r="BM177" s="85">
        <f t="shared" si="100"/>
        <v>0</v>
      </c>
      <c r="BN177" s="85">
        <f t="shared" si="101"/>
        <v>0</v>
      </c>
      <c r="BO177" s="52" t="s">
        <v>85</v>
      </c>
      <c r="BP177" s="46"/>
      <c r="BQ177" s="46"/>
      <c r="BR177" s="47">
        <f t="shared" si="108"/>
        <v>0</v>
      </c>
      <c r="BU177" s="47">
        <f t="shared" si="103"/>
        <v>0</v>
      </c>
      <c r="BV177" s="53" t="s">
        <v>441</v>
      </c>
      <c r="BW177" s="53" t="s">
        <v>932</v>
      </c>
      <c r="BX177" s="53" t="s">
        <v>663</v>
      </c>
      <c r="BY177" s="53"/>
      <c r="BZ177" s="53"/>
    </row>
    <row r="178" spans="1:79">
      <c r="A178" s="42" t="s">
        <v>442</v>
      </c>
      <c r="B178" s="28" t="s">
        <v>903</v>
      </c>
      <c r="C178" s="28" t="s">
        <v>80</v>
      </c>
      <c r="D178" s="28" t="s">
        <v>932</v>
      </c>
      <c r="E178" s="43" t="s">
        <v>82</v>
      </c>
      <c r="F178" s="28" t="s">
        <v>901</v>
      </c>
      <c r="G178" s="44" t="s">
        <v>664</v>
      </c>
      <c r="H178" s="45">
        <v>44732</v>
      </c>
      <c r="I178" s="46" t="s">
        <v>996</v>
      </c>
      <c r="J178" s="28">
        <v>0</v>
      </c>
      <c r="K178" s="28" t="s">
        <v>415</v>
      </c>
      <c r="L178" s="28" t="s">
        <v>892</v>
      </c>
      <c r="M178" s="28" t="s">
        <v>0</v>
      </c>
      <c r="N178" s="28" t="str">
        <f t="shared" si="71"/>
        <v>AE2</v>
      </c>
      <c r="O178" s="81"/>
      <c r="P178" s="81">
        <f t="shared" si="72"/>
        <v>0</v>
      </c>
      <c r="Q178" s="81">
        <f t="shared" si="73"/>
        <v>0</v>
      </c>
      <c r="R178" s="81">
        <f t="shared" si="74"/>
        <v>0</v>
      </c>
      <c r="S178" s="81"/>
      <c r="T178" s="82">
        <f t="shared" si="75"/>
        <v>0</v>
      </c>
      <c r="U178" s="82">
        <f t="shared" si="76"/>
        <v>0</v>
      </c>
      <c r="V178" s="82">
        <f t="shared" si="77"/>
        <v>0</v>
      </c>
      <c r="W178" s="83">
        <v>0</v>
      </c>
      <c r="X178" s="83">
        <v>0</v>
      </c>
      <c r="Y178" s="83">
        <v>0</v>
      </c>
      <c r="Z178" s="84">
        <f>ROUND((IF(($O178&lt;=700000),0,IF(((VLOOKUP($M178,'Loyalty - Effec - 15July'!$B$5:$C$17,2,0)*$O178)&lt;=120000),(VLOOKUP($M178,'Loyalty - Effec - 15July'!$B$5:$C$17,2,0)*$O178),120000))),0)</f>
        <v>0</v>
      </c>
      <c r="AA178" s="84">
        <f>ROUND(VLOOKUP($M178,'Loyalty - Effec - 15July'!$B$5:$D$17,3,0)*$O178,0)</f>
        <v>0</v>
      </c>
      <c r="AB178" s="85">
        <f t="shared" si="78"/>
        <v>0</v>
      </c>
      <c r="AC178" s="86">
        <f t="shared" si="79"/>
        <v>0</v>
      </c>
      <c r="AD178" s="87">
        <f t="shared" si="80"/>
        <v>0</v>
      </c>
      <c r="AE178" s="88">
        <f t="shared" si="81"/>
        <v>0</v>
      </c>
      <c r="AF178" s="88">
        <f t="shared" si="82"/>
        <v>0</v>
      </c>
      <c r="AG178" s="49" t="s">
        <v>914</v>
      </c>
      <c r="AH178" s="49" t="s">
        <v>929</v>
      </c>
      <c r="AI178" s="50"/>
      <c r="AJ178" s="46"/>
      <c r="AK178" s="46"/>
      <c r="AL178" s="46"/>
      <c r="AM178" s="51">
        <f>IF($AL178=4,VLOOKUP($AR178,'Loyalty Incentive v1'!$L$3:$Q$15,2,FALSE),
IF($AL178=3,VLOOKUP($AR178,'Loyalty Incentive v1'!$L$3:$Q$15,3,FALSE),
IF($AL178=2,VLOOKUP($AR178,'Loyalty Incentive v1'!$L$3:$Q$15,4,FALSE),
IF($AL178=1,VLOOKUP($AR178,'Loyalty Incentive v1'!$L$3:$Q$15,5,FALSE),
IF($AL178=0,VLOOKUP($AR178,'Loyalty Incentive v1'!$L$3:$Q$15,6,FALSE),0)))))</f>
        <v>0</v>
      </c>
      <c r="AN178" s="51">
        <f>IFERROR(IF(I178&gt;="1",AM178,VLOOKUP(VALUE(I178),'Loyalty - Effec - 15July'!$I$5:$J$16,2,0)*AM178),0)</f>
        <v>0</v>
      </c>
      <c r="AO178" s="51">
        <v>0</v>
      </c>
      <c r="AP178" s="51">
        <f t="shared" si="83"/>
        <v>0</v>
      </c>
      <c r="AQ178" s="46" t="str">
        <f t="shared" si="95"/>
        <v>No</v>
      </c>
      <c r="AR178" s="46" t="str">
        <f t="shared" si="96"/>
        <v>AE2</v>
      </c>
      <c r="AS178" s="46" t="b">
        <f t="shared" si="97"/>
        <v>1</v>
      </c>
      <c r="AT178" s="82">
        <f t="shared" si="98"/>
        <v>0</v>
      </c>
      <c r="AU178" s="82">
        <f t="shared" si="84"/>
        <v>0</v>
      </c>
      <c r="AV178" s="82">
        <f t="shared" si="85"/>
        <v>0</v>
      </c>
      <c r="AW178" s="82">
        <f t="shared" si="86"/>
        <v>0</v>
      </c>
      <c r="AX178" s="85"/>
      <c r="AY178" s="82">
        <f t="shared" si="87"/>
        <v>0</v>
      </c>
      <c r="AZ178" s="82">
        <f t="shared" si="88"/>
        <v>0</v>
      </c>
      <c r="BA178" s="82">
        <f t="shared" si="89"/>
        <v>0</v>
      </c>
      <c r="BB178" s="83">
        <v>0</v>
      </c>
      <c r="BC178" s="83">
        <v>0</v>
      </c>
      <c r="BD178" s="83">
        <v>0</v>
      </c>
      <c r="BE178" s="84">
        <f>ROUND((IF(($AT178&lt;=700000),0,IF(((VLOOKUP($AR178,'Loyalty - Effec - 15July'!$B$5:$C$17,2,0)*$AT178)&lt;=120000),(VLOOKUP($AR178,'Loyalty - Effec - 15July'!$B$5:$C$17,2,0)*$AT178),120000))),0)</f>
        <v>0</v>
      </c>
      <c r="BF178" s="84">
        <f>ROUND(VLOOKUP($AR178,'Loyalty - Effec - 15July'!$B$5:$D$17,3,0)*$AT178,0)</f>
        <v>0</v>
      </c>
      <c r="BG178" s="85">
        <f t="shared" si="90"/>
        <v>0</v>
      </c>
      <c r="BH178" s="81">
        <f t="shared" si="91"/>
        <v>0</v>
      </c>
      <c r="BI178" s="85">
        <f t="shared" si="92"/>
        <v>0</v>
      </c>
      <c r="BJ178" s="85">
        <f t="shared" si="93"/>
        <v>0</v>
      </c>
      <c r="BK178" s="85">
        <f t="shared" si="94"/>
        <v>0</v>
      </c>
      <c r="BL178" s="85">
        <f t="shared" si="99"/>
        <v>0</v>
      </c>
      <c r="BM178" s="85">
        <f t="shared" si="100"/>
        <v>0</v>
      </c>
      <c r="BN178" s="85">
        <f t="shared" si="101"/>
        <v>0</v>
      </c>
      <c r="BO178" s="52" t="s">
        <v>85</v>
      </c>
      <c r="BP178" s="46"/>
      <c r="BQ178" s="46"/>
      <c r="BR178" s="47">
        <f t="shared" si="108"/>
        <v>0</v>
      </c>
      <c r="BU178" s="47">
        <f t="shared" si="103"/>
        <v>0</v>
      </c>
      <c r="BV178" s="53" t="s">
        <v>442</v>
      </c>
      <c r="BW178" s="53" t="s">
        <v>932</v>
      </c>
      <c r="BX178" s="53" t="s">
        <v>664</v>
      </c>
      <c r="BY178" s="53"/>
      <c r="BZ178" s="53"/>
    </row>
    <row r="179" spans="1:79">
      <c r="A179" s="42" t="s">
        <v>443</v>
      </c>
      <c r="B179" s="28" t="s">
        <v>79</v>
      </c>
      <c r="C179" s="28" t="s">
        <v>80</v>
      </c>
      <c r="D179" s="28" t="s">
        <v>932</v>
      </c>
      <c r="E179" s="43" t="s">
        <v>82</v>
      </c>
      <c r="F179" s="28" t="s">
        <v>901</v>
      </c>
      <c r="G179" s="44" t="s">
        <v>665</v>
      </c>
      <c r="H179" s="45">
        <v>44739</v>
      </c>
      <c r="I179" s="46" t="s">
        <v>996</v>
      </c>
      <c r="J179" s="28">
        <v>0</v>
      </c>
      <c r="K179" s="28" t="s">
        <v>413</v>
      </c>
      <c r="L179" s="28" t="s">
        <v>140</v>
      </c>
      <c r="M179" s="28" t="s">
        <v>0</v>
      </c>
      <c r="N179" s="28" t="str">
        <f t="shared" ref="N179:N241" si="109">M179</f>
        <v>AE2</v>
      </c>
      <c r="O179" s="81"/>
      <c r="P179" s="81">
        <f t="shared" ref="P179:P241" si="110">CEILING(ROUND(($O179*50%),2),10)</f>
        <v>0</v>
      </c>
      <c r="Q179" s="81">
        <f t="shared" ref="Q179:Q241" si="111">ROUND((P179*25%),2)</f>
        <v>0</v>
      </c>
      <c r="R179" s="81">
        <f t="shared" ref="R179:R241" si="112">ROUND((P179*10%),2)</f>
        <v>0</v>
      </c>
      <c r="S179" s="81"/>
      <c r="T179" s="82">
        <f t="shared" ref="T179:T241" si="113">SUM(P179:S179)</f>
        <v>0</v>
      </c>
      <c r="U179" s="82">
        <f t="shared" ref="U179:U241" si="114">ROUND(IF(($T179-$Q179)&lt;=180000,($T179-$Q179)*12%,(180000*12%)),2)</f>
        <v>0</v>
      </c>
      <c r="V179" s="82">
        <f t="shared" ref="V179:V241" si="115">ROUND(IF(($T179&lt;=252000),($T179*3.25%),0),2)</f>
        <v>0</v>
      </c>
      <c r="W179" s="83">
        <v>0</v>
      </c>
      <c r="X179" s="83">
        <v>0</v>
      </c>
      <c r="Y179" s="83">
        <v>0</v>
      </c>
      <c r="Z179" s="84">
        <f>ROUND((IF(($O179&lt;=700000),0,IF(((VLOOKUP($M179,'Loyalty - Effec - 15July'!$B$5:$C$17,2,0)*$O179)&lt;=120000),(VLOOKUP($M179,'Loyalty - Effec - 15July'!$B$5:$C$17,2,0)*$O179),120000))),0)</f>
        <v>0</v>
      </c>
      <c r="AA179" s="84">
        <f>ROUND(VLOOKUP($M179,'Loyalty - Effec - 15July'!$B$5:$D$17,3,0)*$O179,0)</f>
        <v>0</v>
      </c>
      <c r="AB179" s="85">
        <f t="shared" ref="AB179:AB241" si="116">SUM(T179:AA179)</f>
        <v>0</v>
      </c>
      <c r="AC179" s="86">
        <f t="shared" ref="AC179:AC241" si="117">ROUND(IF(($T179&lt;=252000),($T179*0.75%),0),2)</f>
        <v>0</v>
      </c>
      <c r="AD179" s="87">
        <f t="shared" ref="AD179:AD241" si="118">O179-AB179</f>
        <v>0</v>
      </c>
      <c r="AE179" s="88">
        <f t="shared" ref="AE179:AE241" si="119">(T179+Z179)-(U179+AC179)</f>
        <v>0</v>
      </c>
      <c r="AF179" s="88">
        <f t="shared" ref="AF179:AF241" si="120">AE179/12</f>
        <v>0</v>
      </c>
      <c r="AG179" s="49" t="s">
        <v>251</v>
      </c>
      <c r="AH179" s="49" t="s">
        <v>126</v>
      </c>
      <c r="AI179" s="50"/>
      <c r="AJ179" s="46"/>
      <c r="AK179" s="46"/>
      <c r="AL179" s="46"/>
      <c r="AM179" s="51">
        <f>IF($AL179=4,VLOOKUP($AR179,'Loyalty Incentive v1'!$L$3:$Q$15,2,FALSE),
IF($AL179=3,VLOOKUP($AR179,'Loyalty Incentive v1'!$L$3:$Q$15,3,FALSE),
IF($AL179=2,VLOOKUP($AR179,'Loyalty Incentive v1'!$L$3:$Q$15,4,FALSE),
IF($AL179=1,VLOOKUP($AR179,'Loyalty Incentive v1'!$L$3:$Q$15,5,FALSE),
IF($AL179=0,VLOOKUP($AR179,'Loyalty Incentive v1'!$L$3:$Q$15,6,FALSE),0)))))</f>
        <v>0</v>
      </c>
      <c r="AN179" s="51">
        <f>IFERROR(IF(I179&gt;="1",AM179,VLOOKUP(VALUE(I179),'Loyalty - Effec - 15July'!$I$5:$J$16,2,0)*AM179),0)</f>
        <v>0</v>
      </c>
      <c r="AO179" s="51">
        <v>0</v>
      </c>
      <c r="AP179" s="51">
        <f t="shared" ref="AP179:AP241" si="121">AN179+AO179</f>
        <v>0</v>
      </c>
      <c r="AQ179" s="46" t="str">
        <f t="shared" si="95"/>
        <v>No</v>
      </c>
      <c r="AR179" s="46" t="str">
        <f t="shared" si="96"/>
        <v>AE2</v>
      </c>
      <c r="AS179" s="46" t="b">
        <f t="shared" si="97"/>
        <v>1</v>
      </c>
      <c r="AT179" s="82">
        <f t="shared" si="98"/>
        <v>0</v>
      </c>
      <c r="AU179" s="82">
        <f t="shared" ref="AU179:AU241" si="122">ROUND(AT179*$AU$3,0)</f>
        <v>0</v>
      </c>
      <c r="AV179" s="82">
        <f t="shared" ref="AV179:AV241" si="123">ROUND(AU179*$AV$3,0)</f>
        <v>0</v>
      </c>
      <c r="AW179" s="82">
        <f t="shared" ref="AW179:AW241" si="124">ROUND(AU179*$AW$3,0)</f>
        <v>0</v>
      </c>
      <c r="AX179" s="85"/>
      <c r="AY179" s="82">
        <f t="shared" ref="AY179:AY241" si="125">SUM(AU179:AX179)</f>
        <v>0</v>
      </c>
      <c r="AZ179" s="82">
        <f t="shared" ref="AZ179:AZ241" si="126">ROUND(IF((AY179-AV179)&gt;180000,21600,(AY179-AV179)*12%),0)</f>
        <v>0</v>
      </c>
      <c r="BA179" s="82">
        <f t="shared" ref="BA179:BA241" si="127">ROUND(IF(AY179&lt;252001,AY179*0.0325,0),0)</f>
        <v>0</v>
      </c>
      <c r="BB179" s="83">
        <v>0</v>
      </c>
      <c r="BC179" s="83">
        <v>0</v>
      </c>
      <c r="BD179" s="83">
        <v>0</v>
      </c>
      <c r="BE179" s="84">
        <f>ROUND((IF(($AT179&lt;=700000),0,IF(((VLOOKUP($AR179,'Loyalty - Effec - 15July'!$B$5:$C$17,2,0)*$AT179)&lt;=120000),(VLOOKUP($AR179,'Loyalty - Effec - 15July'!$B$5:$C$17,2,0)*$AT179),120000))),0)</f>
        <v>0</v>
      </c>
      <c r="BF179" s="84">
        <f>ROUND(VLOOKUP($AR179,'Loyalty - Effec - 15July'!$B$5:$D$17,3,0)*$AT179,0)</f>
        <v>0</v>
      </c>
      <c r="BG179" s="85">
        <f t="shared" ref="BG179:BG241" si="128">SUM(AY179:BF179)</f>
        <v>0</v>
      </c>
      <c r="BH179" s="81">
        <f t="shared" ref="BH179:BH241" si="129">ROUND(IF(AY179&lt;252001,AY179*0.0075,0),0)</f>
        <v>0</v>
      </c>
      <c r="BI179" s="85">
        <f t="shared" ref="BI179:BI241" si="130">AT179-BG179</f>
        <v>0</v>
      </c>
      <c r="BJ179" s="85">
        <f t="shared" ref="BJ179:BJ241" si="131">(AY179+BE179)-(AZ179+BH179)</f>
        <v>0</v>
      </c>
      <c r="BK179" s="85">
        <f t="shared" ref="BK179:BK241" si="132">BJ179/12</f>
        <v>0</v>
      </c>
      <c r="BL179" s="85">
        <f t="shared" si="99"/>
        <v>0</v>
      </c>
      <c r="BM179" s="85">
        <f t="shared" si="100"/>
        <v>0</v>
      </c>
      <c r="BN179" s="85">
        <f t="shared" si="101"/>
        <v>0</v>
      </c>
      <c r="BO179" s="52" t="s">
        <v>85</v>
      </c>
      <c r="BP179" s="46"/>
      <c r="BQ179" s="46"/>
      <c r="BR179" s="47">
        <f t="shared" si="108"/>
        <v>0</v>
      </c>
      <c r="BU179" s="47">
        <f t="shared" si="103"/>
        <v>0</v>
      </c>
      <c r="BV179" s="53" t="s">
        <v>443</v>
      </c>
      <c r="BW179" s="53" t="s">
        <v>932</v>
      </c>
      <c r="BX179" s="53" t="s">
        <v>665</v>
      </c>
      <c r="BY179" s="53"/>
      <c r="BZ179" s="53"/>
    </row>
    <row r="180" spans="1:79">
      <c r="A180" s="42" t="s">
        <v>444</v>
      </c>
      <c r="B180" s="28" t="s">
        <v>79</v>
      </c>
      <c r="C180" s="28" t="s">
        <v>80</v>
      </c>
      <c r="D180" s="28" t="s">
        <v>932</v>
      </c>
      <c r="E180" s="43" t="s">
        <v>82</v>
      </c>
      <c r="F180" s="28" t="s">
        <v>902</v>
      </c>
      <c r="G180" s="44" t="s">
        <v>666</v>
      </c>
      <c r="H180" s="45">
        <v>44739</v>
      </c>
      <c r="I180" s="46" t="s">
        <v>996</v>
      </c>
      <c r="J180" s="28">
        <v>0</v>
      </c>
      <c r="K180" s="28" t="s">
        <v>413</v>
      </c>
      <c r="L180" s="28" t="s">
        <v>880</v>
      </c>
      <c r="M180" s="28" t="s">
        <v>1</v>
      </c>
      <c r="N180" s="28" t="str">
        <f t="shared" si="109"/>
        <v>AE3</v>
      </c>
      <c r="O180" s="81"/>
      <c r="P180" s="81">
        <f t="shared" si="110"/>
        <v>0</v>
      </c>
      <c r="Q180" s="81">
        <f t="shared" si="111"/>
        <v>0</v>
      </c>
      <c r="R180" s="81">
        <f t="shared" si="112"/>
        <v>0</v>
      </c>
      <c r="S180" s="81"/>
      <c r="T180" s="82">
        <f t="shared" si="113"/>
        <v>0</v>
      </c>
      <c r="U180" s="82">
        <f t="shared" si="114"/>
        <v>0</v>
      </c>
      <c r="V180" s="82">
        <f t="shared" si="115"/>
        <v>0</v>
      </c>
      <c r="W180" s="83">
        <v>0</v>
      </c>
      <c r="X180" s="83">
        <v>0</v>
      </c>
      <c r="Y180" s="83">
        <v>0</v>
      </c>
      <c r="Z180" s="84">
        <f>ROUND((IF(($O180&lt;=700000),0,IF(((VLOOKUP($M180,'Loyalty - Effec - 15July'!$B$5:$C$17,2,0)*$O180)&lt;=120000),(VLOOKUP($M180,'Loyalty - Effec - 15July'!$B$5:$C$17,2,0)*$O180),120000))),0)</f>
        <v>0</v>
      </c>
      <c r="AA180" s="84">
        <f>ROUND(VLOOKUP($M180,'Loyalty - Effec - 15July'!$B$5:$D$17,3,0)*$O180,0)</f>
        <v>0</v>
      </c>
      <c r="AB180" s="85">
        <f t="shared" si="116"/>
        <v>0</v>
      </c>
      <c r="AC180" s="86">
        <f t="shared" si="117"/>
        <v>0</v>
      </c>
      <c r="AD180" s="87">
        <f t="shared" si="118"/>
        <v>0</v>
      </c>
      <c r="AE180" s="88">
        <f t="shared" si="119"/>
        <v>0</v>
      </c>
      <c r="AF180" s="88">
        <f t="shared" si="120"/>
        <v>0</v>
      </c>
      <c r="AG180" s="49" t="s">
        <v>653</v>
      </c>
      <c r="AH180" s="49" t="s">
        <v>126</v>
      </c>
      <c r="AI180" s="50"/>
      <c r="AJ180" s="46"/>
      <c r="AK180" s="46"/>
      <c r="AL180" s="46"/>
      <c r="AM180" s="51">
        <f>IF($AL180=4,VLOOKUP($AR180,'Loyalty Incentive v1'!$L$3:$Q$15,2,FALSE),
IF($AL180=3,VLOOKUP($AR180,'Loyalty Incentive v1'!$L$3:$Q$15,3,FALSE),
IF($AL180=2,VLOOKUP($AR180,'Loyalty Incentive v1'!$L$3:$Q$15,4,FALSE),
IF($AL180=1,VLOOKUP($AR180,'Loyalty Incentive v1'!$L$3:$Q$15,5,FALSE),
IF($AL180=0,VLOOKUP($AR180,'Loyalty Incentive v1'!$L$3:$Q$15,6,FALSE),0)))))</f>
        <v>0</v>
      </c>
      <c r="AN180" s="51">
        <f>IFERROR(IF(I180&gt;="1",AM180,VLOOKUP(VALUE(I180),'Loyalty - Effec - 15July'!$I$5:$J$16,2,0)*AM180),0)</f>
        <v>0</v>
      </c>
      <c r="AO180" s="51">
        <v>0</v>
      </c>
      <c r="AP180" s="51">
        <f t="shared" si="121"/>
        <v>0</v>
      </c>
      <c r="AQ180" s="46" t="str">
        <f t="shared" si="95"/>
        <v>No</v>
      </c>
      <c r="AR180" s="46" t="str">
        <f t="shared" si="96"/>
        <v>AE3</v>
      </c>
      <c r="AS180" s="46" t="b">
        <f t="shared" si="97"/>
        <v>1</v>
      </c>
      <c r="AT180" s="82">
        <f t="shared" si="98"/>
        <v>0</v>
      </c>
      <c r="AU180" s="82">
        <f t="shared" si="122"/>
        <v>0</v>
      </c>
      <c r="AV180" s="82">
        <f t="shared" si="123"/>
        <v>0</v>
      </c>
      <c r="AW180" s="82">
        <f t="shared" si="124"/>
        <v>0</v>
      </c>
      <c r="AX180" s="85"/>
      <c r="AY180" s="82">
        <f t="shared" si="125"/>
        <v>0</v>
      </c>
      <c r="AZ180" s="82">
        <f t="shared" si="126"/>
        <v>0</v>
      </c>
      <c r="BA180" s="82">
        <f t="shared" si="127"/>
        <v>0</v>
      </c>
      <c r="BB180" s="83">
        <v>0</v>
      </c>
      <c r="BC180" s="83">
        <v>0</v>
      </c>
      <c r="BD180" s="83">
        <v>0</v>
      </c>
      <c r="BE180" s="84">
        <f>ROUND((IF(($AT180&lt;=700000),0,IF(((VLOOKUP($AR180,'Loyalty - Effec - 15July'!$B$5:$C$17,2,0)*$AT180)&lt;=120000),(VLOOKUP($AR180,'Loyalty - Effec - 15July'!$B$5:$C$17,2,0)*$AT180),120000))),0)</f>
        <v>0</v>
      </c>
      <c r="BF180" s="84">
        <f>ROUND(VLOOKUP($AR180,'Loyalty - Effec - 15July'!$B$5:$D$17,3,0)*$AT180,0)</f>
        <v>0</v>
      </c>
      <c r="BG180" s="85">
        <f t="shared" si="128"/>
        <v>0</v>
      </c>
      <c r="BH180" s="81">
        <f t="shared" si="129"/>
        <v>0</v>
      </c>
      <c r="BI180" s="85">
        <f t="shared" si="130"/>
        <v>0</v>
      </c>
      <c r="BJ180" s="85">
        <f t="shared" si="131"/>
        <v>0</v>
      </c>
      <c r="BK180" s="85">
        <f t="shared" si="132"/>
        <v>0</v>
      </c>
      <c r="BL180" s="85">
        <f t="shared" si="99"/>
        <v>0</v>
      </c>
      <c r="BM180" s="85">
        <f t="shared" si="100"/>
        <v>0</v>
      </c>
      <c r="BN180" s="85">
        <f t="shared" si="101"/>
        <v>0</v>
      </c>
      <c r="BO180" s="52" t="s">
        <v>85</v>
      </c>
      <c r="BP180" s="46"/>
      <c r="BQ180" s="46"/>
      <c r="BR180" s="47">
        <f t="shared" si="108"/>
        <v>0</v>
      </c>
      <c r="BU180" s="47">
        <f t="shared" si="103"/>
        <v>0</v>
      </c>
      <c r="BV180" s="53" t="s">
        <v>444</v>
      </c>
      <c r="BW180" s="53" t="s">
        <v>932</v>
      </c>
      <c r="BX180" s="53" t="s">
        <v>666</v>
      </c>
      <c r="BY180" s="53"/>
      <c r="BZ180" s="53"/>
    </row>
    <row r="181" spans="1:79">
      <c r="A181" s="42" t="s">
        <v>445</v>
      </c>
      <c r="B181" s="28" t="s">
        <v>79</v>
      </c>
      <c r="C181" s="28" t="s">
        <v>80</v>
      </c>
      <c r="D181" s="28" t="s">
        <v>932</v>
      </c>
      <c r="E181" s="43" t="s">
        <v>82</v>
      </c>
      <c r="F181" s="28" t="s">
        <v>902</v>
      </c>
      <c r="G181" s="44" t="s">
        <v>667</v>
      </c>
      <c r="H181" s="45">
        <v>44739</v>
      </c>
      <c r="I181" s="46" t="s">
        <v>996</v>
      </c>
      <c r="J181" s="28">
        <v>0</v>
      </c>
      <c r="K181" s="28" t="s">
        <v>420</v>
      </c>
      <c r="L181" s="28" t="s">
        <v>890</v>
      </c>
      <c r="M181" s="28" t="s">
        <v>1</v>
      </c>
      <c r="N181" s="28" t="str">
        <f t="shared" si="109"/>
        <v>AE3</v>
      </c>
      <c r="O181" s="81"/>
      <c r="P181" s="81">
        <f t="shared" si="110"/>
        <v>0</v>
      </c>
      <c r="Q181" s="81">
        <f t="shared" si="111"/>
        <v>0</v>
      </c>
      <c r="R181" s="81">
        <f t="shared" si="112"/>
        <v>0</v>
      </c>
      <c r="S181" s="81"/>
      <c r="T181" s="82">
        <f t="shared" si="113"/>
        <v>0</v>
      </c>
      <c r="U181" s="82">
        <f t="shared" si="114"/>
        <v>0</v>
      </c>
      <c r="V181" s="82">
        <f t="shared" si="115"/>
        <v>0</v>
      </c>
      <c r="W181" s="83">
        <v>0</v>
      </c>
      <c r="X181" s="83">
        <v>0</v>
      </c>
      <c r="Y181" s="83">
        <v>0</v>
      </c>
      <c r="Z181" s="84">
        <f>ROUND((IF(($O181&lt;=700000),0,IF(((VLOOKUP($M181,'Loyalty - Effec - 15July'!$B$5:$C$17,2,0)*$O181)&lt;=120000),(VLOOKUP($M181,'Loyalty - Effec - 15July'!$B$5:$C$17,2,0)*$O181),120000))),0)</f>
        <v>0</v>
      </c>
      <c r="AA181" s="84">
        <f>ROUND(VLOOKUP($M181,'Loyalty - Effec - 15July'!$B$5:$D$17,3,0)*$O181,0)</f>
        <v>0</v>
      </c>
      <c r="AB181" s="85">
        <f t="shared" si="116"/>
        <v>0</v>
      </c>
      <c r="AC181" s="86">
        <f t="shared" si="117"/>
        <v>0</v>
      </c>
      <c r="AD181" s="87">
        <f t="shared" si="118"/>
        <v>0</v>
      </c>
      <c r="AE181" s="88">
        <f t="shared" si="119"/>
        <v>0</v>
      </c>
      <c r="AF181" s="88">
        <f t="shared" si="120"/>
        <v>0</v>
      </c>
      <c r="AG181" s="49" t="s">
        <v>129</v>
      </c>
      <c r="AH181" s="49" t="s">
        <v>129</v>
      </c>
      <c r="AI181" s="50"/>
      <c r="AJ181" s="46"/>
      <c r="AK181" s="46"/>
      <c r="AL181" s="46"/>
      <c r="AM181" s="51">
        <f>IF($AL181=4,VLOOKUP($AR181,'Loyalty Incentive v1'!$L$3:$Q$15,2,FALSE),
IF($AL181=3,VLOOKUP($AR181,'Loyalty Incentive v1'!$L$3:$Q$15,3,FALSE),
IF($AL181=2,VLOOKUP($AR181,'Loyalty Incentive v1'!$L$3:$Q$15,4,FALSE),
IF($AL181=1,VLOOKUP($AR181,'Loyalty Incentive v1'!$L$3:$Q$15,5,FALSE),
IF($AL181=0,VLOOKUP($AR181,'Loyalty Incentive v1'!$L$3:$Q$15,6,FALSE),0)))))</f>
        <v>0</v>
      </c>
      <c r="AN181" s="51">
        <f>IFERROR(IF(I181&gt;="1",AM181,VLOOKUP(VALUE(I181),'Loyalty - Effec - 15July'!$I$5:$J$16,2,0)*AM181),0)</f>
        <v>0</v>
      </c>
      <c r="AO181" s="51">
        <v>0</v>
      </c>
      <c r="AP181" s="51">
        <f t="shared" si="121"/>
        <v>0</v>
      </c>
      <c r="AQ181" s="46" t="str">
        <f t="shared" si="95"/>
        <v>No</v>
      </c>
      <c r="AR181" s="46" t="str">
        <f t="shared" si="96"/>
        <v>AE3</v>
      </c>
      <c r="AS181" s="46" t="b">
        <f t="shared" si="97"/>
        <v>1</v>
      </c>
      <c r="AT181" s="82">
        <f t="shared" si="98"/>
        <v>0</v>
      </c>
      <c r="AU181" s="82">
        <f t="shared" si="122"/>
        <v>0</v>
      </c>
      <c r="AV181" s="82">
        <f t="shared" si="123"/>
        <v>0</v>
      </c>
      <c r="AW181" s="82">
        <f t="shared" si="124"/>
        <v>0</v>
      </c>
      <c r="AX181" s="85"/>
      <c r="AY181" s="82">
        <f t="shared" si="125"/>
        <v>0</v>
      </c>
      <c r="AZ181" s="82">
        <f t="shared" si="126"/>
        <v>0</v>
      </c>
      <c r="BA181" s="82">
        <f t="shared" si="127"/>
        <v>0</v>
      </c>
      <c r="BB181" s="83">
        <v>0</v>
      </c>
      <c r="BC181" s="83">
        <v>0</v>
      </c>
      <c r="BD181" s="83">
        <v>0</v>
      </c>
      <c r="BE181" s="84">
        <f>ROUND((IF(($AT181&lt;=700000),0,IF(((VLOOKUP($AR181,'Loyalty - Effec - 15July'!$B$5:$C$17,2,0)*$AT181)&lt;=120000),(VLOOKUP($AR181,'Loyalty - Effec - 15July'!$B$5:$C$17,2,0)*$AT181),120000))),0)</f>
        <v>0</v>
      </c>
      <c r="BF181" s="84">
        <f>ROUND(VLOOKUP($AR181,'Loyalty - Effec - 15July'!$B$5:$D$17,3,0)*$AT181,0)</f>
        <v>0</v>
      </c>
      <c r="BG181" s="85">
        <f t="shared" si="128"/>
        <v>0</v>
      </c>
      <c r="BH181" s="81">
        <f t="shared" si="129"/>
        <v>0</v>
      </c>
      <c r="BI181" s="85">
        <f t="shared" si="130"/>
        <v>0</v>
      </c>
      <c r="BJ181" s="85">
        <f t="shared" si="131"/>
        <v>0</v>
      </c>
      <c r="BK181" s="85">
        <f t="shared" si="132"/>
        <v>0</v>
      </c>
      <c r="BL181" s="85">
        <f t="shared" si="99"/>
        <v>0</v>
      </c>
      <c r="BM181" s="85">
        <f t="shared" si="100"/>
        <v>0</v>
      </c>
      <c r="BN181" s="85">
        <f t="shared" si="101"/>
        <v>0</v>
      </c>
      <c r="BO181" s="52" t="s">
        <v>85</v>
      </c>
      <c r="BP181" s="46"/>
      <c r="BQ181" s="46"/>
      <c r="BR181" s="47">
        <f t="shared" si="108"/>
        <v>0</v>
      </c>
      <c r="BU181" s="47">
        <f t="shared" si="103"/>
        <v>0</v>
      </c>
      <c r="BV181" s="53" t="s">
        <v>445</v>
      </c>
      <c r="BW181" s="53" t="s">
        <v>932</v>
      </c>
      <c r="BX181" s="53" t="s">
        <v>667</v>
      </c>
      <c r="BY181" s="53"/>
      <c r="BZ181" s="53"/>
    </row>
    <row r="182" spans="1:79">
      <c r="A182" s="42" t="s">
        <v>446</v>
      </c>
      <c r="B182" s="28" t="s">
        <v>79</v>
      </c>
      <c r="C182" s="28" t="s">
        <v>80</v>
      </c>
      <c r="D182" s="28" t="s">
        <v>932</v>
      </c>
      <c r="E182" s="43" t="s">
        <v>82</v>
      </c>
      <c r="F182" s="28" t="s">
        <v>901</v>
      </c>
      <c r="G182" s="44" t="s">
        <v>668</v>
      </c>
      <c r="H182" s="45">
        <v>44746</v>
      </c>
      <c r="I182" s="46" t="s">
        <v>997</v>
      </c>
      <c r="J182" s="28">
        <v>0</v>
      </c>
      <c r="K182" s="28" t="s">
        <v>420</v>
      </c>
      <c r="L182" s="28" t="s">
        <v>893</v>
      </c>
      <c r="M182" s="28" t="s">
        <v>2</v>
      </c>
      <c r="N182" s="28" t="str">
        <f t="shared" si="109"/>
        <v>AE4</v>
      </c>
      <c r="O182" s="81"/>
      <c r="P182" s="81">
        <f t="shared" si="110"/>
        <v>0</v>
      </c>
      <c r="Q182" s="81">
        <f t="shared" si="111"/>
        <v>0</v>
      </c>
      <c r="R182" s="81">
        <f t="shared" si="112"/>
        <v>0</v>
      </c>
      <c r="S182" s="81"/>
      <c r="T182" s="82">
        <f t="shared" si="113"/>
        <v>0</v>
      </c>
      <c r="U182" s="82">
        <f t="shared" si="114"/>
        <v>0</v>
      </c>
      <c r="V182" s="82">
        <f t="shared" si="115"/>
        <v>0</v>
      </c>
      <c r="W182" s="83">
        <v>0</v>
      </c>
      <c r="X182" s="83">
        <v>0</v>
      </c>
      <c r="Y182" s="83">
        <v>0</v>
      </c>
      <c r="Z182" s="84">
        <f>ROUND((IF(($O182&lt;=700000),0,IF(((VLOOKUP($M182,'Loyalty - Effec - 15July'!$B$5:$C$17,2,0)*$O182)&lt;=120000),(VLOOKUP($M182,'Loyalty - Effec - 15July'!$B$5:$C$17,2,0)*$O182),120000))),0)</f>
        <v>0</v>
      </c>
      <c r="AA182" s="84">
        <f>ROUND(VLOOKUP($M182,'Loyalty - Effec - 15July'!$B$5:$D$17,3,0)*$O182,0)</f>
        <v>0</v>
      </c>
      <c r="AB182" s="85">
        <f t="shared" si="116"/>
        <v>0</v>
      </c>
      <c r="AC182" s="86">
        <f t="shared" si="117"/>
        <v>0</v>
      </c>
      <c r="AD182" s="87">
        <f t="shared" si="118"/>
        <v>0</v>
      </c>
      <c r="AE182" s="88">
        <f t="shared" si="119"/>
        <v>0</v>
      </c>
      <c r="AF182" s="88">
        <f t="shared" si="120"/>
        <v>0</v>
      </c>
      <c r="AG182" s="49" t="s">
        <v>687</v>
      </c>
      <c r="AH182" s="49" t="s">
        <v>129</v>
      </c>
      <c r="AI182" s="50"/>
      <c r="AJ182" s="46"/>
      <c r="AK182" s="46"/>
      <c r="AL182" s="46"/>
      <c r="AM182" s="51">
        <f>IF($AL182=4,VLOOKUP($AR182,'Loyalty Incentive v1'!$L$3:$Q$15,2,FALSE),
IF($AL182=3,VLOOKUP($AR182,'Loyalty Incentive v1'!$L$3:$Q$15,3,FALSE),
IF($AL182=2,VLOOKUP($AR182,'Loyalty Incentive v1'!$L$3:$Q$15,4,FALSE),
IF($AL182=1,VLOOKUP($AR182,'Loyalty Incentive v1'!$L$3:$Q$15,5,FALSE),
IF($AL182=0,VLOOKUP($AR182,'Loyalty Incentive v1'!$L$3:$Q$15,6,FALSE),0)))))</f>
        <v>0</v>
      </c>
      <c r="AN182" s="51">
        <f>IFERROR(IF(I182&gt;="1",AM182,VLOOKUP(VALUE(I182),'Loyalty - Effec - 15July'!$I$5:$J$16,2,0)*AM182),0)</f>
        <v>0</v>
      </c>
      <c r="AO182" s="51">
        <v>0</v>
      </c>
      <c r="AP182" s="51">
        <f t="shared" si="121"/>
        <v>0</v>
      </c>
      <c r="AQ182" s="46" t="str">
        <f t="shared" si="95"/>
        <v>No</v>
      </c>
      <c r="AR182" s="46" t="str">
        <f t="shared" si="96"/>
        <v>AE4</v>
      </c>
      <c r="AS182" s="46" t="b">
        <f t="shared" si="97"/>
        <v>1</v>
      </c>
      <c r="AT182" s="82">
        <f t="shared" si="98"/>
        <v>0</v>
      </c>
      <c r="AU182" s="82">
        <f t="shared" si="122"/>
        <v>0</v>
      </c>
      <c r="AV182" s="82">
        <f t="shared" si="123"/>
        <v>0</v>
      </c>
      <c r="AW182" s="82">
        <f t="shared" si="124"/>
        <v>0</v>
      </c>
      <c r="AX182" s="85"/>
      <c r="AY182" s="82">
        <f t="shared" si="125"/>
        <v>0</v>
      </c>
      <c r="AZ182" s="82">
        <f t="shared" si="126"/>
        <v>0</v>
      </c>
      <c r="BA182" s="82">
        <f t="shared" si="127"/>
        <v>0</v>
      </c>
      <c r="BB182" s="83">
        <v>0</v>
      </c>
      <c r="BC182" s="83">
        <v>0</v>
      </c>
      <c r="BD182" s="83">
        <v>0</v>
      </c>
      <c r="BE182" s="84">
        <f>ROUND((IF(($AT182&lt;=700000),0,IF(((VLOOKUP($AR182,'Loyalty - Effec - 15July'!$B$5:$C$17,2,0)*$AT182)&lt;=120000),(VLOOKUP($AR182,'Loyalty - Effec - 15July'!$B$5:$C$17,2,0)*$AT182),120000))),0)</f>
        <v>0</v>
      </c>
      <c r="BF182" s="84">
        <f>ROUND(VLOOKUP($AR182,'Loyalty - Effec - 15July'!$B$5:$D$17,3,0)*$AT182,0)</f>
        <v>0</v>
      </c>
      <c r="BG182" s="85">
        <f t="shared" si="128"/>
        <v>0</v>
      </c>
      <c r="BH182" s="81">
        <f t="shared" si="129"/>
        <v>0</v>
      </c>
      <c r="BI182" s="85">
        <f t="shared" si="130"/>
        <v>0</v>
      </c>
      <c r="BJ182" s="85">
        <f t="shared" si="131"/>
        <v>0</v>
      </c>
      <c r="BK182" s="85">
        <f t="shared" si="132"/>
        <v>0</v>
      </c>
      <c r="BL182" s="85">
        <f t="shared" si="99"/>
        <v>0</v>
      </c>
      <c r="BM182" s="85">
        <f t="shared" si="100"/>
        <v>0</v>
      </c>
      <c r="BN182" s="85">
        <f t="shared" si="101"/>
        <v>0</v>
      </c>
      <c r="BO182" s="52" t="s">
        <v>85</v>
      </c>
      <c r="BP182" s="46"/>
      <c r="BQ182" s="46"/>
      <c r="BR182" s="47">
        <f t="shared" si="108"/>
        <v>0</v>
      </c>
      <c r="BU182" s="47">
        <f t="shared" si="103"/>
        <v>0</v>
      </c>
      <c r="BV182" s="53" t="s">
        <v>446</v>
      </c>
      <c r="BW182" s="53" t="s">
        <v>932</v>
      </c>
      <c r="BX182" s="53" t="s">
        <v>668</v>
      </c>
      <c r="BY182" s="53"/>
      <c r="BZ182" s="53"/>
    </row>
    <row r="183" spans="1:79">
      <c r="A183" s="42" t="s">
        <v>447</v>
      </c>
      <c r="B183" s="28" t="s">
        <v>79</v>
      </c>
      <c r="C183" s="28" t="s">
        <v>80</v>
      </c>
      <c r="D183" s="28" t="s">
        <v>932</v>
      </c>
      <c r="E183" s="43" t="s">
        <v>82</v>
      </c>
      <c r="F183" s="28" t="s">
        <v>902</v>
      </c>
      <c r="G183" s="44" t="s">
        <v>669</v>
      </c>
      <c r="H183" s="45">
        <v>44746</v>
      </c>
      <c r="I183" s="46" t="s">
        <v>997</v>
      </c>
      <c r="J183" s="28">
        <v>0</v>
      </c>
      <c r="K183" s="28" t="s">
        <v>407</v>
      </c>
      <c r="L183" s="28" t="s">
        <v>868</v>
      </c>
      <c r="M183" s="28" t="s">
        <v>1</v>
      </c>
      <c r="N183" s="28" t="str">
        <f t="shared" si="109"/>
        <v>AE3</v>
      </c>
      <c r="O183" s="81"/>
      <c r="P183" s="81">
        <f t="shared" si="110"/>
        <v>0</v>
      </c>
      <c r="Q183" s="81">
        <f t="shared" si="111"/>
        <v>0</v>
      </c>
      <c r="R183" s="81">
        <f t="shared" si="112"/>
        <v>0</v>
      </c>
      <c r="S183" s="81"/>
      <c r="T183" s="82">
        <f t="shared" si="113"/>
        <v>0</v>
      </c>
      <c r="U183" s="82">
        <f t="shared" si="114"/>
        <v>0</v>
      </c>
      <c r="V183" s="82">
        <f t="shared" si="115"/>
        <v>0</v>
      </c>
      <c r="W183" s="83">
        <v>0</v>
      </c>
      <c r="X183" s="83">
        <v>0</v>
      </c>
      <c r="Y183" s="83">
        <v>0</v>
      </c>
      <c r="Z183" s="84">
        <f>ROUND((IF(($O183&lt;=700000),0,IF(((VLOOKUP($M183,'Loyalty - Effec - 15July'!$B$5:$C$17,2,0)*$O183)&lt;=120000),(VLOOKUP($M183,'Loyalty - Effec - 15July'!$B$5:$C$17,2,0)*$O183),120000))),0)</f>
        <v>0</v>
      </c>
      <c r="AA183" s="84">
        <f>ROUND(VLOOKUP($M183,'Loyalty - Effec - 15July'!$B$5:$D$17,3,0)*$O183,0)</f>
        <v>0</v>
      </c>
      <c r="AB183" s="85">
        <f t="shared" si="116"/>
        <v>0</v>
      </c>
      <c r="AC183" s="86">
        <f t="shared" si="117"/>
        <v>0</v>
      </c>
      <c r="AD183" s="87">
        <f t="shared" si="118"/>
        <v>0</v>
      </c>
      <c r="AE183" s="88">
        <f t="shared" si="119"/>
        <v>0</v>
      </c>
      <c r="AF183" s="88">
        <f t="shared" si="120"/>
        <v>0</v>
      </c>
      <c r="AG183" s="49" t="s">
        <v>702</v>
      </c>
      <c r="AH183" s="49" t="s">
        <v>349</v>
      </c>
      <c r="AI183" s="50"/>
      <c r="AJ183" s="46"/>
      <c r="AK183" s="46"/>
      <c r="AL183" s="46"/>
      <c r="AM183" s="51">
        <f>IF($AL183=4,VLOOKUP($AR183,'Loyalty Incentive v1'!$L$3:$Q$15,2,FALSE),
IF($AL183=3,VLOOKUP($AR183,'Loyalty Incentive v1'!$L$3:$Q$15,3,FALSE),
IF($AL183=2,VLOOKUP($AR183,'Loyalty Incentive v1'!$L$3:$Q$15,4,FALSE),
IF($AL183=1,VLOOKUP($AR183,'Loyalty Incentive v1'!$L$3:$Q$15,5,FALSE),
IF($AL183=0,VLOOKUP($AR183,'Loyalty Incentive v1'!$L$3:$Q$15,6,FALSE),0)))))</f>
        <v>0</v>
      </c>
      <c r="AN183" s="51">
        <f>IFERROR(IF(I183&gt;="1",AM183,VLOOKUP(VALUE(I183),'Loyalty - Effec - 15July'!$I$5:$J$16,2,0)*AM183),0)</f>
        <v>0</v>
      </c>
      <c r="AO183" s="51">
        <v>0</v>
      </c>
      <c r="AP183" s="51">
        <f t="shared" si="121"/>
        <v>0</v>
      </c>
      <c r="AQ183" s="46" t="str">
        <f t="shared" ref="AQ183:AQ245" si="133">IF((N183=AR183),"No","Yes")</f>
        <v>No</v>
      </c>
      <c r="AR183" s="46" t="str">
        <f t="shared" ref="AR183:AR245" si="134">N183</f>
        <v>AE3</v>
      </c>
      <c r="AS183" s="46" t="b">
        <f t="shared" ref="AS183:AS245" si="135">AR183=M183</f>
        <v>1</v>
      </c>
      <c r="AT183" s="82">
        <f t="shared" ref="AT183:AT247" si="136">O183+(O183*AP183)</f>
        <v>0</v>
      </c>
      <c r="AU183" s="82">
        <f t="shared" si="122"/>
        <v>0</v>
      </c>
      <c r="AV183" s="82">
        <f t="shared" si="123"/>
        <v>0</v>
      </c>
      <c r="AW183" s="82">
        <f t="shared" si="124"/>
        <v>0</v>
      </c>
      <c r="AX183" s="85"/>
      <c r="AY183" s="82">
        <f t="shared" si="125"/>
        <v>0</v>
      </c>
      <c r="AZ183" s="82">
        <f t="shared" si="126"/>
        <v>0</v>
      </c>
      <c r="BA183" s="82">
        <f t="shared" si="127"/>
        <v>0</v>
      </c>
      <c r="BB183" s="83">
        <v>0</v>
      </c>
      <c r="BC183" s="83">
        <v>0</v>
      </c>
      <c r="BD183" s="83">
        <v>0</v>
      </c>
      <c r="BE183" s="84">
        <f>ROUND((IF(($AT183&lt;=700000),0,IF(((VLOOKUP($AR183,'Loyalty - Effec - 15July'!$B$5:$C$17,2,0)*$AT183)&lt;=120000),(VLOOKUP($AR183,'Loyalty - Effec - 15July'!$B$5:$C$17,2,0)*$AT183),120000))),0)</f>
        <v>0</v>
      </c>
      <c r="BF183" s="84">
        <f>ROUND(VLOOKUP($AR183,'Loyalty - Effec - 15July'!$B$5:$D$17,3,0)*$AT183,0)</f>
        <v>0</v>
      </c>
      <c r="BG183" s="85">
        <f t="shared" si="128"/>
        <v>0</v>
      </c>
      <c r="BH183" s="81">
        <f t="shared" si="129"/>
        <v>0</v>
      </c>
      <c r="BI183" s="85">
        <f t="shared" si="130"/>
        <v>0</v>
      </c>
      <c r="BJ183" s="85">
        <f t="shared" si="131"/>
        <v>0</v>
      </c>
      <c r="BK183" s="85">
        <f t="shared" si="132"/>
        <v>0</v>
      </c>
      <c r="BL183" s="85">
        <f t="shared" ref="BL183:BL245" si="137">BG183-AB183</f>
        <v>0</v>
      </c>
      <c r="BM183" s="85">
        <f t="shared" ref="BM183:BM245" si="138">BK183-AF183</f>
        <v>0</v>
      </c>
      <c r="BN183" s="85">
        <f t="shared" ref="BN183:BN245" si="139">BK183-AF183</f>
        <v>0</v>
      </c>
      <c r="BO183" s="52" t="s">
        <v>85</v>
      </c>
      <c r="BP183" s="46"/>
      <c r="BQ183" s="46"/>
      <c r="BR183" s="47">
        <f t="shared" si="108"/>
        <v>0</v>
      </c>
      <c r="BU183" s="47">
        <f t="shared" si="103"/>
        <v>0</v>
      </c>
      <c r="BV183" s="53" t="s">
        <v>447</v>
      </c>
      <c r="BW183" s="53" t="s">
        <v>932</v>
      </c>
      <c r="BX183" s="53" t="s">
        <v>669</v>
      </c>
      <c r="BY183" s="53"/>
      <c r="BZ183" s="53"/>
    </row>
    <row r="184" spans="1:79">
      <c r="A184" s="42" t="s">
        <v>448</v>
      </c>
      <c r="B184" s="28" t="s">
        <v>79</v>
      </c>
      <c r="C184" s="28" t="s">
        <v>80</v>
      </c>
      <c r="D184" s="28" t="s">
        <v>932</v>
      </c>
      <c r="E184" s="43" t="s">
        <v>82</v>
      </c>
      <c r="F184" s="28" t="s">
        <v>901</v>
      </c>
      <c r="G184" s="44" t="s">
        <v>670</v>
      </c>
      <c r="H184" s="45">
        <v>44747</v>
      </c>
      <c r="I184" s="46" t="s">
        <v>997</v>
      </c>
      <c r="J184" s="28">
        <v>0</v>
      </c>
      <c r="K184" s="28" t="s">
        <v>863</v>
      </c>
      <c r="L184" s="28" t="s">
        <v>877</v>
      </c>
      <c r="M184" s="28" t="s">
        <v>4</v>
      </c>
      <c r="N184" s="28" t="str">
        <f t="shared" si="109"/>
        <v>AE6</v>
      </c>
      <c r="O184" s="81"/>
      <c r="P184" s="81">
        <f t="shared" si="110"/>
        <v>0</v>
      </c>
      <c r="Q184" s="81">
        <f t="shared" si="111"/>
        <v>0</v>
      </c>
      <c r="R184" s="81">
        <f t="shared" si="112"/>
        <v>0</v>
      </c>
      <c r="S184" s="81"/>
      <c r="T184" s="82">
        <f t="shared" si="113"/>
        <v>0</v>
      </c>
      <c r="U184" s="82">
        <f t="shared" si="114"/>
        <v>0</v>
      </c>
      <c r="V184" s="82">
        <f t="shared" si="115"/>
        <v>0</v>
      </c>
      <c r="W184" s="83">
        <v>0</v>
      </c>
      <c r="X184" s="83">
        <v>0</v>
      </c>
      <c r="Y184" s="83">
        <v>0</v>
      </c>
      <c r="Z184" s="84">
        <f>ROUND((IF(($O184&lt;=700000),0,IF(((VLOOKUP($M184,'Loyalty - Effec - 15July'!$B$5:$C$17,2,0)*$O184)&lt;=120000),(VLOOKUP($M184,'Loyalty - Effec - 15July'!$B$5:$C$17,2,0)*$O184),120000))),0)</f>
        <v>0</v>
      </c>
      <c r="AA184" s="84">
        <f>ROUND(VLOOKUP($M184,'Loyalty - Effec - 15July'!$B$5:$D$17,3,0)*$O184,0)</f>
        <v>0</v>
      </c>
      <c r="AB184" s="85">
        <f t="shared" si="116"/>
        <v>0</v>
      </c>
      <c r="AC184" s="86">
        <f t="shared" si="117"/>
        <v>0</v>
      </c>
      <c r="AD184" s="87">
        <f t="shared" si="118"/>
        <v>0</v>
      </c>
      <c r="AE184" s="88">
        <f t="shared" si="119"/>
        <v>0</v>
      </c>
      <c r="AF184" s="88">
        <f t="shared" si="120"/>
        <v>0</v>
      </c>
      <c r="AG184" s="49" t="s">
        <v>200</v>
      </c>
      <c r="AH184" s="49" t="s">
        <v>83</v>
      </c>
      <c r="AI184" s="50"/>
      <c r="AJ184" s="46"/>
      <c r="AK184" s="46"/>
      <c r="AL184" s="46"/>
      <c r="AM184" s="51">
        <f>IF($AL184=4,VLOOKUP($AR184,'Loyalty Incentive v1'!$L$3:$Q$15,2,FALSE),
IF($AL184=3,VLOOKUP($AR184,'Loyalty Incentive v1'!$L$3:$Q$15,3,FALSE),
IF($AL184=2,VLOOKUP($AR184,'Loyalty Incentive v1'!$L$3:$Q$15,4,FALSE),
IF($AL184=1,VLOOKUP($AR184,'Loyalty Incentive v1'!$L$3:$Q$15,5,FALSE),
IF($AL184=0,VLOOKUP($AR184,'Loyalty Incentive v1'!$L$3:$Q$15,6,FALSE),0)))))</f>
        <v>0</v>
      </c>
      <c r="AN184" s="51">
        <f>IFERROR(IF(I184&gt;="1",AM184,VLOOKUP(VALUE(I184),'Loyalty - Effec - 15July'!$I$5:$J$16,2,0)*AM184),0)</f>
        <v>0</v>
      </c>
      <c r="AO184" s="51">
        <v>0</v>
      </c>
      <c r="AP184" s="51">
        <f t="shared" si="121"/>
        <v>0</v>
      </c>
      <c r="AQ184" s="46" t="str">
        <f t="shared" si="133"/>
        <v>No</v>
      </c>
      <c r="AR184" s="46" t="str">
        <f t="shared" si="134"/>
        <v>AE6</v>
      </c>
      <c r="AS184" s="46" t="b">
        <f t="shared" si="135"/>
        <v>1</v>
      </c>
      <c r="AT184" s="82">
        <f t="shared" si="136"/>
        <v>0</v>
      </c>
      <c r="AU184" s="82">
        <f t="shared" si="122"/>
        <v>0</v>
      </c>
      <c r="AV184" s="82">
        <f t="shared" si="123"/>
        <v>0</v>
      </c>
      <c r="AW184" s="82">
        <f t="shared" si="124"/>
        <v>0</v>
      </c>
      <c r="AX184" s="85"/>
      <c r="AY184" s="82">
        <f t="shared" si="125"/>
        <v>0</v>
      </c>
      <c r="AZ184" s="82">
        <f t="shared" si="126"/>
        <v>0</v>
      </c>
      <c r="BA184" s="82">
        <f t="shared" si="127"/>
        <v>0</v>
      </c>
      <c r="BB184" s="83">
        <v>0</v>
      </c>
      <c r="BC184" s="83">
        <v>0</v>
      </c>
      <c r="BD184" s="83">
        <v>0</v>
      </c>
      <c r="BE184" s="84">
        <f>ROUND((IF(($AT184&lt;=700000),0,IF(((VLOOKUP($AR184,'Loyalty - Effec - 15July'!$B$5:$C$17,2,0)*$AT184)&lt;=120000),(VLOOKUP($AR184,'Loyalty - Effec - 15July'!$B$5:$C$17,2,0)*$AT184),120000))),0)</f>
        <v>0</v>
      </c>
      <c r="BF184" s="84">
        <f>ROUND(VLOOKUP($AR184,'Loyalty - Effec - 15July'!$B$5:$D$17,3,0)*$AT184,0)</f>
        <v>0</v>
      </c>
      <c r="BG184" s="85">
        <f t="shared" si="128"/>
        <v>0</v>
      </c>
      <c r="BH184" s="81">
        <f t="shared" si="129"/>
        <v>0</v>
      </c>
      <c r="BI184" s="85">
        <f t="shared" si="130"/>
        <v>0</v>
      </c>
      <c r="BJ184" s="85">
        <f t="shared" si="131"/>
        <v>0</v>
      </c>
      <c r="BK184" s="85">
        <f t="shared" si="132"/>
        <v>0</v>
      </c>
      <c r="BL184" s="85">
        <f t="shared" si="137"/>
        <v>0</v>
      </c>
      <c r="BM184" s="85">
        <f t="shared" si="138"/>
        <v>0</v>
      </c>
      <c r="BN184" s="85">
        <f t="shared" si="139"/>
        <v>0</v>
      </c>
      <c r="BO184" s="52" t="s">
        <v>85</v>
      </c>
      <c r="BP184" s="46"/>
      <c r="BQ184" s="46"/>
      <c r="BR184" s="47">
        <f t="shared" si="108"/>
        <v>0</v>
      </c>
      <c r="BU184" s="47">
        <f t="shared" si="103"/>
        <v>0</v>
      </c>
      <c r="BV184" s="53" t="s">
        <v>448</v>
      </c>
      <c r="BW184" s="53" t="s">
        <v>932</v>
      </c>
      <c r="BX184" s="53" t="s">
        <v>670</v>
      </c>
      <c r="BY184" s="53"/>
      <c r="BZ184" s="53"/>
    </row>
    <row r="185" spans="1:79">
      <c r="A185" s="42" t="s">
        <v>449</v>
      </c>
      <c r="B185" s="28" t="s">
        <v>79</v>
      </c>
      <c r="C185" s="28" t="s">
        <v>80</v>
      </c>
      <c r="D185" s="28" t="s">
        <v>932</v>
      </c>
      <c r="E185" s="43" t="s">
        <v>82</v>
      </c>
      <c r="F185" s="28" t="s">
        <v>902</v>
      </c>
      <c r="G185" s="44" t="s">
        <v>671</v>
      </c>
      <c r="H185" s="45">
        <v>44753</v>
      </c>
      <c r="I185" s="46" t="s">
        <v>997</v>
      </c>
      <c r="J185" s="28">
        <v>0</v>
      </c>
      <c r="K185" s="28" t="s">
        <v>93</v>
      </c>
      <c r="L185" s="28" t="s">
        <v>873</v>
      </c>
      <c r="M185" s="28" t="s">
        <v>2</v>
      </c>
      <c r="N185" s="28" t="str">
        <f t="shared" si="109"/>
        <v>AE4</v>
      </c>
      <c r="O185" s="81"/>
      <c r="P185" s="81">
        <f t="shared" si="110"/>
        <v>0</v>
      </c>
      <c r="Q185" s="81">
        <f t="shared" si="111"/>
        <v>0</v>
      </c>
      <c r="R185" s="81">
        <f t="shared" si="112"/>
        <v>0</v>
      </c>
      <c r="S185" s="81"/>
      <c r="T185" s="82">
        <f t="shared" si="113"/>
        <v>0</v>
      </c>
      <c r="U185" s="82">
        <f t="shared" si="114"/>
        <v>0</v>
      </c>
      <c r="V185" s="82">
        <f t="shared" si="115"/>
        <v>0</v>
      </c>
      <c r="W185" s="83">
        <v>0</v>
      </c>
      <c r="X185" s="83">
        <v>0</v>
      </c>
      <c r="Y185" s="83">
        <v>0</v>
      </c>
      <c r="Z185" s="84">
        <f>ROUND((IF(($O185&lt;=700000),0,IF(((VLOOKUP($M185,'Loyalty - Effec - 15July'!$B$5:$C$17,2,0)*$O185)&lt;=120000),(VLOOKUP($M185,'Loyalty - Effec - 15July'!$B$5:$C$17,2,0)*$O185),120000))),0)</f>
        <v>0</v>
      </c>
      <c r="AA185" s="84">
        <f>ROUND(VLOOKUP($M185,'Loyalty - Effec - 15July'!$B$5:$D$17,3,0)*$O185,0)</f>
        <v>0</v>
      </c>
      <c r="AB185" s="85">
        <f t="shared" si="116"/>
        <v>0</v>
      </c>
      <c r="AC185" s="86">
        <f t="shared" si="117"/>
        <v>0</v>
      </c>
      <c r="AD185" s="87">
        <f t="shared" si="118"/>
        <v>0</v>
      </c>
      <c r="AE185" s="88">
        <f t="shared" si="119"/>
        <v>0</v>
      </c>
      <c r="AF185" s="88">
        <f t="shared" si="120"/>
        <v>0</v>
      </c>
      <c r="AG185" s="49" t="s">
        <v>303</v>
      </c>
      <c r="AH185" s="49" t="s">
        <v>126</v>
      </c>
      <c r="AI185" s="50"/>
      <c r="AJ185" s="46"/>
      <c r="AK185" s="46"/>
      <c r="AL185" s="46"/>
      <c r="AM185" s="51">
        <f>IF($AL185=4,VLOOKUP($AR185,'Loyalty Incentive v1'!$L$3:$Q$15,2,FALSE),
IF($AL185=3,VLOOKUP($AR185,'Loyalty Incentive v1'!$L$3:$Q$15,3,FALSE),
IF($AL185=2,VLOOKUP($AR185,'Loyalty Incentive v1'!$L$3:$Q$15,4,FALSE),
IF($AL185=1,VLOOKUP($AR185,'Loyalty Incentive v1'!$L$3:$Q$15,5,FALSE),
IF($AL185=0,VLOOKUP($AR185,'Loyalty Incentive v1'!$L$3:$Q$15,6,FALSE),0)))))</f>
        <v>0</v>
      </c>
      <c r="AN185" s="51">
        <f>IFERROR(IF(I185&gt;="1",AM185,VLOOKUP(VALUE(I185),'Loyalty - Effec - 15July'!$I$5:$J$16,2,0)*AM185),0)</f>
        <v>0</v>
      </c>
      <c r="AO185" s="51">
        <v>0</v>
      </c>
      <c r="AP185" s="51">
        <f t="shared" si="121"/>
        <v>0</v>
      </c>
      <c r="AQ185" s="46" t="str">
        <f t="shared" si="133"/>
        <v>No</v>
      </c>
      <c r="AR185" s="46" t="str">
        <f t="shared" si="134"/>
        <v>AE4</v>
      </c>
      <c r="AS185" s="46" t="b">
        <f t="shared" si="135"/>
        <v>1</v>
      </c>
      <c r="AT185" s="82">
        <f t="shared" si="136"/>
        <v>0</v>
      </c>
      <c r="AU185" s="82">
        <f t="shared" si="122"/>
        <v>0</v>
      </c>
      <c r="AV185" s="82">
        <f t="shared" si="123"/>
        <v>0</v>
      </c>
      <c r="AW185" s="82">
        <f t="shared" si="124"/>
        <v>0</v>
      </c>
      <c r="AX185" s="85"/>
      <c r="AY185" s="82">
        <f t="shared" si="125"/>
        <v>0</v>
      </c>
      <c r="AZ185" s="82">
        <f t="shared" si="126"/>
        <v>0</v>
      </c>
      <c r="BA185" s="82">
        <f t="shared" si="127"/>
        <v>0</v>
      </c>
      <c r="BB185" s="83">
        <v>0</v>
      </c>
      <c r="BC185" s="83">
        <v>0</v>
      </c>
      <c r="BD185" s="83">
        <v>0</v>
      </c>
      <c r="BE185" s="84">
        <f>ROUND((IF(($AT185&lt;=700000),0,IF(((VLOOKUP($AR185,'Loyalty - Effec - 15July'!$B$5:$C$17,2,0)*$AT185)&lt;=120000),(VLOOKUP($AR185,'Loyalty - Effec - 15July'!$B$5:$C$17,2,0)*$AT185),120000))),0)</f>
        <v>0</v>
      </c>
      <c r="BF185" s="84">
        <f>ROUND(VLOOKUP($AR185,'Loyalty - Effec - 15July'!$B$5:$D$17,3,0)*$AT185,0)</f>
        <v>0</v>
      </c>
      <c r="BG185" s="85">
        <f t="shared" si="128"/>
        <v>0</v>
      </c>
      <c r="BH185" s="81">
        <f t="shared" si="129"/>
        <v>0</v>
      </c>
      <c r="BI185" s="85">
        <f t="shared" si="130"/>
        <v>0</v>
      </c>
      <c r="BJ185" s="85">
        <f t="shared" si="131"/>
        <v>0</v>
      </c>
      <c r="BK185" s="85">
        <f t="shared" si="132"/>
        <v>0</v>
      </c>
      <c r="BL185" s="85">
        <f t="shared" si="137"/>
        <v>0</v>
      </c>
      <c r="BM185" s="85">
        <f t="shared" si="138"/>
        <v>0</v>
      </c>
      <c r="BN185" s="85">
        <f t="shared" si="139"/>
        <v>0</v>
      </c>
      <c r="BO185" s="52" t="s">
        <v>85</v>
      </c>
      <c r="BP185" s="46"/>
      <c r="BQ185" s="46"/>
      <c r="BR185" s="47">
        <f t="shared" si="108"/>
        <v>0</v>
      </c>
      <c r="BU185" s="47">
        <f t="shared" si="103"/>
        <v>0</v>
      </c>
      <c r="BV185" s="53" t="s">
        <v>449</v>
      </c>
      <c r="BW185" s="53" t="s">
        <v>932</v>
      </c>
      <c r="BX185" s="53" t="s">
        <v>671</v>
      </c>
      <c r="BY185" s="53"/>
      <c r="BZ185" s="53"/>
    </row>
    <row r="186" spans="1:79">
      <c r="A186" s="42" t="s">
        <v>450</v>
      </c>
      <c r="B186" s="28" t="s">
        <v>79</v>
      </c>
      <c r="C186" s="28" t="s">
        <v>80</v>
      </c>
      <c r="D186" s="28" t="s">
        <v>932</v>
      </c>
      <c r="E186" s="43" t="s">
        <v>82</v>
      </c>
      <c r="F186" s="28" t="s">
        <v>901</v>
      </c>
      <c r="G186" s="44" t="s">
        <v>672</v>
      </c>
      <c r="H186" s="45">
        <v>44753</v>
      </c>
      <c r="I186" s="46" t="s">
        <v>997</v>
      </c>
      <c r="J186" s="28">
        <v>4.5</v>
      </c>
      <c r="K186" s="28" t="s">
        <v>93</v>
      </c>
      <c r="L186" s="28" t="s">
        <v>873</v>
      </c>
      <c r="M186" s="28" t="s">
        <v>3</v>
      </c>
      <c r="N186" s="28" t="str">
        <f t="shared" si="109"/>
        <v>AE5</v>
      </c>
      <c r="O186" s="81"/>
      <c r="P186" s="81">
        <f t="shared" si="110"/>
        <v>0</v>
      </c>
      <c r="Q186" s="81">
        <f t="shared" si="111"/>
        <v>0</v>
      </c>
      <c r="R186" s="81">
        <f t="shared" si="112"/>
        <v>0</v>
      </c>
      <c r="S186" s="81"/>
      <c r="T186" s="82">
        <f t="shared" si="113"/>
        <v>0</v>
      </c>
      <c r="U186" s="82">
        <f t="shared" si="114"/>
        <v>0</v>
      </c>
      <c r="V186" s="82">
        <f t="shared" si="115"/>
        <v>0</v>
      </c>
      <c r="W186" s="83">
        <v>0</v>
      </c>
      <c r="X186" s="83">
        <v>0</v>
      </c>
      <c r="Y186" s="83">
        <v>0</v>
      </c>
      <c r="Z186" s="84">
        <f>ROUND((IF(($O186&lt;=700000),0,IF(((VLOOKUP($M186,'Loyalty - Effec - 15July'!$B$5:$C$17,2,0)*$O186)&lt;=120000),(VLOOKUP($M186,'Loyalty - Effec - 15July'!$B$5:$C$17,2,0)*$O186),120000))),0)</f>
        <v>0</v>
      </c>
      <c r="AA186" s="84">
        <f>ROUND(VLOOKUP($M186,'Loyalty - Effec - 15July'!$B$5:$D$17,3,0)*$O186,0)</f>
        <v>0</v>
      </c>
      <c r="AB186" s="85">
        <f t="shared" si="116"/>
        <v>0</v>
      </c>
      <c r="AC186" s="86">
        <f t="shared" si="117"/>
        <v>0</v>
      </c>
      <c r="AD186" s="87">
        <f t="shared" si="118"/>
        <v>0</v>
      </c>
      <c r="AE186" s="88">
        <f t="shared" si="119"/>
        <v>0</v>
      </c>
      <c r="AF186" s="88">
        <f t="shared" si="120"/>
        <v>0</v>
      </c>
      <c r="AG186" s="49" t="s">
        <v>146</v>
      </c>
      <c r="AH186" s="49" t="s">
        <v>910</v>
      </c>
      <c r="AI186" s="50"/>
      <c r="AJ186" s="46"/>
      <c r="AK186" s="46"/>
      <c r="AL186" s="46"/>
      <c r="AM186" s="51">
        <f>IF($AL186=4,VLOOKUP($AR186,'Loyalty Incentive v1'!$L$3:$Q$15,2,FALSE),
IF($AL186=3,VLOOKUP($AR186,'Loyalty Incentive v1'!$L$3:$Q$15,3,FALSE),
IF($AL186=2,VLOOKUP($AR186,'Loyalty Incentive v1'!$L$3:$Q$15,4,FALSE),
IF($AL186=1,VLOOKUP($AR186,'Loyalty Incentive v1'!$L$3:$Q$15,5,FALSE),
IF($AL186=0,VLOOKUP($AR186,'Loyalty Incentive v1'!$L$3:$Q$15,6,FALSE),0)))))</f>
        <v>0</v>
      </c>
      <c r="AN186" s="51">
        <f>IFERROR(IF(I186&gt;="1",AM186,VLOOKUP(VALUE(I186),'Loyalty - Effec - 15July'!$I$5:$J$16,2,0)*AM186),0)</f>
        <v>0</v>
      </c>
      <c r="AO186" s="51">
        <v>0</v>
      </c>
      <c r="AP186" s="51">
        <f t="shared" si="121"/>
        <v>0</v>
      </c>
      <c r="AQ186" s="46" t="str">
        <f t="shared" si="133"/>
        <v>No</v>
      </c>
      <c r="AR186" s="46" t="str">
        <f t="shared" si="134"/>
        <v>AE5</v>
      </c>
      <c r="AS186" s="46" t="b">
        <f t="shared" si="135"/>
        <v>1</v>
      </c>
      <c r="AT186" s="82">
        <f t="shared" si="136"/>
        <v>0</v>
      </c>
      <c r="AU186" s="82">
        <f t="shared" si="122"/>
        <v>0</v>
      </c>
      <c r="AV186" s="82">
        <f t="shared" si="123"/>
        <v>0</v>
      </c>
      <c r="AW186" s="82">
        <f t="shared" si="124"/>
        <v>0</v>
      </c>
      <c r="AX186" s="85"/>
      <c r="AY186" s="82">
        <f t="shared" si="125"/>
        <v>0</v>
      </c>
      <c r="AZ186" s="82">
        <f t="shared" si="126"/>
        <v>0</v>
      </c>
      <c r="BA186" s="82">
        <f t="shared" si="127"/>
        <v>0</v>
      </c>
      <c r="BB186" s="83">
        <v>0</v>
      </c>
      <c r="BC186" s="83">
        <v>0</v>
      </c>
      <c r="BD186" s="83">
        <v>0</v>
      </c>
      <c r="BE186" s="84">
        <f>ROUND((IF(($AT186&lt;=700000),0,IF(((VLOOKUP($AR186,'Loyalty - Effec - 15July'!$B$5:$C$17,2,0)*$AT186)&lt;=120000),(VLOOKUP($AR186,'Loyalty - Effec - 15July'!$B$5:$C$17,2,0)*$AT186),120000))),0)</f>
        <v>0</v>
      </c>
      <c r="BF186" s="84">
        <f>ROUND(VLOOKUP($AR186,'Loyalty - Effec - 15July'!$B$5:$D$17,3,0)*$AT186,0)</f>
        <v>0</v>
      </c>
      <c r="BG186" s="85">
        <f t="shared" si="128"/>
        <v>0</v>
      </c>
      <c r="BH186" s="81">
        <f t="shared" si="129"/>
        <v>0</v>
      </c>
      <c r="BI186" s="85">
        <f t="shared" si="130"/>
        <v>0</v>
      </c>
      <c r="BJ186" s="85">
        <f t="shared" si="131"/>
        <v>0</v>
      </c>
      <c r="BK186" s="85">
        <f t="shared" si="132"/>
        <v>0</v>
      </c>
      <c r="BL186" s="85">
        <f t="shared" si="137"/>
        <v>0</v>
      </c>
      <c r="BM186" s="85">
        <f t="shared" si="138"/>
        <v>0</v>
      </c>
      <c r="BN186" s="85">
        <f t="shared" si="139"/>
        <v>0</v>
      </c>
      <c r="BO186" s="52" t="s">
        <v>85</v>
      </c>
      <c r="BP186" s="46"/>
      <c r="BQ186" s="46"/>
      <c r="BR186" s="47">
        <f t="shared" ref="BR186:BR193" si="140">BG186-AT186</f>
        <v>0</v>
      </c>
      <c r="BU186" s="47">
        <f t="shared" si="103"/>
        <v>0</v>
      </c>
      <c r="BV186" s="53" t="s">
        <v>450</v>
      </c>
      <c r="BW186" s="53" t="s">
        <v>932</v>
      </c>
      <c r="BX186" s="53" t="s">
        <v>672</v>
      </c>
      <c r="BY186" s="53"/>
      <c r="BZ186" s="53"/>
    </row>
    <row r="187" spans="1:79">
      <c r="A187" s="42" t="s">
        <v>451</v>
      </c>
      <c r="B187" s="28" t="s">
        <v>79</v>
      </c>
      <c r="C187" s="28" t="s">
        <v>80</v>
      </c>
      <c r="D187" s="28" t="s">
        <v>932</v>
      </c>
      <c r="E187" s="43" t="s">
        <v>82</v>
      </c>
      <c r="F187" s="28" t="s">
        <v>902</v>
      </c>
      <c r="G187" s="44" t="s">
        <v>673</v>
      </c>
      <c r="H187" s="45">
        <v>44760</v>
      </c>
      <c r="I187" s="46" t="s">
        <v>997</v>
      </c>
      <c r="J187" s="28">
        <v>8</v>
      </c>
      <c r="K187" s="28" t="s">
        <v>407</v>
      </c>
      <c r="L187" s="28" t="s">
        <v>868</v>
      </c>
      <c r="M187" s="28" t="s">
        <v>2</v>
      </c>
      <c r="N187" s="28" t="str">
        <f t="shared" si="109"/>
        <v>AE4</v>
      </c>
      <c r="O187" s="81"/>
      <c r="P187" s="81">
        <f t="shared" si="110"/>
        <v>0</v>
      </c>
      <c r="Q187" s="81">
        <f t="shared" si="111"/>
        <v>0</v>
      </c>
      <c r="R187" s="81">
        <f t="shared" si="112"/>
        <v>0</v>
      </c>
      <c r="S187" s="81"/>
      <c r="T187" s="82">
        <f t="shared" si="113"/>
        <v>0</v>
      </c>
      <c r="U187" s="82">
        <f t="shared" si="114"/>
        <v>0</v>
      </c>
      <c r="V187" s="82">
        <f t="shared" si="115"/>
        <v>0</v>
      </c>
      <c r="W187" s="83">
        <v>0</v>
      </c>
      <c r="X187" s="83">
        <v>0</v>
      </c>
      <c r="Y187" s="83">
        <v>0</v>
      </c>
      <c r="Z187" s="84">
        <f>ROUND((IF(($O187&lt;=700000),0,IF(((VLOOKUP($M187,'Loyalty - Effec - 15July'!$B$5:$C$17,2,0)*$O187)&lt;=120000),(VLOOKUP($M187,'Loyalty - Effec - 15July'!$B$5:$C$17,2,0)*$O187),120000))),0)</f>
        <v>0</v>
      </c>
      <c r="AA187" s="84">
        <f>ROUND(VLOOKUP($M187,'Loyalty - Effec - 15July'!$B$5:$D$17,3,0)*$O187,0)</f>
        <v>0</v>
      </c>
      <c r="AB187" s="85">
        <f t="shared" si="116"/>
        <v>0</v>
      </c>
      <c r="AC187" s="86">
        <f t="shared" si="117"/>
        <v>0</v>
      </c>
      <c r="AD187" s="87">
        <f t="shared" si="118"/>
        <v>0</v>
      </c>
      <c r="AE187" s="88">
        <f t="shared" si="119"/>
        <v>0</v>
      </c>
      <c r="AF187" s="88">
        <f t="shared" si="120"/>
        <v>0</v>
      </c>
      <c r="AG187" s="49" t="s">
        <v>702</v>
      </c>
      <c r="AH187" s="49" t="s">
        <v>349</v>
      </c>
      <c r="AI187" s="50"/>
      <c r="AJ187" s="46"/>
      <c r="AK187" s="46"/>
      <c r="AL187" s="46"/>
      <c r="AM187" s="51">
        <f>IF($AL187=4,VLOOKUP($AR187,'Loyalty Incentive v1'!$L$3:$Q$15,2,FALSE),
IF($AL187=3,VLOOKUP($AR187,'Loyalty Incentive v1'!$L$3:$Q$15,3,FALSE),
IF($AL187=2,VLOOKUP($AR187,'Loyalty Incentive v1'!$L$3:$Q$15,4,FALSE),
IF($AL187=1,VLOOKUP($AR187,'Loyalty Incentive v1'!$L$3:$Q$15,5,FALSE),
IF($AL187=0,VLOOKUP($AR187,'Loyalty Incentive v1'!$L$3:$Q$15,6,FALSE),0)))))</f>
        <v>0</v>
      </c>
      <c r="AN187" s="51">
        <f>IFERROR(IF(I187&gt;="1",AM187,VLOOKUP(VALUE(I187),'Loyalty - Effec - 15July'!$I$5:$J$16,2,0)*AM187),0)</f>
        <v>0</v>
      </c>
      <c r="AO187" s="51">
        <v>0</v>
      </c>
      <c r="AP187" s="51">
        <f t="shared" si="121"/>
        <v>0</v>
      </c>
      <c r="AQ187" s="46" t="str">
        <f t="shared" si="133"/>
        <v>No</v>
      </c>
      <c r="AR187" s="46" t="str">
        <f t="shared" si="134"/>
        <v>AE4</v>
      </c>
      <c r="AS187" s="46" t="b">
        <f t="shared" si="135"/>
        <v>1</v>
      </c>
      <c r="AT187" s="82">
        <f t="shared" si="136"/>
        <v>0</v>
      </c>
      <c r="AU187" s="82">
        <f t="shared" si="122"/>
        <v>0</v>
      </c>
      <c r="AV187" s="82">
        <f t="shared" si="123"/>
        <v>0</v>
      </c>
      <c r="AW187" s="82">
        <f t="shared" si="124"/>
        <v>0</v>
      </c>
      <c r="AX187" s="85"/>
      <c r="AY187" s="82">
        <f t="shared" si="125"/>
        <v>0</v>
      </c>
      <c r="AZ187" s="82">
        <f t="shared" si="126"/>
        <v>0</v>
      </c>
      <c r="BA187" s="82">
        <f t="shared" si="127"/>
        <v>0</v>
      </c>
      <c r="BB187" s="83">
        <v>0</v>
      </c>
      <c r="BC187" s="83">
        <v>0</v>
      </c>
      <c r="BD187" s="83">
        <v>0</v>
      </c>
      <c r="BE187" s="84">
        <f>ROUND((IF(($AT187&lt;=700000),0,IF(((VLOOKUP($AR187,'Loyalty - Effec - 15July'!$B$5:$C$17,2,0)*$AT187)&lt;=120000),(VLOOKUP($AR187,'Loyalty - Effec - 15July'!$B$5:$C$17,2,0)*$AT187),120000))),0)</f>
        <v>0</v>
      </c>
      <c r="BF187" s="84">
        <f>ROUND(VLOOKUP($AR187,'Loyalty - Effec - 15July'!$B$5:$D$17,3,0)*$AT187,0)</f>
        <v>0</v>
      </c>
      <c r="BG187" s="85">
        <f t="shared" si="128"/>
        <v>0</v>
      </c>
      <c r="BH187" s="81">
        <f t="shared" si="129"/>
        <v>0</v>
      </c>
      <c r="BI187" s="85">
        <f t="shared" si="130"/>
        <v>0</v>
      </c>
      <c r="BJ187" s="85">
        <f t="shared" si="131"/>
        <v>0</v>
      </c>
      <c r="BK187" s="85">
        <f t="shared" si="132"/>
        <v>0</v>
      </c>
      <c r="BL187" s="85">
        <f t="shared" si="137"/>
        <v>0</v>
      </c>
      <c r="BM187" s="85">
        <f t="shared" si="138"/>
        <v>0</v>
      </c>
      <c r="BN187" s="85">
        <f t="shared" si="139"/>
        <v>0</v>
      </c>
      <c r="BO187" s="52" t="s">
        <v>85</v>
      </c>
      <c r="BP187" s="46"/>
      <c r="BQ187" s="46"/>
      <c r="BR187" s="47">
        <f t="shared" si="140"/>
        <v>0</v>
      </c>
      <c r="BU187" s="47">
        <f t="shared" si="103"/>
        <v>0</v>
      </c>
      <c r="BV187" s="53" t="s">
        <v>451</v>
      </c>
      <c r="BW187" s="53" t="s">
        <v>932</v>
      </c>
      <c r="BX187" s="53" t="s">
        <v>673</v>
      </c>
      <c r="BY187" s="53"/>
      <c r="BZ187" s="53"/>
    </row>
    <row r="188" spans="1:79">
      <c r="A188" s="42" t="s">
        <v>452</v>
      </c>
      <c r="B188" s="28" t="s">
        <v>79</v>
      </c>
      <c r="C188" s="28" t="s">
        <v>80</v>
      </c>
      <c r="D188" s="28" t="s">
        <v>81</v>
      </c>
      <c r="E188" s="43" t="s">
        <v>82</v>
      </c>
      <c r="F188" s="28" t="s">
        <v>902</v>
      </c>
      <c r="G188" s="44" t="s">
        <v>674</v>
      </c>
      <c r="H188" s="45">
        <v>44760</v>
      </c>
      <c r="I188" s="28" t="s">
        <v>997</v>
      </c>
      <c r="J188" s="28">
        <v>0</v>
      </c>
      <c r="K188" s="28" t="s">
        <v>421</v>
      </c>
      <c r="L188" s="28" t="s">
        <v>894</v>
      </c>
      <c r="M188" s="28" t="s">
        <v>0</v>
      </c>
      <c r="N188" s="28" t="str">
        <f t="shared" si="109"/>
        <v>AE2</v>
      </c>
      <c r="O188" s="81"/>
      <c r="P188" s="81">
        <f t="shared" si="110"/>
        <v>0</v>
      </c>
      <c r="Q188" s="81">
        <f t="shared" si="111"/>
        <v>0</v>
      </c>
      <c r="R188" s="81">
        <f t="shared" si="112"/>
        <v>0</v>
      </c>
      <c r="S188" s="81"/>
      <c r="T188" s="82">
        <f t="shared" si="113"/>
        <v>0</v>
      </c>
      <c r="U188" s="82">
        <f t="shared" si="114"/>
        <v>0</v>
      </c>
      <c r="V188" s="82">
        <f t="shared" si="115"/>
        <v>0</v>
      </c>
      <c r="W188" s="83">
        <v>0</v>
      </c>
      <c r="X188" s="83">
        <v>0</v>
      </c>
      <c r="Y188" s="83">
        <v>0</v>
      </c>
      <c r="Z188" s="84">
        <f>ROUND((IF(($O188&lt;=700000),0,IF(((VLOOKUP($M188,'Loyalty - Effec - 15July'!$B$5:$C$17,2,0)*$O188)&lt;=120000),(VLOOKUP($M188,'Loyalty - Effec - 15July'!$B$5:$C$17,2,0)*$O188),120000))),0)</f>
        <v>0</v>
      </c>
      <c r="AA188" s="84">
        <f>ROUND(VLOOKUP($M188,'Loyalty - Effec - 15July'!$B$5:$D$17,3,0)*$O188,0)</f>
        <v>0</v>
      </c>
      <c r="AB188" s="85">
        <f t="shared" si="116"/>
        <v>0</v>
      </c>
      <c r="AC188" s="86">
        <f t="shared" si="117"/>
        <v>0</v>
      </c>
      <c r="AD188" s="87">
        <f t="shared" si="118"/>
        <v>0</v>
      </c>
      <c r="AE188" s="88">
        <f t="shared" si="119"/>
        <v>0</v>
      </c>
      <c r="AF188" s="88">
        <f t="shared" si="120"/>
        <v>0</v>
      </c>
      <c r="AG188" s="49" t="s">
        <v>906</v>
      </c>
      <c r="AH188" s="49" t="s">
        <v>83</v>
      </c>
      <c r="AI188" s="50"/>
      <c r="AJ188" s="50"/>
      <c r="AK188" s="50"/>
      <c r="AL188" s="46"/>
      <c r="AM188" s="51">
        <f>IF($AL188=4,VLOOKUP($AR188,'Loyalty Incentive v1'!$L$3:$Q$15,2,FALSE),
IF($AL188=3,VLOOKUP($AR188,'Loyalty Incentive v1'!$L$3:$Q$15,3,FALSE),
IF($AL188=2,VLOOKUP($AR188,'Loyalty Incentive v1'!$L$3:$Q$15,4,FALSE),
IF($AL188=1,VLOOKUP($AR188,'Loyalty Incentive v1'!$L$3:$Q$15,5,FALSE),
IF($AL188=0,VLOOKUP($AR188,'Loyalty Incentive v1'!$L$3:$Q$15,6,FALSE),0)))))</f>
        <v>0</v>
      </c>
      <c r="AN188" s="51">
        <f>IFERROR(IF(I188&gt;="1",AM188,VLOOKUP(VALUE(I188),'Loyalty - Effec - 15July'!$I$5:$J$16,2,0)*AM188),0)</f>
        <v>0</v>
      </c>
      <c r="AO188" s="51">
        <v>-0.04</v>
      </c>
      <c r="AP188" s="51">
        <f t="shared" si="121"/>
        <v>-0.04</v>
      </c>
      <c r="AQ188" s="46" t="str">
        <f t="shared" si="133"/>
        <v>No</v>
      </c>
      <c r="AR188" s="46" t="str">
        <f t="shared" si="134"/>
        <v>AE2</v>
      </c>
      <c r="AS188" s="46" t="b">
        <f t="shared" si="135"/>
        <v>1</v>
      </c>
      <c r="AT188" s="82">
        <f t="shared" si="136"/>
        <v>0</v>
      </c>
      <c r="AU188" s="82">
        <f t="shared" si="122"/>
        <v>0</v>
      </c>
      <c r="AV188" s="82">
        <f t="shared" si="123"/>
        <v>0</v>
      </c>
      <c r="AW188" s="82">
        <f t="shared" si="124"/>
        <v>0</v>
      </c>
      <c r="AX188" s="85"/>
      <c r="AY188" s="82">
        <f t="shared" si="125"/>
        <v>0</v>
      </c>
      <c r="AZ188" s="82">
        <f t="shared" si="126"/>
        <v>0</v>
      </c>
      <c r="BA188" s="82">
        <f t="shared" si="127"/>
        <v>0</v>
      </c>
      <c r="BB188" s="83">
        <v>0</v>
      </c>
      <c r="BC188" s="83">
        <v>0</v>
      </c>
      <c r="BD188" s="83">
        <v>0</v>
      </c>
      <c r="BE188" s="84">
        <f>ROUND((IF(($AT188&lt;=700000),0,IF(((VLOOKUP($AR188,'Loyalty - Effec - 15July'!$B$5:$C$17,2,0)*$AT188)&lt;=120000),(VLOOKUP($AR188,'Loyalty - Effec - 15July'!$B$5:$C$17,2,0)*$AT188),120000))),0)</f>
        <v>0</v>
      </c>
      <c r="BF188" s="84">
        <f>ROUND(VLOOKUP($AR188,'Loyalty - Effec - 15July'!$B$5:$D$17,3,0)*$AT188,0)</f>
        <v>0</v>
      </c>
      <c r="BG188" s="85">
        <f t="shared" si="128"/>
        <v>0</v>
      </c>
      <c r="BH188" s="81">
        <f t="shared" si="129"/>
        <v>0</v>
      </c>
      <c r="BI188" s="85">
        <f t="shared" si="130"/>
        <v>0</v>
      </c>
      <c r="BJ188" s="85">
        <f t="shared" si="131"/>
        <v>0</v>
      </c>
      <c r="BK188" s="85">
        <f t="shared" si="132"/>
        <v>0</v>
      </c>
      <c r="BL188" s="85">
        <f t="shared" si="137"/>
        <v>0</v>
      </c>
      <c r="BM188" s="85">
        <f t="shared" si="138"/>
        <v>0</v>
      </c>
      <c r="BN188" s="85">
        <f t="shared" si="139"/>
        <v>0</v>
      </c>
      <c r="BO188" s="52" t="s">
        <v>85</v>
      </c>
      <c r="BP188" s="46"/>
      <c r="BQ188" s="46"/>
      <c r="BR188" s="47">
        <f t="shared" si="140"/>
        <v>0</v>
      </c>
      <c r="BS188" s="46">
        <v>0</v>
      </c>
      <c r="BT188" s="54">
        <v>0</v>
      </c>
      <c r="BU188" s="47">
        <f t="shared" ref="BU188:BU250" si="141">AT188-BG188</f>
        <v>0</v>
      </c>
      <c r="BV188" s="53" t="s">
        <v>452</v>
      </c>
      <c r="BW188" s="53" t="s">
        <v>81</v>
      </c>
      <c r="BX188" s="53" t="s">
        <v>674</v>
      </c>
      <c r="BY188" s="53"/>
      <c r="BZ188" s="53"/>
      <c r="CA188" s="55"/>
    </row>
    <row r="189" spans="1:79">
      <c r="A189" s="42" t="s">
        <v>453</v>
      </c>
      <c r="B189" s="28" t="s">
        <v>79</v>
      </c>
      <c r="C189" s="28" t="s">
        <v>80</v>
      </c>
      <c r="D189" s="28" t="s">
        <v>81</v>
      </c>
      <c r="E189" s="43" t="s">
        <v>82</v>
      </c>
      <c r="F189" s="28" t="s">
        <v>901</v>
      </c>
      <c r="G189" s="44" t="s">
        <v>675</v>
      </c>
      <c r="H189" s="45">
        <v>44760</v>
      </c>
      <c r="I189" s="28" t="s">
        <v>997</v>
      </c>
      <c r="J189" s="28">
        <v>0</v>
      </c>
      <c r="K189" s="28" t="s">
        <v>413</v>
      </c>
      <c r="L189" s="28" t="s">
        <v>880</v>
      </c>
      <c r="M189" s="28" t="s">
        <v>0</v>
      </c>
      <c r="N189" s="28" t="str">
        <f t="shared" si="109"/>
        <v>AE2</v>
      </c>
      <c r="O189" s="81"/>
      <c r="P189" s="81">
        <f t="shared" si="110"/>
        <v>0</v>
      </c>
      <c r="Q189" s="81">
        <f t="shared" si="111"/>
        <v>0</v>
      </c>
      <c r="R189" s="81">
        <f t="shared" si="112"/>
        <v>0</v>
      </c>
      <c r="S189" s="81"/>
      <c r="T189" s="82">
        <f t="shared" si="113"/>
        <v>0</v>
      </c>
      <c r="U189" s="82">
        <f t="shared" si="114"/>
        <v>0</v>
      </c>
      <c r="V189" s="82">
        <f t="shared" si="115"/>
        <v>0</v>
      </c>
      <c r="W189" s="83">
        <v>0</v>
      </c>
      <c r="X189" s="83">
        <v>0</v>
      </c>
      <c r="Y189" s="83">
        <v>0</v>
      </c>
      <c r="Z189" s="84">
        <f>ROUND((IF(($O189&lt;=700000),0,IF(((VLOOKUP($M189,'Loyalty - Effec - 15July'!$B$5:$C$17,2,0)*$O189)&lt;=120000),(VLOOKUP($M189,'Loyalty - Effec - 15July'!$B$5:$C$17,2,0)*$O189),120000))),0)</f>
        <v>0</v>
      </c>
      <c r="AA189" s="84">
        <f>ROUND(VLOOKUP($M189,'Loyalty - Effec - 15July'!$B$5:$D$17,3,0)*$O189,0)</f>
        <v>0</v>
      </c>
      <c r="AB189" s="85">
        <f t="shared" si="116"/>
        <v>0</v>
      </c>
      <c r="AC189" s="86">
        <f t="shared" si="117"/>
        <v>0</v>
      </c>
      <c r="AD189" s="87">
        <f t="shared" si="118"/>
        <v>0</v>
      </c>
      <c r="AE189" s="88">
        <f t="shared" si="119"/>
        <v>0</v>
      </c>
      <c r="AF189" s="88">
        <f t="shared" si="120"/>
        <v>0</v>
      </c>
      <c r="AG189" s="49" t="s">
        <v>120</v>
      </c>
      <c r="AH189" s="49" t="s">
        <v>120</v>
      </c>
      <c r="AI189" s="50"/>
      <c r="AJ189" s="50"/>
      <c r="AK189" s="50"/>
      <c r="AL189" s="46"/>
      <c r="AM189" s="51">
        <f>IF($AL189=4,VLOOKUP($AR189,'Loyalty Incentive v1'!$L$3:$Q$15,2,FALSE),
IF($AL189=3,VLOOKUP($AR189,'Loyalty Incentive v1'!$L$3:$Q$15,3,FALSE),
IF($AL189=2,VLOOKUP($AR189,'Loyalty Incentive v1'!$L$3:$Q$15,4,FALSE),
IF($AL189=1,VLOOKUP($AR189,'Loyalty Incentive v1'!$L$3:$Q$15,5,FALSE),
IF($AL189=0,VLOOKUP($AR189,'Loyalty Incentive v1'!$L$3:$Q$15,6,FALSE),0)))))</f>
        <v>0</v>
      </c>
      <c r="AN189" s="51">
        <f>IFERROR(IF(I189&gt;="1",AM189,VLOOKUP(VALUE(I189),'Loyalty - Effec - 15July'!$I$5:$J$16,2,0)*AM189),0)</f>
        <v>0</v>
      </c>
      <c r="AO189" s="51">
        <v>0.08</v>
      </c>
      <c r="AP189" s="51">
        <f t="shared" si="121"/>
        <v>0.08</v>
      </c>
      <c r="AQ189" s="46" t="str">
        <f t="shared" si="133"/>
        <v>No</v>
      </c>
      <c r="AR189" s="46" t="str">
        <f t="shared" si="134"/>
        <v>AE2</v>
      </c>
      <c r="AS189" s="46" t="b">
        <f t="shared" si="135"/>
        <v>1</v>
      </c>
      <c r="AT189" s="82">
        <f t="shared" si="136"/>
        <v>0</v>
      </c>
      <c r="AU189" s="82">
        <f t="shared" si="122"/>
        <v>0</v>
      </c>
      <c r="AV189" s="82">
        <f t="shared" si="123"/>
        <v>0</v>
      </c>
      <c r="AW189" s="82">
        <f t="shared" si="124"/>
        <v>0</v>
      </c>
      <c r="AX189" s="85"/>
      <c r="AY189" s="82">
        <f t="shared" si="125"/>
        <v>0</v>
      </c>
      <c r="AZ189" s="82">
        <f t="shared" si="126"/>
        <v>0</v>
      </c>
      <c r="BA189" s="82">
        <f t="shared" si="127"/>
        <v>0</v>
      </c>
      <c r="BB189" s="83">
        <v>0</v>
      </c>
      <c r="BC189" s="83">
        <v>0</v>
      </c>
      <c r="BD189" s="83">
        <v>0</v>
      </c>
      <c r="BE189" s="84">
        <f>ROUND((IF(($AT189&lt;=700000),0,IF(((VLOOKUP($AR189,'Loyalty - Effec - 15July'!$B$5:$C$17,2,0)*$AT189)&lt;=120000),(VLOOKUP($AR189,'Loyalty - Effec - 15July'!$B$5:$C$17,2,0)*$AT189),120000))),0)</f>
        <v>0</v>
      </c>
      <c r="BF189" s="84">
        <f>ROUND(VLOOKUP($AR189,'Loyalty - Effec - 15July'!$B$5:$D$17,3,0)*$AT189,0)</f>
        <v>0</v>
      </c>
      <c r="BG189" s="85">
        <f t="shared" si="128"/>
        <v>0</v>
      </c>
      <c r="BH189" s="81">
        <f t="shared" si="129"/>
        <v>0</v>
      </c>
      <c r="BI189" s="85">
        <f t="shared" si="130"/>
        <v>0</v>
      </c>
      <c r="BJ189" s="85">
        <f t="shared" si="131"/>
        <v>0</v>
      </c>
      <c r="BK189" s="85">
        <f t="shared" si="132"/>
        <v>0</v>
      </c>
      <c r="BL189" s="85">
        <f t="shared" si="137"/>
        <v>0</v>
      </c>
      <c r="BM189" s="85">
        <f t="shared" si="138"/>
        <v>0</v>
      </c>
      <c r="BN189" s="85">
        <f t="shared" si="139"/>
        <v>0</v>
      </c>
      <c r="BO189" s="52" t="s">
        <v>85</v>
      </c>
      <c r="BP189" s="46"/>
      <c r="BQ189" s="46"/>
      <c r="BR189" s="47">
        <f t="shared" si="140"/>
        <v>0</v>
      </c>
      <c r="BS189" s="46">
        <v>0</v>
      </c>
      <c r="BT189" s="54">
        <v>0</v>
      </c>
      <c r="BU189" s="47">
        <f t="shared" si="141"/>
        <v>0</v>
      </c>
      <c r="BV189" s="53" t="s">
        <v>453</v>
      </c>
      <c r="BW189" s="53" t="s">
        <v>81</v>
      </c>
      <c r="BX189" s="53" t="s">
        <v>675</v>
      </c>
      <c r="BY189" s="53"/>
      <c r="BZ189" s="53"/>
      <c r="CA189" s="55"/>
    </row>
    <row r="190" spans="1:79">
      <c r="A190" s="42" t="s">
        <v>454</v>
      </c>
      <c r="B190" s="28" t="s">
        <v>79</v>
      </c>
      <c r="C190" s="28" t="s">
        <v>80</v>
      </c>
      <c r="D190" s="28" t="s">
        <v>81</v>
      </c>
      <c r="E190" s="43" t="s">
        <v>82</v>
      </c>
      <c r="F190" s="28" t="s">
        <v>901</v>
      </c>
      <c r="G190" s="44" t="s">
        <v>676</v>
      </c>
      <c r="H190" s="45">
        <v>44760</v>
      </c>
      <c r="I190" s="28" t="s">
        <v>997</v>
      </c>
      <c r="J190" s="28">
        <v>0</v>
      </c>
      <c r="K190" s="28" t="s">
        <v>421</v>
      </c>
      <c r="L190" s="28" t="s">
        <v>894</v>
      </c>
      <c r="M190" s="28" t="s">
        <v>0</v>
      </c>
      <c r="N190" s="28" t="str">
        <f t="shared" si="109"/>
        <v>AE2</v>
      </c>
      <c r="O190" s="81"/>
      <c r="P190" s="81">
        <f t="shared" si="110"/>
        <v>0</v>
      </c>
      <c r="Q190" s="81">
        <f t="shared" si="111"/>
        <v>0</v>
      </c>
      <c r="R190" s="81">
        <f t="shared" si="112"/>
        <v>0</v>
      </c>
      <c r="S190" s="81"/>
      <c r="T190" s="82">
        <f t="shared" si="113"/>
        <v>0</v>
      </c>
      <c r="U190" s="82">
        <f t="shared" si="114"/>
        <v>0</v>
      </c>
      <c r="V190" s="82">
        <f t="shared" si="115"/>
        <v>0</v>
      </c>
      <c r="W190" s="83">
        <v>0</v>
      </c>
      <c r="X190" s="83">
        <v>0</v>
      </c>
      <c r="Y190" s="83">
        <v>0</v>
      </c>
      <c r="Z190" s="84">
        <f>ROUND((IF(($O190&lt;=700000),0,IF(((VLOOKUP($M190,'Loyalty - Effec - 15July'!$B$5:$C$17,2,0)*$O190)&lt;=120000),(VLOOKUP($M190,'Loyalty - Effec - 15July'!$B$5:$C$17,2,0)*$O190),120000))),0)</f>
        <v>0</v>
      </c>
      <c r="AA190" s="84">
        <f>ROUND(VLOOKUP($M190,'Loyalty - Effec - 15July'!$B$5:$D$17,3,0)*$O190,0)</f>
        <v>0</v>
      </c>
      <c r="AB190" s="85">
        <f t="shared" si="116"/>
        <v>0</v>
      </c>
      <c r="AC190" s="86">
        <f t="shared" si="117"/>
        <v>0</v>
      </c>
      <c r="AD190" s="87">
        <f t="shared" si="118"/>
        <v>0</v>
      </c>
      <c r="AE190" s="88">
        <f t="shared" si="119"/>
        <v>0</v>
      </c>
      <c r="AF190" s="88">
        <f t="shared" si="120"/>
        <v>0</v>
      </c>
      <c r="AG190" s="49" t="s">
        <v>906</v>
      </c>
      <c r="AH190" s="49" t="s">
        <v>83</v>
      </c>
      <c r="AI190" s="60"/>
      <c r="AJ190" s="60"/>
      <c r="AK190" s="60"/>
      <c r="AL190" s="46"/>
      <c r="AM190" s="51">
        <f>IF($AL190=4,VLOOKUP($AR190,'Loyalty Incentive v1'!$L$3:$Q$15,2,FALSE),
IF($AL190=3,VLOOKUP($AR190,'Loyalty Incentive v1'!$L$3:$Q$15,3,FALSE),
IF($AL190=2,VLOOKUP($AR190,'Loyalty Incentive v1'!$L$3:$Q$15,4,FALSE),
IF($AL190=1,VLOOKUP($AR190,'Loyalty Incentive v1'!$L$3:$Q$15,5,FALSE),
IF($AL190=0,VLOOKUP($AR190,'Loyalty Incentive v1'!$L$3:$Q$15,6,FALSE),0)))))</f>
        <v>0</v>
      </c>
      <c r="AN190" s="51">
        <f>IFERROR(IF(I190&gt;="1",AM190,VLOOKUP(VALUE(I190),'Loyalty - Effec - 15July'!$I$5:$J$16,2,0)*AM190),0)</f>
        <v>0</v>
      </c>
      <c r="AO190" s="51">
        <v>0.08</v>
      </c>
      <c r="AP190" s="51">
        <f t="shared" si="121"/>
        <v>0.08</v>
      </c>
      <c r="AQ190" s="46" t="str">
        <f t="shared" si="133"/>
        <v>No</v>
      </c>
      <c r="AR190" s="46" t="str">
        <f t="shared" si="134"/>
        <v>AE2</v>
      </c>
      <c r="AS190" s="46" t="b">
        <f t="shared" si="135"/>
        <v>1</v>
      </c>
      <c r="AT190" s="82">
        <f t="shared" si="136"/>
        <v>0</v>
      </c>
      <c r="AU190" s="82">
        <f t="shared" si="122"/>
        <v>0</v>
      </c>
      <c r="AV190" s="82">
        <f t="shared" si="123"/>
        <v>0</v>
      </c>
      <c r="AW190" s="82">
        <f t="shared" si="124"/>
        <v>0</v>
      </c>
      <c r="AX190" s="85"/>
      <c r="AY190" s="82">
        <f t="shared" si="125"/>
        <v>0</v>
      </c>
      <c r="AZ190" s="82">
        <f t="shared" si="126"/>
        <v>0</v>
      </c>
      <c r="BA190" s="82">
        <f t="shared" si="127"/>
        <v>0</v>
      </c>
      <c r="BB190" s="83">
        <v>0</v>
      </c>
      <c r="BC190" s="83">
        <v>0</v>
      </c>
      <c r="BD190" s="83">
        <v>0</v>
      </c>
      <c r="BE190" s="84">
        <f>ROUND((IF(($AT190&lt;=700000),0,IF(((VLOOKUP($AR190,'Loyalty - Effec - 15July'!$B$5:$C$17,2,0)*$AT190)&lt;=120000),(VLOOKUP($AR190,'Loyalty - Effec - 15July'!$B$5:$C$17,2,0)*$AT190),120000))),0)</f>
        <v>0</v>
      </c>
      <c r="BF190" s="84">
        <f>ROUND(VLOOKUP($AR190,'Loyalty - Effec - 15July'!$B$5:$D$17,3,0)*$AT190,0)</f>
        <v>0</v>
      </c>
      <c r="BG190" s="85">
        <f t="shared" si="128"/>
        <v>0</v>
      </c>
      <c r="BH190" s="81">
        <f t="shared" si="129"/>
        <v>0</v>
      </c>
      <c r="BI190" s="85">
        <f t="shared" si="130"/>
        <v>0</v>
      </c>
      <c r="BJ190" s="85">
        <f t="shared" si="131"/>
        <v>0</v>
      </c>
      <c r="BK190" s="85">
        <f t="shared" si="132"/>
        <v>0</v>
      </c>
      <c r="BL190" s="85">
        <f t="shared" si="137"/>
        <v>0</v>
      </c>
      <c r="BM190" s="85">
        <f t="shared" si="138"/>
        <v>0</v>
      </c>
      <c r="BN190" s="85">
        <f t="shared" si="139"/>
        <v>0</v>
      </c>
      <c r="BO190" s="52" t="s">
        <v>85</v>
      </c>
      <c r="BP190" s="46"/>
      <c r="BQ190" s="46"/>
      <c r="BR190" s="47">
        <f t="shared" si="140"/>
        <v>0</v>
      </c>
      <c r="BS190" s="46">
        <v>0</v>
      </c>
      <c r="BT190" s="54">
        <v>0</v>
      </c>
      <c r="BU190" s="47">
        <f t="shared" si="141"/>
        <v>0</v>
      </c>
      <c r="BV190" s="53" t="s">
        <v>454</v>
      </c>
      <c r="BW190" s="53" t="s">
        <v>81</v>
      </c>
      <c r="BX190" s="53" t="s">
        <v>676</v>
      </c>
      <c r="BY190" s="53"/>
      <c r="BZ190" s="53"/>
      <c r="CA190" s="55"/>
    </row>
    <row r="191" spans="1:79">
      <c r="A191" s="42" t="s">
        <v>455</v>
      </c>
      <c r="B191" s="28" t="s">
        <v>79</v>
      </c>
      <c r="C191" s="28" t="s">
        <v>80</v>
      </c>
      <c r="D191" s="28" t="s">
        <v>81</v>
      </c>
      <c r="E191" s="43" t="s">
        <v>82</v>
      </c>
      <c r="F191" s="28" t="s">
        <v>902</v>
      </c>
      <c r="G191" s="44" t="s">
        <v>677</v>
      </c>
      <c r="H191" s="45">
        <v>44760</v>
      </c>
      <c r="I191" s="28" t="s">
        <v>997</v>
      </c>
      <c r="J191" s="28">
        <v>0</v>
      </c>
      <c r="K191" s="28" t="s">
        <v>413</v>
      </c>
      <c r="L191" s="28" t="s">
        <v>880</v>
      </c>
      <c r="M191" s="28" t="s">
        <v>0</v>
      </c>
      <c r="N191" s="28" t="str">
        <f t="shared" si="109"/>
        <v>AE2</v>
      </c>
      <c r="O191" s="81"/>
      <c r="P191" s="81">
        <f t="shared" si="110"/>
        <v>0</v>
      </c>
      <c r="Q191" s="81">
        <f t="shared" si="111"/>
        <v>0</v>
      </c>
      <c r="R191" s="81">
        <f t="shared" si="112"/>
        <v>0</v>
      </c>
      <c r="S191" s="81"/>
      <c r="T191" s="82">
        <f t="shared" si="113"/>
        <v>0</v>
      </c>
      <c r="U191" s="82">
        <f t="shared" si="114"/>
        <v>0</v>
      </c>
      <c r="V191" s="82">
        <f t="shared" si="115"/>
        <v>0</v>
      </c>
      <c r="W191" s="83">
        <v>0</v>
      </c>
      <c r="X191" s="83">
        <v>0</v>
      </c>
      <c r="Y191" s="83">
        <v>0</v>
      </c>
      <c r="Z191" s="84">
        <f>ROUND((IF(($O191&lt;=700000),0,IF(((VLOOKUP($M191,'Loyalty - Effec - 15July'!$B$5:$C$17,2,0)*$O191)&lt;=120000),(VLOOKUP($M191,'Loyalty - Effec - 15July'!$B$5:$C$17,2,0)*$O191),120000))),0)</f>
        <v>0</v>
      </c>
      <c r="AA191" s="84">
        <f>ROUND(VLOOKUP($M191,'Loyalty - Effec - 15July'!$B$5:$D$17,3,0)*$O191,0)</f>
        <v>0</v>
      </c>
      <c r="AB191" s="85">
        <f t="shared" si="116"/>
        <v>0</v>
      </c>
      <c r="AC191" s="86">
        <f t="shared" si="117"/>
        <v>0</v>
      </c>
      <c r="AD191" s="87">
        <f t="shared" si="118"/>
        <v>0</v>
      </c>
      <c r="AE191" s="88">
        <f t="shared" si="119"/>
        <v>0</v>
      </c>
      <c r="AF191" s="88">
        <f t="shared" si="120"/>
        <v>0</v>
      </c>
      <c r="AG191" s="49" t="s">
        <v>653</v>
      </c>
      <c r="AH191" s="61" t="s">
        <v>126</v>
      </c>
      <c r="AI191" s="50"/>
      <c r="AJ191" s="50"/>
      <c r="AK191" s="50"/>
      <c r="AL191" s="62"/>
      <c r="AM191" s="51">
        <f>IF($AL191=4,VLOOKUP($AR191,'Loyalty Incentive v1'!$L$3:$Q$15,2,FALSE),
IF($AL191=3,VLOOKUP($AR191,'Loyalty Incentive v1'!$L$3:$Q$15,3,FALSE),
IF($AL191=2,VLOOKUP($AR191,'Loyalty Incentive v1'!$L$3:$Q$15,4,FALSE),
IF($AL191=1,VLOOKUP($AR191,'Loyalty Incentive v1'!$L$3:$Q$15,5,FALSE),
IF($AL191=0,VLOOKUP($AR191,'Loyalty Incentive v1'!$L$3:$Q$15,6,FALSE),0)))))</f>
        <v>0</v>
      </c>
      <c r="AN191" s="51">
        <f>IFERROR(IF(I191&gt;="1",AM191,VLOOKUP(VALUE(I191),'Loyalty - Effec - 15July'!$I$5:$J$16,2,0)*AM191),0)</f>
        <v>0</v>
      </c>
      <c r="AO191" s="51">
        <v>0.08</v>
      </c>
      <c r="AP191" s="63">
        <f t="shared" si="121"/>
        <v>0.08</v>
      </c>
      <c r="AQ191" s="46" t="str">
        <f t="shared" si="133"/>
        <v>No</v>
      </c>
      <c r="AR191" s="46" t="str">
        <f t="shared" si="134"/>
        <v>AE2</v>
      </c>
      <c r="AS191" s="46" t="b">
        <f t="shared" si="135"/>
        <v>1</v>
      </c>
      <c r="AT191" s="82">
        <f t="shared" si="136"/>
        <v>0</v>
      </c>
      <c r="AU191" s="82">
        <f t="shared" si="122"/>
        <v>0</v>
      </c>
      <c r="AV191" s="82">
        <f t="shared" si="123"/>
        <v>0</v>
      </c>
      <c r="AW191" s="82">
        <f t="shared" si="124"/>
        <v>0</v>
      </c>
      <c r="AX191" s="85"/>
      <c r="AY191" s="82">
        <f t="shared" si="125"/>
        <v>0</v>
      </c>
      <c r="AZ191" s="82">
        <f t="shared" si="126"/>
        <v>0</v>
      </c>
      <c r="BA191" s="82">
        <f t="shared" si="127"/>
        <v>0</v>
      </c>
      <c r="BB191" s="83">
        <v>0</v>
      </c>
      <c r="BC191" s="83">
        <v>0</v>
      </c>
      <c r="BD191" s="83">
        <v>0</v>
      </c>
      <c r="BE191" s="84">
        <f>ROUND((IF(($AT191&lt;=700000),0,IF(((VLOOKUP($AR191,'Loyalty - Effec - 15July'!$B$5:$C$17,2,0)*$AT191)&lt;=120000),(VLOOKUP($AR191,'Loyalty - Effec - 15July'!$B$5:$C$17,2,0)*$AT191),120000))),0)</f>
        <v>0</v>
      </c>
      <c r="BF191" s="84">
        <f>ROUND(VLOOKUP($AR191,'Loyalty - Effec - 15July'!$B$5:$D$17,3,0)*$AT191,0)</f>
        <v>0</v>
      </c>
      <c r="BG191" s="85">
        <f t="shared" si="128"/>
        <v>0</v>
      </c>
      <c r="BH191" s="81">
        <f t="shared" si="129"/>
        <v>0</v>
      </c>
      <c r="BI191" s="85">
        <f t="shared" si="130"/>
        <v>0</v>
      </c>
      <c r="BJ191" s="85">
        <f t="shared" si="131"/>
        <v>0</v>
      </c>
      <c r="BK191" s="85">
        <f t="shared" si="132"/>
        <v>0</v>
      </c>
      <c r="BL191" s="85">
        <f t="shared" si="137"/>
        <v>0</v>
      </c>
      <c r="BM191" s="85">
        <f t="shared" si="138"/>
        <v>0</v>
      </c>
      <c r="BN191" s="85">
        <f t="shared" si="139"/>
        <v>0</v>
      </c>
      <c r="BO191" s="52" t="s">
        <v>85</v>
      </c>
      <c r="BP191" s="52" t="s">
        <v>85</v>
      </c>
      <c r="BQ191" s="46"/>
      <c r="BR191" s="47">
        <f t="shared" si="140"/>
        <v>0</v>
      </c>
      <c r="BS191" s="46">
        <v>0</v>
      </c>
      <c r="BT191" s="54">
        <v>0</v>
      </c>
      <c r="BU191" s="47">
        <f t="shared" si="141"/>
        <v>0</v>
      </c>
      <c r="BV191" s="53" t="s">
        <v>455</v>
      </c>
      <c r="BW191" s="53" t="s">
        <v>81</v>
      </c>
      <c r="BX191" s="53" t="s">
        <v>677</v>
      </c>
      <c r="BY191" s="53"/>
      <c r="BZ191" s="53"/>
      <c r="CA191" s="55"/>
    </row>
    <row r="192" spans="1:79">
      <c r="A192" s="42" t="s">
        <v>456</v>
      </c>
      <c r="B192" s="28" t="s">
        <v>79</v>
      </c>
      <c r="C192" s="28" t="s">
        <v>80</v>
      </c>
      <c r="D192" s="28" t="s">
        <v>81</v>
      </c>
      <c r="E192" s="43" t="s">
        <v>82</v>
      </c>
      <c r="F192" s="28" t="s">
        <v>902</v>
      </c>
      <c r="G192" s="44" t="s">
        <v>678</v>
      </c>
      <c r="H192" s="45">
        <v>44760</v>
      </c>
      <c r="I192" s="28" t="s">
        <v>997</v>
      </c>
      <c r="J192" s="28">
        <v>0</v>
      </c>
      <c r="K192" s="28" t="s">
        <v>413</v>
      </c>
      <c r="L192" s="28" t="s">
        <v>880</v>
      </c>
      <c r="M192" s="28" t="s">
        <v>0</v>
      </c>
      <c r="N192" s="28" t="str">
        <f t="shared" si="109"/>
        <v>AE2</v>
      </c>
      <c r="O192" s="81"/>
      <c r="P192" s="81">
        <f t="shared" si="110"/>
        <v>0</v>
      </c>
      <c r="Q192" s="81">
        <f t="shared" si="111"/>
        <v>0</v>
      </c>
      <c r="R192" s="81">
        <f t="shared" si="112"/>
        <v>0</v>
      </c>
      <c r="S192" s="81"/>
      <c r="T192" s="82">
        <f t="shared" si="113"/>
        <v>0</v>
      </c>
      <c r="U192" s="82">
        <f t="shared" si="114"/>
        <v>0</v>
      </c>
      <c r="V192" s="82">
        <f t="shared" si="115"/>
        <v>0</v>
      </c>
      <c r="W192" s="83">
        <v>0</v>
      </c>
      <c r="X192" s="83">
        <v>0</v>
      </c>
      <c r="Y192" s="83">
        <v>0</v>
      </c>
      <c r="Z192" s="84">
        <f>ROUND((IF(($O192&lt;=700000),0,IF(((VLOOKUP($M192,'Loyalty - Effec - 15July'!$B$5:$C$17,2,0)*$O192)&lt;=120000),(VLOOKUP($M192,'Loyalty - Effec - 15July'!$B$5:$C$17,2,0)*$O192),120000))),0)</f>
        <v>0</v>
      </c>
      <c r="AA192" s="84">
        <f>ROUND(VLOOKUP($M192,'Loyalty - Effec - 15July'!$B$5:$D$17,3,0)*$O192,0)</f>
        <v>0</v>
      </c>
      <c r="AB192" s="85">
        <f t="shared" si="116"/>
        <v>0</v>
      </c>
      <c r="AC192" s="86">
        <f t="shared" si="117"/>
        <v>0</v>
      </c>
      <c r="AD192" s="87">
        <f t="shared" si="118"/>
        <v>0</v>
      </c>
      <c r="AE192" s="88">
        <f t="shared" si="119"/>
        <v>0</v>
      </c>
      <c r="AF192" s="88">
        <f t="shared" si="120"/>
        <v>0</v>
      </c>
      <c r="AG192" s="49" t="s">
        <v>655</v>
      </c>
      <c r="AH192" s="49" t="s">
        <v>126</v>
      </c>
      <c r="AI192" s="64"/>
      <c r="AJ192" s="64"/>
      <c r="AK192" s="64"/>
      <c r="AL192" s="46"/>
      <c r="AM192" s="51">
        <f>IF($AL192=4,VLOOKUP($AR192,'Loyalty Incentive v1'!$L$3:$Q$15,2,FALSE),
IF($AL192=3,VLOOKUP($AR192,'Loyalty Incentive v1'!$L$3:$Q$15,3,FALSE),
IF($AL192=2,VLOOKUP($AR192,'Loyalty Incentive v1'!$L$3:$Q$15,4,FALSE),
IF($AL192=1,VLOOKUP($AR192,'Loyalty Incentive v1'!$L$3:$Q$15,5,FALSE),
IF($AL192=0,VLOOKUP($AR192,'Loyalty Incentive v1'!$L$3:$Q$15,6,FALSE),0)))))</f>
        <v>0</v>
      </c>
      <c r="AN192" s="51">
        <f>IFERROR(IF(I192&gt;="1",AM192,VLOOKUP(VALUE(I192),'Loyalty - Effec - 15July'!$I$5:$J$16,2,0)*AM192),0)</f>
        <v>0</v>
      </c>
      <c r="AO192" s="51">
        <v>0.08</v>
      </c>
      <c r="AP192" s="51">
        <f t="shared" si="121"/>
        <v>0.08</v>
      </c>
      <c r="AQ192" s="46" t="str">
        <f t="shared" si="133"/>
        <v>No</v>
      </c>
      <c r="AR192" s="46" t="str">
        <f t="shared" si="134"/>
        <v>AE2</v>
      </c>
      <c r="AS192" s="46" t="b">
        <f t="shared" si="135"/>
        <v>1</v>
      </c>
      <c r="AT192" s="82">
        <f t="shared" si="136"/>
        <v>0</v>
      </c>
      <c r="AU192" s="82">
        <f t="shared" si="122"/>
        <v>0</v>
      </c>
      <c r="AV192" s="82">
        <f t="shared" si="123"/>
        <v>0</v>
      </c>
      <c r="AW192" s="82">
        <f t="shared" si="124"/>
        <v>0</v>
      </c>
      <c r="AX192" s="85"/>
      <c r="AY192" s="82">
        <f t="shared" si="125"/>
        <v>0</v>
      </c>
      <c r="AZ192" s="82">
        <f t="shared" si="126"/>
        <v>0</v>
      </c>
      <c r="BA192" s="82">
        <f t="shared" si="127"/>
        <v>0</v>
      </c>
      <c r="BB192" s="83">
        <v>0</v>
      </c>
      <c r="BC192" s="83">
        <v>0</v>
      </c>
      <c r="BD192" s="83">
        <v>0</v>
      </c>
      <c r="BE192" s="84">
        <f>ROUND((IF(($AT192&lt;=700000),0,IF(((VLOOKUP($AR192,'Loyalty - Effec - 15July'!$B$5:$C$17,2,0)*$AT192)&lt;=120000),(VLOOKUP($AR192,'Loyalty - Effec - 15July'!$B$5:$C$17,2,0)*$AT192),120000))),0)</f>
        <v>0</v>
      </c>
      <c r="BF192" s="84">
        <f>ROUND(VLOOKUP($AR192,'Loyalty - Effec - 15July'!$B$5:$D$17,3,0)*$AT192,0)</f>
        <v>0</v>
      </c>
      <c r="BG192" s="85">
        <f t="shared" si="128"/>
        <v>0</v>
      </c>
      <c r="BH192" s="81">
        <f t="shared" si="129"/>
        <v>0</v>
      </c>
      <c r="BI192" s="85">
        <f t="shared" si="130"/>
        <v>0</v>
      </c>
      <c r="BJ192" s="85">
        <f t="shared" si="131"/>
        <v>0</v>
      </c>
      <c r="BK192" s="85">
        <f t="shared" si="132"/>
        <v>0</v>
      </c>
      <c r="BL192" s="85">
        <f t="shared" si="137"/>
        <v>0</v>
      </c>
      <c r="BM192" s="85">
        <f t="shared" si="138"/>
        <v>0</v>
      </c>
      <c r="BN192" s="85">
        <f t="shared" si="139"/>
        <v>0</v>
      </c>
      <c r="BO192" s="52" t="s">
        <v>85</v>
      </c>
      <c r="BP192" s="46"/>
      <c r="BQ192" s="46"/>
      <c r="BR192" s="47">
        <f t="shared" si="140"/>
        <v>0</v>
      </c>
      <c r="BS192" s="46">
        <v>0</v>
      </c>
      <c r="BT192" s="54">
        <v>0</v>
      </c>
      <c r="BU192" s="47">
        <f t="shared" si="141"/>
        <v>0</v>
      </c>
      <c r="BV192" s="53" t="s">
        <v>456</v>
      </c>
      <c r="BW192" s="53" t="s">
        <v>81</v>
      </c>
      <c r="BX192" s="53" t="s">
        <v>678</v>
      </c>
      <c r="BY192" s="53"/>
      <c r="BZ192" s="53"/>
      <c r="CA192" s="55"/>
    </row>
    <row r="193" spans="1:79">
      <c r="A193" s="42" t="s">
        <v>457</v>
      </c>
      <c r="B193" s="28" t="s">
        <v>79</v>
      </c>
      <c r="C193" s="28" t="s">
        <v>80</v>
      </c>
      <c r="D193" s="28" t="s">
        <v>81</v>
      </c>
      <c r="E193" s="43" t="s">
        <v>184</v>
      </c>
      <c r="F193" s="28" t="s">
        <v>901</v>
      </c>
      <c r="G193" s="44" t="s">
        <v>679</v>
      </c>
      <c r="H193" s="45">
        <v>44760</v>
      </c>
      <c r="I193" s="28" t="s">
        <v>997</v>
      </c>
      <c r="J193" s="28">
        <v>0</v>
      </c>
      <c r="K193" s="28" t="s">
        <v>413</v>
      </c>
      <c r="L193" s="28" t="s">
        <v>880</v>
      </c>
      <c r="M193" s="28" t="s">
        <v>0</v>
      </c>
      <c r="N193" s="28" t="str">
        <f t="shared" si="109"/>
        <v>AE2</v>
      </c>
      <c r="O193" s="81"/>
      <c r="P193" s="81">
        <f t="shared" si="110"/>
        <v>0</v>
      </c>
      <c r="Q193" s="81">
        <f t="shared" si="111"/>
        <v>0</v>
      </c>
      <c r="R193" s="81">
        <f t="shared" si="112"/>
        <v>0</v>
      </c>
      <c r="S193" s="81"/>
      <c r="T193" s="82">
        <f t="shared" si="113"/>
        <v>0</v>
      </c>
      <c r="U193" s="82">
        <f t="shared" si="114"/>
        <v>0</v>
      </c>
      <c r="V193" s="82">
        <f t="shared" si="115"/>
        <v>0</v>
      </c>
      <c r="W193" s="83">
        <v>0</v>
      </c>
      <c r="X193" s="83">
        <v>0</v>
      </c>
      <c r="Y193" s="83">
        <v>0</v>
      </c>
      <c r="Z193" s="84">
        <f>ROUND((IF(($O193&lt;=700000),0,IF(((VLOOKUP($M193,'Loyalty - Effec - 15July'!$B$5:$C$17,2,0)*$O193)&lt;=120000),(VLOOKUP($M193,'Loyalty - Effec - 15July'!$B$5:$C$17,2,0)*$O193),120000))),0)</f>
        <v>0</v>
      </c>
      <c r="AA193" s="84">
        <f>ROUND(VLOOKUP($M193,'Loyalty - Effec - 15July'!$B$5:$D$17,3,0)*$O193,0)</f>
        <v>0</v>
      </c>
      <c r="AB193" s="85">
        <f t="shared" si="116"/>
        <v>0</v>
      </c>
      <c r="AC193" s="86">
        <f t="shared" si="117"/>
        <v>0</v>
      </c>
      <c r="AD193" s="87">
        <f t="shared" si="118"/>
        <v>0</v>
      </c>
      <c r="AE193" s="88">
        <f t="shared" si="119"/>
        <v>0</v>
      </c>
      <c r="AF193" s="88">
        <f t="shared" si="120"/>
        <v>0</v>
      </c>
      <c r="AG193" s="49" t="s">
        <v>120</v>
      </c>
      <c r="AH193" s="49" t="s">
        <v>120</v>
      </c>
      <c r="AI193" s="50"/>
      <c r="AJ193" s="50"/>
      <c r="AK193" s="50"/>
      <c r="AL193" s="46"/>
      <c r="AM193" s="51">
        <f>IF($AL193=4,VLOOKUP($AR193,'Loyalty Incentive v1'!$L$3:$Q$15,2,FALSE),
IF($AL193=3,VLOOKUP($AR193,'Loyalty Incentive v1'!$L$3:$Q$15,3,FALSE),
IF($AL193=2,VLOOKUP($AR193,'Loyalty Incentive v1'!$L$3:$Q$15,4,FALSE),
IF($AL193=1,VLOOKUP($AR193,'Loyalty Incentive v1'!$L$3:$Q$15,5,FALSE),
IF($AL193=0,VLOOKUP($AR193,'Loyalty Incentive v1'!$L$3:$Q$15,6,FALSE),0)))))</f>
        <v>0</v>
      </c>
      <c r="AN193" s="51">
        <f>IFERROR(IF(I193&gt;="1",AM193,VLOOKUP(VALUE(I193),'Loyalty - Effec - 15July'!$I$5:$J$16,2,0)*AM193),0)</f>
        <v>0</v>
      </c>
      <c r="AO193" s="51">
        <v>0</v>
      </c>
      <c r="AP193" s="51">
        <f t="shared" si="121"/>
        <v>0</v>
      </c>
      <c r="AQ193" s="46" t="str">
        <f t="shared" si="133"/>
        <v>No</v>
      </c>
      <c r="AR193" s="46" t="str">
        <f t="shared" si="134"/>
        <v>AE2</v>
      </c>
      <c r="AS193" s="46" t="b">
        <f t="shared" si="135"/>
        <v>1</v>
      </c>
      <c r="AT193" s="82">
        <f t="shared" si="136"/>
        <v>0</v>
      </c>
      <c r="AU193" s="82">
        <f t="shared" si="122"/>
        <v>0</v>
      </c>
      <c r="AV193" s="82">
        <f t="shared" si="123"/>
        <v>0</v>
      </c>
      <c r="AW193" s="82">
        <f t="shared" si="124"/>
        <v>0</v>
      </c>
      <c r="AX193" s="85"/>
      <c r="AY193" s="82">
        <f t="shared" si="125"/>
        <v>0</v>
      </c>
      <c r="AZ193" s="82">
        <f t="shared" si="126"/>
        <v>0</v>
      </c>
      <c r="BA193" s="82">
        <f t="shared" si="127"/>
        <v>0</v>
      </c>
      <c r="BB193" s="83">
        <v>0</v>
      </c>
      <c r="BC193" s="83">
        <v>0</v>
      </c>
      <c r="BD193" s="83">
        <v>0</v>
      </c>
      <c r="BE193" s="84">
        <f>ROUND((IF(($AT193&lt;=700000),0,IF(((VLOOKUP($AR193,'Loyalty - Effec - 15July'!$B$5:$C$17,2,0)*$AT193)&lt;=120000),(VLOOKUP($AR193,'Loyalty - Effec - 15July'!$B$5:$C$17,2,0)*$AT193),120000))),0)</f>
        <v>0</v>
      </c>
      <c r="BF193" s="84">
        <f>ROUND(VLOOKUP($AR193,'Loyalty - Effec - 15July'!$B$5:$D$17,3,0)*$AT193,0)</f>
        <v>0</v>
      </c>
      <c r="BG193" s="85">
        <f t="shared" si="128"/>
        <v>0</v>
      </c>
      <c r="BH193" s="81">
        <f t="shared" si="129"/>
        <v>0</v>
      </c>
      <c r="BI193" s="85">
        <f t="shared" si="130"/>
        <v>0</v>
      </c>
      <c r="BJ193" s="85">
        <f t="shared" si="131"/>
        <v>0</v>
      </c>
      <c r="BK193" s="85">
        <f t="shared" si="132"/>
        <v>0</v>
      </c>
      <c r="BL193" s="85">
        <f t="shared" si="137"/>
        <v>0</v>
      </c>
      <c r="BM193" s="85">
        <f t="shared" si="138"/>
        <v>0</v>
      </c>
      <c r="BN193" s="85">
        <f t="shared" si="139"/>
        <v>0</v>
      </c>
      <c r="BO193" s="52" t="s">
        <v>85</v>
      </c>
      <c r="BP193" s="46"/>
      <c r="BQ193" s="46"/>
      <c r="BR193" s="47">
        <f t="shared" si="140"/>
        <v>0</v>
      </c>
      <c r="BS193" s="46">
        <v>0</v>
      </c>
      <c r="BT193" s="54">
        <v>0</v>
      </c>
      <c r="BU193" s="47">
        <f t="shared" si="141"/>
        <v>0</v>
      </c>
      <c r="BV193" s="53" t="s">
        <v>457</v>
      </c>
      <c r="BW193" s="53" t="s">
        <v>81</v>
      </c>
      <c r="BX193" s="53" t="s">
        <v>679</v>
      </c>
      <c r="BY193" s="53"/>
      <c r="BZ193" s="53"/>
      <c r="CA193" s="55"/>
    </row>
    <row r="194" spans="1:79">
      <c r="A194" s="42" t="s">
        <v>458</v>
      </c>
      <c r="B194" s="28" t="s">
        <v>79</v>
      </c>
      <c r="C194" s="28" t="s">
        <v>80</v>
      </c>
      <c r="D194" s="28" t="s">
        <v>932</v>
      </c>
      <c r="E194" s="43" t="s">
        <v>184</v>
      </c>
      <c r="F194" s="28" t="s">
        <v>902</v>
      </c>
      <c r="G194" s="44" t="s">
        <v>680</v>
      </c>
      <c r="H194" s="45">
        <v>44774</v>
      </c>
      <c r="I194" s="46" t="s">
        <v>997</v>
      </c>
      <c r="J194" s="28">
        <v>0</v>
      </c>
      <c r="K194" s="28" t="s">
        <v>93</v>
      </c>
      <c r="L194" s="28" t="s">
        <v>873</v>
      </c>
      <c r="M194" s="28" t="s">
        <v>2</v>
      </c>
      <c r="N194" s="28" t="str">
        <f t="shared" si="109"/>
        <v>AE4</v>
      </c>
      <c r="O194" s="81"/>
      <c r="P194" s="81">
        <f t="shared" si="110"/>
        <v>0</v>
      </c>
      <c r="Q194" s="81">
        <f t="shared" si="111"/>
        <v>0</v>
      </c>
      <c r="R194" s="81">
        <f t="shared" si="112"/>
        <v>0</v>
      </c>
      <c r="S194" s="81"/>
      <c r="T194" s="82">
        <f t="shared" si="113"/>
        <v>0</v>
      </c>
      <c r="U194" s="82">
        <f t="shared" si="114"/>
        <v>0</v>
      </c>
      <c r="V194" s="82">
        <f t="shared" si="115"/>
        <v>0</v>
      </c>
      <c r="W194" s="83">
        <v>0</v>
      </c>
      <c r="X194" s="83">
        <v>0</v>
      </c>
      <c r="Y194" s="83">
        <v>0</v>
      </c>
      <c r="Z194" s="84">
        <f>ROUND((IF(($O194&lt;=700000),0,IF(((VLOOKUP($M194,'Loyalty - Effec - 15July'!$B$5:$C$17,2,0)*$O194)&lt;=120000),(VLOOKUP($M194,'Loyalty - Effec - 15July'!$B$5:$C$17,2,0)*$O194),120000))),0)</f>
        <v>0</v>
      </c>
      <c r="AA194" s="84">
        <f>ROUND(VLOOKUP($M194,'Loyalty - Effec - 15July'!$B$5:$D$17,3,0)*$O194,0)</f>
        <v>0</v>
      </c>
      <c r="AB194" s="85">
        <f t="shared" si="116"/>
        <v>0</v>
      </c>
      <c r="AC194" s="86">
        <f t="shared" si="117"/>
        <v>0</v>
      </c>
      <c r="AD194" s="87">
        <f t="shared" si="118"/>
        <v>0</v>
      </c>
      <c r="AE194" s="88">
        <f t="shared" si="119"/>
        <v>0</v>
      </c>
      <c r="AF194" s="88">
        <f t="shared" si="120"/>
        <v>0</v>
      </c>
      <c r="AG194" s="49" t="s">
        <v>146</v>
      </c>
      <c r="AH194" s="49" t="s">
        <v>910</v>
      </c>
      <c r="AI194" s="50"/>
      <c r="AJ194" s="46"/>
      <c r="AK194" s="46"/>
      <c r="AL194" s="46"/>
      <c r="AM194" s="51">
        <f>IF($AL194=4,VLOOKUP($AR194,'Loyalty Incentive v1'!$L$3:$Q$15,2,FALSE),
IF($AL194=3,VLOOKUP($AR194,'Loyalty Incentive v1'!$L$3:$Q$15,3,FALSE),
IF($AL194=2,VLOOKUP($AR194,'Loyalty Incentive v1'!$L$3:$Q$15,4,FALSE),
IF($AL194=1,VLOOKUP($AR194,'Loyalty Incentive v1'!$L$3:$Q$15,5,FALSE),
IF($AL194=0,VLOOKUP($AR194,'Loyalty Incentive v1'!$L$3:$Q$15,6,FALSE),0)))))</f>
        <v>0</v>
      </c>
      <c r="AN194" s="51">
        <f>IFERROR(IF(I194&gt;="1",AM194,VLOOKUP(VALUE(I194),'Loyalty - Effec - 15July'!$I$5:$J$16,2,0)*AM194),0)</f>
        <v>0</v>
      </c>
      <c r="AO194" s="51">
        <v>0</v>
      </c>
      <c r="AP194" s="51">
        <f t="shared" si="121"/>
        <v>0</v>
      </c>
      <c r="AQ194" s="46" t="str">
        <f t="shared" si="133"/>
        <v>No</v>
      </c>
      <c r="AR194" s="46" t="str">
        <f t="shared" si="134"/>
        <v>AE4</v>
      </c>
      <c r="AS194" s="46" t="b">
        <f t="shared" si="135"/>
        <v>1</v>
      </c>
      <c r="AT194" s="82">
        <f t="shared" si="136"/>
        <v>0</v>
      </c>
      <c r="AU194" s="82">
        <f t="shared" si="122"/>
        <v>0</v>
      </c>
      <c r="AV194" s="82">
        <f t="shared" si="123"/>
        <v>0</v>
      </c>
      <c r="AW194" s="82">
        <f t="shared" si="124"/>
        <v>0</v>
      </c>
      <c r="AX194" s="85"/>
      <c r="AY194" s="82">
        <f t="shared" si="125"/>
        <v>0</v>
      </c>
      <c r="AZ194" s="82">
        <f t="shared" si="126"/>
        <v>0</v>
      </c>
      <c r="BA194" s="82">
        <f t="shared" si="127"/>
        <v>0</v>
      </c>
      <c r="BB194" s="83">
        <v>0</v>
      </c>
      <c r="BC194" s="83">
        <v>0</v>
      </c>
      <c r="BD194" s="83">
        <v>0</v>
      </c>
      <c r="BE194" s="84">
        <f>ROUND((IF(($AT194&lt;=700000),0,IF(((VLOOKUP($AR194,'Loyalty - Effec - 15July'!$B$5:$C$17,2,0)*$AT194)&lt;=120000),(VLOOKUP($AR194,'Loyalty - Effec - 15July'!$B$5:$C$17,2,0)*$AT194),120000))),0)</f>
        <v>0</v>
      </c>
      <c r="BF194" s="84">
        <f>ROUND(VLOOKUP($AR194,'Loyalty - Effec - 15July'!$B$5:$D$17,3,0)*$AT194,0)</f>
        <v>0</v>
      </c>
      <c r="BG194" s="85">
        <f t="shared" si="128"/>
        <v>0</v>
      </c>
      <c r="BH194" s="81">
        <f t="shared" si="129"/>
        <v>0</v>
      </c>
      <c r="BI194" s="85">
        <f t="shared" si="130"/>
        <v>0</v>
      </c>
      <c r="BJ194" s="85">
        <f t="shared" si="131"/>
        <v>0</v>
      </c>
      <c r="BK194" s="85">
        <f t="shared" si="132"/>
        <v>0</v>
      </c>
      <c r="BL194" s="85">
        <f t="shared" si="137"/>
        <v>0</v>
      </c>
      <c r="BM194" s="85">
        <f t="shared" si="138"/>
        <v>0</v>
      </c>
      <c r="BN194" s="85">
        <f t="shared" si="139"/>
        <v>0</v>
      </c>
      <c r="BO194" s="52" t="s">
        <v>85</v>
      </c>
      <c r="BP194" s="46"/>
      <c r="BQ194" s="46"/>
      <c r="BR194" s="47">
        <f t="shared" ref="BR194:BR202" si="142">BG194-AB194</f>
        <v>0</v>
      </c>
      <c r="BU194" s="47">
        <f t="shared" si="141"/>
        <v>0</v>
      </c>
      <c r="BV194" s="53" t="s">
        <v>458</v>
      </c>
      <c r="BW194" s="53" t="s">
        <v>932</v>
      </c>
      <c r="BX194" s="53" t="s">
        <v>680</v>
      </c>
      <c r="BY194" s="53"/>
      <c r="BZ194" s="53"/>
    </row>
    <row r="195" spans="1:79">
      <c r="A195" s="42" t="s">
        <v>459</v>
      </c>
      <c r="B195" s="28" t="s">
        <v>79</v>
      </c>
      <c r="C195" s="28" t="s">
        <v>80</v>
      </c>
      <c r="D195" s="28" t="s">
        <v>81</v>
      </c>
      <c r="E195" s="43" t="s">
        <v>184</v>
      </c>
      <c r="F195" s="28" t="s">
        <v>901</v>
      </c>
      <c r="G195" s="44" t="s">
        <v>681</v>
      </c>
      <c r="H195" s="45">
        <v>44774</v>
      </c>
      <c r="I195" s="28" t="s">
        <v>997</v>
      </c>
      <c r="J195" s="28">
        <v>0</v>
      </c>
      <c r="K195" s="28" t="s">
        <v>407</v>
      </c>
      <c r="L195" s="28" t="s">
        <v>868</v>
      </c>
      <c r="M195" s="28" t="s">
        <v>0</v>
      </c>
      <c r="N195" s="28" t="str">
        <f t="shared" si="109"/>
        <v>AE2</v>
      </c>
      <c r="O195" s="81"/>
      <c r="P195" s="81">
        <f t="shared" si="110"/>
        <v>0</v>
      </c>
      <c r="Q195" s="81">
        <f t="shared" si="111"/>
        <v>0</v>
      </c>
      <c r="R195" s="81">
        <f t="shared" si="112"/>
        <v>0</v>
      </c>
      <c r="S195" s="81"/>
      <c r="T195" s="82">
        <f t="shared" si="113"/>
        <v>0</v>
      </c>
      <c r="U195" s="82">
        <f t="shared" si="114"/>
        <v>0</v>
      </c>
      <c r="V195" s="82">
        <f t="shared" si="115"/>
        <v>0</v>
      </c>
      <c r="W195" s="83">
        <v>0</v>
      </c>
      <c r="X195" s="83">
        <v>0</v>
      </c>
      <c r="Y195" s="83">
        <v>0</v>
      </c>
      <c r="Z195" s="84">
        <f>ROUND((IF(($O195&lt;=700000),0,IF(((VLOOKUP($M195,'Loyalty - Effec - 15July'!$B$5:$C$17,2,0)*$O195)&lt;=120000),(VLOOKUP($M195,'Loyalty - Effec - 15July'!$B$5:$C$17,2,0)*$O195),120000))),0)</f>
        <v>0</v>
      </c>
      <c r="AA195" s="84">
        <f>ROUND(VLOOKUP($M195,'Loyalty - Effec - 15July'!$B$5:$D$17,3,0)*$O195,0)</f>
        <v>0</v>
      </c>
      <c r="AB195" s="85">
        <f t="shared" si="116"/>
        <v>0</v>
      </c>
      <c r="AC195" s="86">
        <f t="shared" si="117"/>
        <v>0</v>
      </c>
      <c r="AD195" s="87">
        <f t="shared" si="118"/>
        <v>0</v>
      </c>
      <c r="AE195" s="88">
        <f t="shared" si="119"/>
        <v>0</v>
      </c>
      <c r="AF195" s="88">
        <f t="shared" si="120"/>
        <v>0</v>
      </c>
      <c r="AG195" s="49" t="s">
        <v>163</v>
      </c>
      <c r="AH195" s="49" t="s">
        <v>809</v>
      </c>
      <c r="AI195" s="50"/>
      <c r="AJ195" s="50"/>
      <c r="AK195" s="50"/>
      <c r="AL195" s="46"/>
      <c r="AM195" s="51">
        <f>IF($AL195=4,VLOOKUP($AR195,'Loyalty Incentive v1'!$L$3:$Q$15,2,FALSE),
IF($AL195=3,VLOOKUP($AR195,'Loyalty Incentive v1'!$L$3:$Q$15,3,FALSE),
IF($AL195=2,VLOOKUP($AR195,'Loyalty Incentive v1'!$L$3:$Q$15,4,FALSE),
IF($AL195=1,VLOOKUP($AR195,'Loyalty Incentive v1'!$L$3:$Q$15,5,FALSE),
IF($AL195=0,VLOOKUP($AR195,'Loyalty Incentive v1'!$L$3:$Q$15,6,FALSE),0)))))</f>
        <v>0</v>
      </c>
      <c r="AN195" s="51">
        <f>IFERROR(IF(I195&gt;="1",AM195,VLOOKUP(VALUE(I195),'Loyalty - Effec - 15July'!$I$5:$J$16,2,0)*AM195),0)</f>
        <v>0</v>
      </c>
      <c r="AO195" s="51">
        <v>0.05</v>
      </c>
      <c r="AP195" s="51">
        <f t="shared" si="121"/>
        <v>0.05</v>
      </c>
      <c r="AQ195" s="46" t="str">
        <f t="shared" si="133"/>
        <v>No</v>
      </c>
      <c r="AR195" s="46" t="str">
        <f t="shared" si="134"/>
        <v>AE2</v>
      </c>
      <c r="AS195" s="46" t="b">
        <f t="shared" si="135"/>
        <v>1</v>
      </c>
      <c r="AT195" s="82">
        <f t="shared" si="136"/>
        <v>0</v>
      </c>
      <c r="AU195" s="82">
        <f t="shared" si="122"/>
        <v>0</v>
      </c>
      <c r="AV195" s="82">
        <f t="shared" si="123"/>
        <v>0</v>
      </c>
      <c r="AW195" s="82">
        <f t="shared" si="124"/>
        <v>0</v>
      </c>
      <c r="AX195" s="85"/>
      <c r="AY195" s="82">
        <f t="shared" si="125"/>
        <v>0</v>
      </c>
      <c r="AZ195" s="82">
        <f t="shared" si="126"/>
        <v>0</v>
      </c>
      <c r="BA195" s="82">
        <f t="shared" si="127"/>
        <v>0</v>
      </c>
      <c r="BB195" s="83">
        <v>0</v>
      </c>
      <c r="BC195" s="83">
        <v>0</v>
      </c>
      <c r="BD195" s="83">
        <v>0</v>
      </c>
      <c r="BE195" s="84">
        <f>ROUND((IF(($AT195&lt;=700000),0,IF(((VLOOKUP($AR195,'Loyalty - Effec - 15July'!$B$5:$C$17,2,0)*$AT195)&lt;=120000),(VLOOKUP($AR195,'Loyalty - Effec - 15July'!$B$5:$C$17,2,0)*$AT195),120000))),0)</f>
        <v>0</v>
      </c>
      <c r="BF195" s="84">
        <f>ROUND(VLOOKUP($AR195,'Loyalty - Effec - 15July'!$B$5:$D$17,3,0)*$AT195,0)</f>
        <v>0</v>
      </c>
      <c r="BG195" s="85">
        <f t="shared" si="128"/>
        <v>0</v>
      </c>
      <c r="BH195" s="81">
        <f t="shared" si="129"/>
        <v>0</v>
      </c>
      <c r="BI195" s="85">
        <f t="shared" si="130"/>
        <v>0</v>
      </c>
      <c r="BJ195" s="85">
        <f t="shared" si="131"/>
        <v>0</v>
      </c>
      <c r="BK195" s="85">
        <f t="shared" si="132"/>
        <v>0</v>
      </c>
      <c r="BL195" s="85">
        <f t="shared" si="137"/>
        <v>0</v>
      </c>
      <c r="BM195" s="85">
        <f t="shared" si="138"/>
        <v>0</v>
      </c>
      <c r="BN195" s="85">
        <f t="shared" si="139"/>
        <v>0</v>
      </c>
      <c r="BO195" s="52" t="s">
        <v>85</v>
      </c>
      <c r="BP195" s="46"/>
      <c r="BQ195" s="46"/>
      <c r="BR195" s="47">
        <f t="shared" si="142"/>
        <v>0</v>
      </c>
      <c r="BS195" s="46">
        <v>0</v>
      </c>
      <c r="BT195" s="54">
        <v>0</v>
      </c>
      <c r="BU195" s="47">
        <f t="shared" si="141"/>
        <v>0</v>
      </c>
      <c r="BV195" s="53" t="s">
        <v>459</v>
      </c>
      <c r="BW195" s="53" t="s">
        <v>81</v>
      </c>
      <c r="BX195" s="53" t="s">
        <v>681</v>
      </c>
      <c r="BY195" s="53"/>
      <c r="BZ195" s="53"/>
      <c r="CA195" s="55"/>
    </row>
    <row r="196" spans="1:79">
      <c r="A196" s="42" t="s">
        <v>460</v>
      </c>
      <c r="B196" s="28" t="s">
        <v>79</v>
      </c>
      <c r="C196" s="28" t="s">
        <v>80</v>
      </c>
      <c r="D196" s="28" t="s">
        <v>932</v>
      </c>
      <c r="E196" s="43" t="s">
        <v>184</v>
      </c>
      <c r="F196" s="28" t="s">
        <v>902</v>
      </c>
      <c r="G196" s="44" t="s">
        <v>682</v>
      </c>
      <c r="H196" s="45">
        <v>44781</v>
      </c>
      <c r="I196" s="46" t="s">
        <v>998</v>
      </c>
      <c r="J196" s="28">
        <v>0</v>
      </c>
      <c r="K196" s="28" t="s">
        <v>420</v>
      </c>
      <c r="L196" s="28" t="s">
        <v>933</v>
      </c>
      <c r="M196" s="28" t="s">
        <v>4</v>
      </c>
      <c r="N196" s="28" t="str">
        <f t="shared" si="109"/>
        <v>AE6</v>
      </c>
      <c r="O196" s="81"/>
      <c r="P196" s="81">
        <f t="shared" si="110"/>
        <v>0</v>
      </c>
      <c r="Q196" s="81">
        <f t="shared" si="111"/>
        <v>0</v>
      </c>
      <c r="R196" s="81">
        <f t="shared" si="112"/>
        <v>0</v>
      </c>
      <c r="S196" s="81"/>
      <c r="T196" s="82">
        <f t="shared" si="113"/>
        <v>0</v>
      </c>
      <c r="U196" s="82">
        <f t="shared" si="114"/>
        <v>0</v>
      </c>
      <c r="V196" s="82">
        <f t="shared" si="115"/>
        <v>0</v>
      </c>
      <c r="W196" s="83">
        <v>0</v>
      </c>
      <c r="X196" s="83">
        <v>0</v>
      </c>
      <c r="Y196" s="83">
        <v>0</v>
      </c>
      <c r="Z196" s="84">
        <f>ROUND((IF(($O196&lt;=700000),0,IF(((VLOOKUP($M196,'Loyalty - Effec - 15July'!$B$5:$C$17,2,0)*$O196)&lt;=120000),(VLOOKUP($M196,'Loyalty - Effec - 15July'!$B$5:$C$17,2,0)*$O196),120000))),0)</f>
        <v>0</v>
      </c>
      <c r="AA196" s="84">
        <f>ROUND(VLOOKUP($M196,'Loyalty - Effec - 15July'!$B$5:$D$17,3,0)*$O196,0)</f>
        <v>0</v>
      </c>
      <c r="AB196" s="85">
        <f t="shared" si="116"/>
        <v>0</v>
      </c>
      <c r="AC196" s="86">
        <f t="shared" si="117"/>
        <v>0</v>
      </c>
      <c r="AD196" s="87">
        <f t="shared" si="118"/>
        <v>0</v>
      </c>
      <c r="AE196" s="88">
        <f t="shared" si="119"/>
        <v>0</v>
      </c>
      <c r="AF196" s="88">
        <f t="shared" si="120"/>
        <v>0</v>
      </c>
      <c r="AG196" s="49" t="s">
        <v>83</v>
      </c>
      <c r="AH196" s="49" t="s">
        <v>83</v>
      </c>
      <c r="AI196" s="50"/>
      <c r="AJ196" s="46"/>
      <c r="AK196" s="46"/>
      <c r="AL196" s="46"/>
      <c r="AM196" s="51">
        <f>IF($AL196=4,VLOOKUP($AR196,'Loyalty Incentive v1'!$L$3:$Q$15,2,FALSE),
IF($AL196=3,VLOOKUP($AR196,'Loyalty Incentive v1'!$L$3:$Q$15,3,FALSE),
IF($AL196=2,VLOOKUP($AR196,'Loyalty Incentive v1'!$L$3:$Q$15,4,FALSE),
IF($AL196=1,VLOOKUP($AR196,'Loyalty Incentive v1'!$L$3:$Q$15,5,FALSE),
IF($AL196=0,VLOOKUP($AR196,'Loyalty Incentive v1'!$L$3:$Q$15,6,FALSE),0)))))</f>
        <v>0</v>
      </c>
      <c r="AN196" s="51">
        <f>IFERROR(IF(I196&gt;="1",AM196,VLOOKUP(VALUE(I196),'Loyalty - Effec - 15July'!$I$5:$J$16,2,0)*AM196),0)</f>
        <v>0</v>
      </c>
      <c r="AO196" s="51">
        <v>0</v>
      </c>
      <c r="AP196" s="51">
        <f t="shared" si="121"/>
        <v>0</v>
      </c>
      <c r="AQ196" s="46" t="str">
        <f t="shared" si="133"/>
        <v>No</v>
      </c>
      <c r="AR196" s="46" t="str">
        <f t="shared" si="134"/>
        <v>AE6</v>
      </c>
      <c r="AS196" s="46" t="b">
        <f t="shared" si="135"/>
        <v>1</v>
      </c>
      <c r="AT196" s="82">
        <f t="shared" si="136"/>
        <v>0</v>
      </c>
      <c r="AU196" s="82">
        <f t="shared" si="122"/>
        <v>0</v>
      </c>
      <c r="AV196" s="82">
        <f t="shared" si="123"/>
        <v>0</v>
      </c>
      <c r="AW196" s="82">
        <f t="shared" si="124"/>
        <v>0</v>
      </c>
      <c r="AX196" s="85"/>
      <c r="AY196" s="82">
        <f t="shared" si="125"/>
        <v>0</v>
      </c>
      <c r="AZ196" s="82">
        <f t="shared" si="126"/>
        <v>0</v>
      </c>
      <c r="BA196" s="82">
        <f t="shared" si="127"/>
        <v>0</v>
      </c>
      <c r="BB196" s="83">
        <v>0</v>
      </c>
      <c r="BC196" s="83">
        <v>0</v>
      </c>
      <c r="BD196" s="83">
        <v>0</v>
      </c>
      <c r="BE196" s="84">
        <f>ROUND((IF(($AT196&lt;=700000),0,IF(((VLOOKUP($AR196,'Loyalty - Effec - 15July'!$B$5:$C$17,2,0)*$AT196)&lt;=120000),(VLOOKUP($AR196,'Loyalty - Effec - 15July'!$B$5:$C$17,2,0)*$AT196),120000))),0)</f>
        <v>0</v>
      </c>
      <c r="BF196" s="84">
        <f>ROUND(VLOOKUP($AR196,'Loyalty - Effec - 15July'!$B$5:$D$17,3,0)*$AT196,0)</f>
        <v>0</v>
      </c>
      <c r="BG196" s="85">
        <f t="shared" si="128"/>
        <v>0</v>
      </c>
      <c r="BH196" s="81">
        <f t="shared" si="129"/>
        <v>0</v>
      </c>
      <c r="BI196" s="85">
        <f t="shared" si="130"/>
        <v>0</v>
      </c>
      <c r="BJ196" s="85">
        <f t="shared" si="131"/>
        <v>0</v>
      </c>
      <c r="BK196" s="85">
        <f t="shared" si="132"/>
        <v>0</v>
      </c>
      <c r="BL196" s="85">
        <f t="shared" si="137"/>
        <v>0</v>
      </c>
      <c r="BM196" s="85">
        <f t="shared" si="138"/>
        <v>0</v>
      </c>
      <c r="BN196" s="85">
        <f t="shared" si="139"/>
        <v>0</v>
      </c>
      <c r="BO196" s="52" t="s">
        <v>85</v>
      </c>
      <c r="BP196" s="46"/>
      <c r="BQ196" s="46"/>
      <c r="BR196" s="47">
        <f t="shared" si="142"/>
        <v>0</v>
      </c>
      <c r="BU196" s="47">
        <f t="shared" si="141"/>
        <v>0</v>
      </c>
      <c r="BV196" s="53" t="s">
        <v>460</v>
      </c>
      <c r="BW196" s="53" t="s">
        <v>932</v>
      </c>
      <c r="BX196" s="53" t="s">
        <v>682</v>
      </c>
      <c r="BY196" s="53"/>
      <c r="BZ196" s="53"/>
    </row>
    <row r="197" spans="1:79">
      <c r="A197" s="42" t="s">
        <v>461</v>
      </c>
      <c r="B197" s="28" t="s">
        <v>79</v>
      </c>
      <c r="C197" s="28" t="s">
        <v>80</v>
      </c>
      <c r="D197" s="28" t="s">
        <v>81</v>
      </c>
      <c r="E197" s="43" t="s">
        <v>184</v>
      </c>
      <c r="F197" s="28" t="s">
        <v>901</v>
      </c>
      <c r="G197" s="44" t="s">
        <v>683</v>
      </c>
      <c r="H197" s="45">
        <v>44789</v>
      </c>
      <c r="I197" s="28" t="s">
        <v>998</v>
      </c>
      <c r="J197" s="28">
        <v>0</v>
      </c>
      <c r="K197" s="28" t="s">
        <v>396</v>
      </c>
      <c r="L197" s="28" t="s">
        <v>895</v>
      </c>
      <c r="M197" s="28" t="s">
        <v>3</v>
      </c>
      <c r="N197" s="28" t="str">
        <f t="shared" si="109"/>
        <v>AE5</v>
      </c>
      <c r="O197" s="81"/>
      <c r="P197" s="81">
        <f t="shared" si="110"/>
        <v>0</v>
      </c>
      <c r="Q197" s="81">
        <f t="shared" si="111"/>
        <v>0</v>
      </c>
      <c r="R197" s="81">
        <f t="shared" si="112"/>
        <v>0</v>
      </c>
      <c r="S197" s="81"/>
      <c r="T197" s="82">
        <f t="shared" si="113"/>
        <v>0</v>
      </c>
      <c r="U197" s="82">
        <f t="shared" si="114"/>
        <v>0</v>
      </c>
      <c r="V197" s="82">
        <f t="shared" si="115"/>
        <v>0</v>
      </c>
      <c r="W197" s="83">
        <v>0</v>
      </c>
      <c r="X197" s="83">
        <v>0</v>
      </c>
      <c r="Y197" s="83">
        <v>0</v>
      </c>
      <c r="Z197" s="84">
        <f>ROUND((IF(($O197&lt;=700000),0,IF(((VLOOKUP($M197,'Loyalty - Effec - 15July'!$B$5:$C$17,2,0)*$O197)&lt;=120000),(VLOOKUP($M197,'Loyalty - Effec - 15July'!$B$5:$C$17,2,0)*$O197),120000))),0)</f>
        <v>0</v>
      </c>
      <c r="AA197" s="84">
        <f>ROUND(VLOOKUP($M197,'Loyalty - Effec - 15July'!$B$5:$D$17,3,0)*$O197,0)</f>
        <v>0</v>
      </c>
      <c r="AB197" s="85">
        <f t="shared" si="116"/>
        <v>0</v>
      </c>
      <c r="AC197" s="86">
        <f t="shared" si="117"/>
        <v>0</v>
      </c>
      <c r="AD197" s="87">
        <f t="shared" si="118"/>
        <v>0</v>
      </c>
      <c r="AE197" s="88">
        <f t="shared" si="119"/>
        <v>0</v>
      </c>
      <c r="AF197" s="88">
        <f t="shared" si="120"/>
        <v>0</v>
      </c>
      <c r="AG197" s="49" t="s">
        <v>150</v>
      </c>
      <c r="AH197" s="49" t="s">
        <v>811</v>
      </c>
      <c r="AI197" s="50"/>
      <c r="AJ197" s="50"/>
      <c r="AK197" s="50"/>
      <c r="AL197" s="46"/>
      <c r="AM197" s="51">
        <f>IF($AL197=4,VLOOKUP($AR197,'Loyalty Incentive v1'!$L$3:$Q$15,2,FALSE),
IF($AL197=3,VLOOKUP($AR197,'Loyalty Incentive v1'!$L$3:$Q$15,3,FALSE),
IF($AL197=2,VLOOKUP($AR197,'Loyalty Incentive v1'!$L$3:$Q$15,4,FALSE),
IF($AL197=1,VLOOKUP($AR197,'Loyalty Incentive v1'!$L$3:$Q$15,5,FALSE),
IF($AL197=0,VLOOKUP($AR197,'Loyalty Incentive v1'!$L$3:$Q$15,6,FALSE),0)))))</f>
        <v>0</v>
      </c>
      <c r="AN197" s="51">
        <f>IFERROR(IF(I197&gt;="1",AM197,VLOOKUP(VALUE(I197),'Loyalty - Effec - 15July'!$I$5:$J$16,2,0)*AM197),0)</f>
        <v>0</v>
      </c>
      <c r="AO197" s="51">
        <v>-0.03</v>
      </c>
      <c r="AP197" s="51">
        <f t="shared" si="121"/>
        <v>-0.03</v>
      </c>
      <c r="AQ197" s="46" t="str">
        <f t="shared" si="133"/>
        <v>No</v>
      </c>
      <c r="AR197" s="46" t="str">
        <f t="shared" si="134"/>
        <v>AE5</v>
      </c>
      <c r="AS197" s="46" t="b">
        <f t="shared" si="135"/>
        <v>1</v>
      </c>
      <c r="AT197" s="82">
        <f t="shared" si="136"/>
        <v>0</v>
      </c>
      <c r="AU197" s="82">
        <f t="shared" si="122"/>
        <v>0</v>
      </c>
      <c r="AV197" s="82">
        <f t="shared" si="123"/>
        <v>0</v>
      </c>
      <c r="AW197" s="82">
        <f t="shared" si="124"/>
        <v>0</v>
      </c>
      <c r="AX197" s="85"/>
      <c r="AY197" s="82">
        <f t="shared" si="125"/>
        <v>0</v>
      </c>
      <c r="AZ197" s="82">
        <f t="shared" si="126"/>
        <v>0</v>
      </c>
      <c r="BA197" s="82">
        <f t="shared" si="127"/>
        <v>0</v>
      </c>
      <c r="BB197" s="83">
        <v>0</v>
      </c>
      <c r="BC197" s="83">
        <v>0</v>
      </c>
      <c r="BD197" s="83">
        <v>0</v>
      </c>
      <c r="BE197" s="84">
        <f>ROUND((IF(($AT197&lt;=700000),0,IF(((VLOOKUP($AR197,'Loyalty - Effec - 15July'!$B$5:$C$17,2,0)*$AT197)&lt;=120000),(VLOOKUP($AR197,'Loyalty - Effec - 15July'!$B$5:$C$17,2,0)*$AT197),120000))),0)</f>
        <v>0</v>
      </c>
      <c r="BF197" s="84">
        <f>ROUND(VLOOKUP($AR197,'Loyalty - Effec - 15July'!$B$5:$D$17,3,0)*$AT197,0)</f>
        <v>0</v>
      </c>
      <c r="BG197" s="85">
        <f t="shared" si="128"/>
        <v>0</v>
      </c>
      <c r="BH197" s="81">
        <f t="shared" si="129"/>
        <v>0</v>
      </c>
      <c r="BI197" s="85">
        <f t="shared" si="130"/>
        <v>0</v>
      </c>
      <c r="BJ197" s="85">
        <f t="shared" si="131"/>
        <v>0</v>
      </c>
      <c r="BK197" s="85">
        <f t="shared" si="132"/>
        <v>0</v>
      </c>
      <c r="BL197" s="85">
        <f t="shared" si="137"/>
        <v>0</v>
      </c>
      <c r="BM197" s="85">
        <f t="shared" si="138"/>
        <v>0</v>
      </c>
      <c r="BN197" s="85">
        <f t="shared" si="139"/>
        <v>0</v>
      </c>
      <c r="BO197" s="52" t="s">
        <v>85</v>
      </c>
      <c r="BP197" s="46"/>
      <c r="BQ197" s="46"/>
      <c r="BR197" s="47">
        <f t="shared" si="142"/>
        <v>0</v>
      </c>
      <c r="BS197" s="46">
        <v>1</v>
      </c>
      <c r="BT197" s="54">
        <v>1.6666666666668301E-5</v>
      </c>
      <c r="BU197" s="47">
        <f t="shared" si="141"/>
        <v>0</v>
      </c>
      <c r="BV197" s="53" t="s">
        <v>461</v>
      </c>
      <c r="BW197" s="53" t="s">
        <v>81</v>
      </c>
      <c r="BX197" s="53" t="s">
        <v>683</v>
      </c>
      <c r="BY197" s="53"/>
      <c r="BZ197" s="53"/>
      <c r="CA197" s="55"/>
    </row>
    <row r="198" spans="1:79">
      <c r="A198" s="42" t="s">
        <v>462</v>
      </c>
      <c r="B198" s="28" t="s">
        <v>79</v>
      </c>
      <c r="C198" s="28" t="s">
        <v>80</v>
      </c>
      <c r="D198" s="28" t="s">
        <v>932</v>
      </c>
      <c r="E198" s="43" t="s">
        <v>184</v>
      </c>
      <c r="F198" s="28" t="s">
        <v>901</v>
      </c>
      <c r="G198" s="44" t="s">
        <v>684</v>
      </c>
      <c r="H198" s="45">
        <v>44789</v>
      </c>
      <c r="I198" s="46" t="s">
        <v>998</v>
      </c>
      <c r="J198" s="28">
        <v>0</v>
      </c>
      <c r="K198" s="28" t="s">
        <v>413</v>
      </c>
      <c r="L198" s="28" t="s">
        <v>140</v>
      </c>
      <c r="M198" s="28" t="s">
        <v>1</v>
      </c>
      <c r="N198" s="28" t="str">
        <f t="shared" si="109"/>
        <v>AE3</v>
      </c>
      <c r="O198" s="81"/>
      <c r="P198" s="81">
        <f t="shared" si="110"/>
        <v>0</v>
      </c>
      <c r="Q198" s="81">
        <f t="shared" si="111"/>
        <v>0</v>
      </c>
      <c r="R198" s="81">
        <f t="shared" si="112"/>
        <v>0</v>
      </c>
      <c r="S198" s="81"/>
      <c r="T198" s="82">
        <f t="shared" si="113"/>
        <v>0</v>
      </c>
      <c r="U198" s="82">
        <f t="shared" si="114"/>
        <v>0</v>
      </c>
      <c r="V198" s="82">
        <f t="shared" si="115"/>
        <v>0</v>
      </c>
      <c r="W198" s="83">
        <v>0</v>
      </c>
      <c r="X198" s="83">
        <v>0</v>
      </c>
      <c r="Y198" s="83">
        <v>0</v>
      </c>
      <c r="Z198" s="84">
        <f>ROUND((IF(($O198&lt;=700000),0,IF(((VLOOKUP($M198,'Loyalty - Effec - 15July'!$B$5:$C$17,2,0)*$O198)&lt;=120000),(VLOOKUP($M198,'Loyalty - Effec - 15July'!$B$5:$C$17,2,0)*$O198),120000))),0)</f>
        <v>0</v>
      </c>
      <c r="AA198" s="84">
        <f>ROUND(VLOOKUP($M198,'Loyalty - Effec - 15July'!$B$5:$D$17,3,0)*$O198,0)</f>
        <v>0</v>
      </c>
      <c r="AB198" s="85">
        <f t="shared" si="116"/>
        <v>0</v>
      </c>
      <c r="AC198" s="86">
        <f t="shared" si="117"/>
        <v>0</v>
      </c>
      <c r="AD198" s="87">
        <f t="shared" si="118"/>
        <v>0</v>
      </c>
      <c r="AE198" s="88">
        <f t="shared" si="119"/>
        <v>0</v>
      </c>
      <c r="AF198" s="88">
        <f t="shared" si="120"/>
        <v>0</v>
      </c>
      <c r="AG198" s="49" t="s">
        <v>919</v>
      </c>
      <c r="AH198" s="49" t="s">
        <v>928</v>
      </c>
      <c r="AI198" s="50"/>
      <c r="AJ198" s="46"/>
      <c r="AK198" s="46"/>
      <c r="AL198" s="46"/>
      <c r="AM198" s="51">
        <f>IF($AL198=4,VLOOKUP($AR198,'Loyalty Incentive v1'!$L$3:$Q$15,2,FALSE),
IF($AL198=3,VLOOKUP($AR198,'Loyalty Incentive v1'!$L$3:$Q$15,3,FALSE),
IF($AL198=2,VLOOKUP($AR198,'Loyalty Incentive v1'!$L$3:$Q$15,4,FALSE),
IF($AL198=1,VLOOKUP($AR198,'Loyalty Incentive v1'!$L$3:$Q$15,5,FALSE),
IF($AL198=0,VLOOKUP($AR198,'Loyalty Incentive v1'!$L$3:$Q$15,6,FALSE),0)))))</f>
        <v>0</v>
      </c>
      <c r="AN198" s="51">
        <f>IFERROR(IF(I198&gt;="1",AM198,VLOOKUP(VALUE(I198),'Loyalty - Effec - 15July'!$I$5:$J$16,2,0)*AM198),0)</f>
        <v>0</v>
      </c>
      <c r="AO198" s="51">
        <v>0</v>
      </c>
      <c r="AP198" s="51">
        <f t="shared" si="121"/>
        <v>0</v>
      </c>
      <c r="AQ198" s="46" t="str">
        <f t="shared" si="133"/>
        <v>No</v>
      </c>
      <c r="AR198" s="46" t="str">
        <f t="shared" si="134"/>
        <v>AE3</v>
      </c>
      <c r="AS198" s="46" t="b">
        <f t="shared" si="135"/>
        <v>1</v>
      </c>
      <c r="AT198" s="82">
        <f t="shared" si="136"/>
        <v>0</v>
      </c>
      <c r="AU198" s="82">
        <f t="shared" si="122"/>
        <v>0</v>
      </c>
      <c r="AV198" s="82">
        <f t="shared" si="123"/>
        <v>0</v>
      </c>
      <c r="AW198" s="82">
        <f t="shared" si="124"/>
        <v>0</v>
      </c>
      <c r="AX198" s="85"/>
      <c r="AY198" s="82">
        <f t="shared" si="125"/>
        <v>0</v>
      </c>
      <c r="AZ198" s="82">
        <f t="shared" si="126"/>
        <v>0</v>
      </c>
      <c r="BA198" s="82">
        <f t="shared" si="127"/>
        <v>0</v>
      </c>
      <c r="BB198" s="83">
        <v>0</v>
      </c>
      <c r="BC198" s="83">
        <v>0</v>
      </c>
      <c r="BD198" s="83">
        <v>0</v>
      </c>
      <c r="BE198" s="84">
        <f>ROUND((IF(($AT198&lt;=700000),0,IF(((VLOOKUP($AR198,'Loyalty - Effec - 15July'!$B$5:$C$17,2,0)*$AT198)&lt;=120000),(VLOOKUP($AR198,'Loyalty - Effec - 15July'!$B$5:$C$17,2,0)*$AT198),120000))),0)</f>
        <v>0</v>
      </c>
      <c r="BF198" s="84">
        <f>ROUND(VLOOKUP($AR198,'Loyalty - Effec - 15July'!$B$5:$D$17,3,0)*$AT198,0)</f>
        <v>0</v>
      </c>
      <c r="BG198" s="85">
        <f t="shared" si="128"/>
        <v>0</v>
      </c>
      <c r="BH198" s="81">
        <f t="shared" si="129"/>
        <v>0</v>
      </c>
      <c r="BI198" s="85">
        <f t="shared" si="130"/>
        <v>0</v>
      </c>
      <c r="BJ198" s="85">
        <f t="shared" si="131"/>
        <v>0</v>
      </c>
      <c r="BK198" s="85">
        <f t="shared" si="132"/>
        <v>0</v>
      </c>
      <c r="BL198" s="85">
        <f t="shared" si="137"/>
        <v>0</v>
      </c>
      <c r="BM198" s="85">
        <f t="shared" si="138"/>
        <v>0</v>
      </c>
      <c r="BN198" s="85">
        <f t="shared" si="139"/>
        <v>0</v>
      </c>
      <c r="BO198" s="52" t="s">
        <v>85</v>
      </c>
      <c r="BP198" s="46"/>
      <c r="BQ198" s="46"/>
      <c r="BR198" s="47">
        <f t="shared" si="142"/>
        <v>0</v>
      </c>
      <c r="BU198" s="47">
        <f t="shared" si="141"/>
        <v>0</v>
      </c>
      <c r="BV198" s="53" t="s">
        <v>462</v>
      </c>
      <c r="BW198" s="53" t="s">
        <v>932</v>
      </c>
      <c r="BX198" s="53" t="s">
        <v>684</v>
      </c>
      <c r="BY198" s="53"/>
      <c r="BZ198" s="53"/>
    </row>
    <row r="199" spans="1:79">
      <c r="A199" s="42" t="s">
        <v>463</v>
      </c>
      <c r="B199" s="28" t="s">
        <v>79</v>
      </c>
      <c r="C199" s="28" t="s">
        <v>80</v>
      </c>
      <c r="D199" s="28" t="s">
        <v>932</v>
      </c>
      <c r="E199" s="43" t="s">
        <v>184</v>
      </c>
      <c r="F199" s="28" t="s">
        <v>901</v>
      </c>
      <c r="G199" s="44" t="s">
        <v>685</v>
      </c>
      <c r="H199" s="45">
        <v>44789</v>
      </c>
      <c r="I199" s="46" t="s">
        <v>998</v>
      </c>
      <c r="J199" s="28">
        <v>0</v>
      </c>
      <c r="K199" s="28" t="s">
        <v>413</v>
      </c>
      <c r="L199" s="28" t="s">
        <v>880</v>
      </c>
      <c r="M199" s="28" t="s">
        <v>0</v>
      </c>
      <c r="N199" s="28" t="str">
        <f t="shared" si="109"/>
        <v>AE2</v>
      </c>
      <c r="O199" s="81"/>
      <c r="P199" s="81">
        <f t="shared" si="110"/>
        <v>0</v>
      </c>
      <c r="Q199" s="81">
        <f t="shared" si="111"/>
        <v>0</v>
      </c>
      <c r="R199" s="81">
        <f t="shared" si="112"/>
        <v>0</v>
      </c>
      <c r="S199" s="81"/>
      <c r="T199" s="82">
        <f t="shared" si="113"/>
        <v>0</v>
      </c>
      <c r="U199" s="82">
        <f t="shared" si="114"/>
        <v>0</v>
      </c>
      <c r="V199" s="82">
        <f t="shared" si="115"/>
        <v>0</v>
      </c>
      <c r="W199" s="83">
        <v>0</v>
      </c>
      <c r="X199" s="83">
        <v>0</v>
      </c>
      <c r="Y199" s="83">
        <v>0</v>
      </c>
      <c r="Z199" s="84">
        <f>ROUND((IF(($O199&lt;=700000),0,IF(((VLOOKUP($M199,'Loyalty - Effec - 15July'!$B$5:$C$17,2,0)*$O199)&lt;=120000),(VLOOKUP($M199,'Loyalty - Effec - 15July'!$B$5:$C$17,2,0)*$O199),120000))),0)</f>
        <v>0</v>
      </c>
      <c r="AA199" s="84">
        <f>ROUND(VLOOKUP($M199,'Loyalty - Effec - 15July'!$B$5:$D$17,3,0)*$O199,0)</f>
        <v>0</v>
      </c>
      <c r="AB199" s="85">
        <f t="shared" si="116"/>
        <v>0</v>
      </c>
      <c r="AC199" s="86">
        <f t="shared" si="117"/>
        <v>0</v>
      </c>
      <c r="AD199" s="87">
        <f t="shared" si="118"/>
        <v>0</v>
      </c>
      <c r="AE199" s="88">
        <f t="shared" si="119"/>
        <v>0</v>
      </c>
      <c r="AF199" s="88">
        <f t="shared" si="120"/>
        <v>0</v>
      </c>
      <c r="AG199" s="49" t="s">
        <v>251</v>
      </c>
      <c r="AH199" s="49" t="s">
        <v>126</v>
      </c>
      <c r="AI199" s="50"/>
      <c r="AJ199" s="46"/>
      <c r="AK199" s="46"/>
      <c r="AL199" s="46"/>
      <c r="AM199" s="51">
        <f>IF($AL199=4,VLOOKUP($AR199,'Loyalty Incentive v1'!$L$3:$Q$15,2,FALSE),
IF($AL199=3,VLOOKUP($AR199,'Loyalty Incentive v1'!$L$3:$Q$15,3,FALSE),
IF($AL199=2,VLOOKUP($AR199,'Loyalty Incentive v1'!$L$3:$Q$15,4,FALSE),
IF($AL199=1,VLOOKUP($AR199,'Loyalty Incentive v1'!$L$3:$Q$15,5,FALSE),
IF($AL199=0,VLOOKUP($AR199,'Loyalty Incentive v1'!$L$3:$Q$15,6,FALSE),0)))))</f>
        <v>0</v>
      </c>
      <c r="AN199" s="51">
        <f>IFERROR(IF(I199&gt;="1",AM199,VLOOKUP(VALUE(I199),'Loyalty - Effec - 15July'!$I$5:$J$16,2,0)*AM199),0)</f>
        <v>0</v>
      </c>
      <c r="AO199" s="51">
        <v>0</v>
      </c>
      <c r="AP199" s="51">
        <f t="shared" si="121"/>
        <v>0</v>
      </c>
      <c r="AQ199" s="46" t="str">
        <f t="shared" si="133"/>
        <v>No</v>
      </c>
      <c r="AR199" s="46" t="str">
        <f t="shared" si="134"/>
        <v>AE2</v>
      </c>
      <c r="AS199" s="46" t="b">
        <f t="shared" si="135"/>
        <v>1</v>
      </c>
      <c r="AT199" s="82">
        <f t="shared" si="136"/>
        <v>0</v>
      </c>
      <c r="AU199" s="82">
        <f t="shared" si="122"/>
        <v>0</v>
      </c>
      <c r="AV199" s="82">
        <f t="shared" si="123"/>
        <v>0</v>
      </c>
      <c r="AW199" s="82">
        <f t="shared" si="124"/>
        <v>0</v>
      </c>
      <c r="AX199" s="85"/>
      <c r="AY199" s="82">
        <f t="shared" si="125"/>
        <v>0</v>
      </c>
      <c r="AZ199" s="82">
        <f t="shared" si="126"/>
        <v>0</v>
      </c>
      <c r="BA199" s="82">
        <f t="shared" si="127"/>
        <v>0</v>
      </c>
      <c r="BB199" s="83">
        <v>0</v>
      </c>
      <c r="BC199" s="83">
        <v>0</v>
      </c>
      <c r="BD199" s="83">
        <v>0</v>
      </c>
      <c r="BE199" s="84">
        <f>ROUND((IF(($AT199&lt;=700000),0,IF(((VLOOKUP($AR199,'Loyalty - Effec - 15July'!$B$5:$C$17,2,0)*$AT199)&lt;=120000),(VLOOKUP($AR199,'Loyalty - Effec - 15July'!$B$5:$C$17,2,0)*$AT199),120000))),0)</f>
        <v>0</v>
      </c>
      <c r="BF199" s="84">
        <f>ROUND(VLOOKUP($AR199,'Loyalty - Effec - 15July'!$B$5:$D$17,3,0)*$AT199,0)</f>
        <v>0</v>
      </c>
      <c r="BG199" s="85">
        <f t="shared" si="128"/>
        <v>0</v>
      </c>
      <c r="BH199" s="81">
        <f t="shared" si="129"/>
        <v>0</v>
      </c>
      <c r="BI199" s="85">
        <f t="shared" si="130"/>
        <v>0</v>
      </c>
      <c r="BJ199" s="85">
        <f t="shared" si="131"/>
        <v>0</v>
      </c>
      <c r="BK199" s="85">
        <f t="shared" si="132"/>
        <v>0</v>
      </c>
      <c r="BL199" s="85">
        <f t="shared" si="137"/>
        <v>0</v>
      </c>
      <c r="BM199" s="85">
        <f t="shared" si="138"/>
        <v>0</v>
      </c>
      <c r="BN199" s="85">
        <f t="shared" si="139"/>
        <v>0</v>
      </c>
      <c r="BO199" s="52" t="s">
        <v>85</v>
      </c>
      <c r="BP199" s="46"/>
      <c r="BQ199" s="46"/>
      <c r="BR199" s="47">
        <f t="shared" si="142"/>
        <v>0</v>
      </c>
      <c r="BU199" s="47">
        <f t="shared" si="141"/>
        <v>0</v>
      </c>
      <c r="BV199" s="53" t="s">
        <v>463</v>
      </c>
      <c r="BW199" s="53" t="s">
        <v>932</v>
      </c>
      <c r="BX199" s="53" t="s">
        <v>685</v>
      </c>
      <c r="BY199" s="53"/>
      <c r="BZ199" s="53"/>
    </row>
    <row r="200" spans="1:79">
      <c r="A200" s="42" t="s">
        <v>464</v>
      </c>
      <c r="B200" s="28" t="s">
        <v>79</v>
      </c>
      <c r="C200" s="28" t="s">
        <v>80</v>
      </c>
      <c r="D200" s="28" t="s">
        <v>932</v>
      </c>
      <c r="E200" s="43" t="s">
        <v>184</v>
      </c>
      <c r="F200" s="28" t="s">
        <v>902</v>
      </c>
      <c r="G200" s="44" t="s">
        <v>686</v>
      </c>
      <c r="H200" s="45">
        <v>44789</v>
      </c>
      <c r="I200" s="46" t="s">
        <v>998</v>
      </c>
      <c r="J200" s="28">
        <v>0</v>
      </c>
      <c r="K200" s="28" t="s">
        <v>413</v>
      </c>
      <c r="L200" s="28" t="s">
        <v>880</v>
      </c>
      <c r="M200" s="28" t="s">
        <v>0</v>
      </c>
      <c r="N200" s="28" t="str">
        <f t="shared" si="109"/>
        <v>AE2</v>
      </c>
      <c r="O200" s="81"/>
      <c r="P200" s="81">
        <f t="shared" si="110"/>
        <v>0</v>
      </c>
      <c r="Q200" s="81">
        <f t="shared" si="111"/>
        <v>0</v>
      </c>
      <c r="R200" s="81">
        <f t="shared" si="112"/>
        <v>0</v>
      </c>
      <c r="S200" s="81"/>
      <c r="T200" s="82">
        <f t="shared" si="113"/>
        <v>0</v>
      </c>
      <c r="U200" s="82">
        <f t="shared" si="114"/>
        <v>0</v>
      </c>
      <c r="V200" s="82">
        <f t="shared" si="115"/>
        <v>0</v>
      </c>
      <c r="W200" s="83">
        <v>0</v>
      </c>
      <c r="X200" s="83">
        <v>0</v>
      </c>
      <c r="Y200" s="83">
        <v>0</v>
      </c>
      <c r="Z200" s="84">
        <f>ROUND((IF(($O200&lt;=700000),0,IF(((VLOOKUP($M200,'Loyalty - Effec - 15July'!$B$5:$C$17,2,0)*$O200)&lt;=120000),(VLOOKUP($M200,'Loyalty - Effec - 15July'!$B$5:$C$17,2,0)*$O200),120000))),0)</f>
        <v>0</v>
      </c>
      <c r="AA200" s="84">
        <f>ROUND(VLOOKUP($M200,'Loyalty - Effec - 15July'!$B$5:$D$17,3,0)*$O200,0)</f>
        <v>0</v>
      </c>
      <c r="AB200" s="85">
        <f t="shared" si="116"/>
        <v>0</v>
      </c>
      <c r="AC200" s="86">
        <f t="shared" si="117"/>
        <v>0</v>
      </c>
      <c r="AD200" s="87">
        <f t="shared" si="118"/>
        <v>0</v>
      </c>
      <c r="AE200" s="88">
        <f t="shared" si="119"/>
        <v>0</v>
      </c>
      <c r="AF200" s="88">
        <f t="shared" si="120"/>
        <v>0</v>
      </c>
      <c r="AG200" s="49" t="s">
        <v>311</v>
      </c>
      <c r="AH200" s="49" t="s">
        <v>811</v>
      </c>
      <c r="AI200" s="50"/>
      <c r="AJ200" s="46"/>
      <c r="AK200" s="46"/>
      <c r="AL200" s="46"/>
      <c r="AM200" s="51">
        <f>IF($AL200=4,VLOOKUP($AR200,'Loyalty Incentive v1'!$L$3:$Q$15,2,FALSE),
IF($AL200=3,VLOOKUP($AR200,'Loyalty Incentive v1'!$L$3:$Q$15,3,FALSE),
IF($AL200=2,VLOOKUP($AR200,'Loyalty Incentive v1'!$L$3:$Q$15,4,FALSE),
IF($AL200=1,VLOOKUP($AR200,'Loyalty Incentive v1'!$L$3:$Q$15,5,FALSE),
IF($AL200=0,VLOOKUP($AR200,'Loyalty Incentive v1'!$L$3:$Q$15,6,FALSE),0)))))</f>
        <v>0</v>
      </c>
      <c r="AN200" s="51">
        <f>IFERROR(IF(I200&gt;="1",AM200,VLOOKUP(VALUE(I200),'Loyalty - Effec - 15July'!$I$5:$J$16,2,0)*AM200),0)</f>
        <v>0</v>
      </c>
      <c r="AO200" s="51">
        <v>0</v>
      </c>
      <c r="AP200" s="51">
        <f t="shared" si="121"/>
        <v>0</v>
      </c>
      <c r="AQ200" s="46" t="str">
        <f t="shared" si="133"/>
        <v>No</v>
      </c>
      <c r="AR200" s="46" t="str">
        <f t="shared" si="134"/>
        <v>AE2</v>
      </c>
      <c r="AS200" s="46" t="b">
        <f t="shared" si="135"/>
        <v>1</v>
      </c>
      <c r="AT200" s="82">
        <f t="shared" si="136"/>
        <v>0</v>
      </c>
      <c r="AU200" s="82">
        <f t="shared" si="122"/>
        <v>0</v>
      </c>
      <c r="AV200" s="82">
        <f t="shared" si="123"/>
        <v>0</v>
      </c>
      <c r="AW200" s="82">
        <f t="shared" si="124"/>
        <v>0</v>
      </c>
      <c r="AX200" s="85"/>
      <c r="AY200" s="82">
        <f t="shared" si="125"/>
        <v>0</v>
      </c>
      <c r="AZ200" s="82">
        <f t="shared" si="126"/>
        <v>0</v>
      </c>
      <c r="BA200" s="82">
        <f t="shared" si="127"/>
        <v>0</v>
      </c>
      <c r="BB200" s="83">
        <v>0</v>
      </c>
      <c r="BC200" s="83">
        <v>0</v>
      </c>
      <c r="BD200" s="83">
        <v>0</v>
      </c>
      <c r="BE200" s="84">
        <f>ROUND((IF(($AT200&lt;=700000),0,IF(((VLOOKUP($AR200,'Loyalty - Effec - 15July'!$B$5:$C$17,2,0)*$AT200)&lt;=120000),(VLOOKUP($AR200,'Loyalty - Effec - 15July'!$B$5:$C$17,2,0)*$AT200),120000))),0)</f>
        <v>0</v>
      </c>
      <c r="BF200" s="84">
        <f>ROUND(VLOOKUP($AR200,'Loyalty - Effec - 15July'!$B$5:$D$17,3,0)*$AT200,0)</f>
        <v>0</v>
      </c>
      <c r="BG200" s="85">
        <f t="shared" si="128"/>
        <v>0</v>
      </c>
      <c r="BH200" s="81">
        <f t="shared" si="129"/>
        <v>0</v>
      </c>
      <c r="BI200" s="85">
        <f t="shared" si="130"/>
        <v>0</v>
      </c>
      <c r="BJ200" s="85">
        <f t="shared" si="131"/>
        <v>0</v>
      </c>
      <c r="BK200" s="85">
        <f t="shared" si="132"/>
        <v>0</v>
      </c>
      <c r="BL200" s="85">
        <f t="shared" si="137"/>
        <v>0</v>
      </c>
      <c r="BM200" s="85">
        <f t="shared" si="138"/>
        <v>0</v>
      </c>
      <c r="BN200" s="85">
        <f t="shared" si="139"/>
        <v>0</v>
      </c>
      <c r="BO200" s="52" t="s">
        <v>85</v>
      </c>
      <c r="BP200" s="46"/>
      <c r="BQ200" s="46"/>
      <c r="BR200" s="47">
        <f t="shared" si="142"/>
        <v>0</v>
      </c>
      <c r="BU200" s="47">
        <f t="shared" si="141"/>
        <v>0</v>
      </c>
      <c r="BV200" s="53" t="s">
        <v>464</v>
      </c>
      <c r="BW200" s="53" t="s">
        <v>932</v>
      </c>
      <c r="BX200" s="53" t="s">
        <v>686</v>
      </c>
      <c r="BY200" s="53"/>
      <c r="BZ200" s="53"/>
    </row>
    <row r="201" spans="1:79">
      <c r="A201" s="42" t="s">
        <v>465</v>
      </c>
      <c r="B201" s="28" t="s">
        <v>79</v>
      </c>
      <c r="C201" s="28" t="s">
        <v>80</v>
      </c>
      <c r="D201" s="28" t="s">
        <v>932</v>
      </c>
      <c r="E201" s="43" t="s">
        <v>184</v>
      </c>
      <c r="F201" s="28" t="s">
        <v>901</v>
      </c>
      <c r="G201" s="44" t="s">
        <v>687</v>
      </c>
      <c r="H201" s="45">
        <v>44802</v>
      </c>
      <c r="I201" s="46" t="s">
        <v>998</v>
      </c>
      <c r="J201" s="28">
        <v>0</v>
      </c>
      <c r="K201" s="28" t="s">
        <v>420</v>
      </c>
      <c r="L201" s="28" t="s">
        <v>896</v>
      </c>
      <c r="M201" s="28" t="s">
        <v>4</v>
      </c>
      <c r="N201" s="28" t="str">
        <f t="shared" si="109"/>
        <v>AE6</v>
      </c>
      <c r="O201" s="81"/>
      <c r="P201" s="81">
        <f t="shared" si="110"/>
        <v>0</v>
      </c>
      <c r="Q201" s="81">
        <f t="shared" si="111"/>
        <v>0</v>
      </c>
      <c r="R201" s="81">
        <f t="shared" si="112"/>
        <v>0</v>
      </c>
      <c r="S201" s="81"/>
      <c r="T201" s="82">
        <f t="shared" si="113"/>
        <v>0</v>
      </c>
      <c r="U201" s="82">
        <f t="shared" si="114"/>
        <v>0</v>
      </c>
      <c r="V201" s="82">
        <f t="shared" si="115"/>
        <v>0</v>
      </c>
      <c r="W201" s="83">
        <v>0</v>
      </c>
      <c r="X201" s="83">
        <v>0</v>
      </c>
      <c r="Y201" s="83">
        <v>0</v>
      </c>
      <c r="Z201" s="84">
        <f>ROUND((IF(($O201&lt;=700000),0,IF(((VLOOKUP($M201,'Loyalty - Effec - 15July'!$B$5:$C$17,2,0)*$O201)&lt;=120000),(VLOOKUP($M201,'Loyalty - Effec - 15July'!$B$5:$C$17,2,0)*$O201),120000))),0)</f>
        <v>0</v>
      </c>
      <c r="AA201" s="84">
        <f>ROUND(VLOOKUP($M201,'Loyalty - Effec - 15July'!$B$5:$D$17,3,0)*$O201,0)</f>
        <v>0</v>
      </c>
      <c r="AB201" s="85">
        <f t="shared" si="116"/>
        <v>0</v>
      </c>
      <c r="AC201" s="86">
        <f t="shared" si="117"/>
        <v>0</v>
      </c>
      <c r="AD201" s="87">
        <f t="shared" si="118"/>
        <v>0</v>
      </c>
      <c r="AE201" s="88">
        <f t="shared" si="119"/>
        <v>0</v>
      </c>
      <c r="AF201" s="88">
        <f t="shared" si="120"/>
        <v>0</v>
      </c>
      <c r="AG201" s="49" t="s">
        <v>129</v>
      </c>
      <c r="AH201" s="49" t="s">
        <v>83</v>
      </c>
      <c r="AI201" s="50"/>
      <c r="AJ201" s="46"/>
      <c r="AK201" s="46"/>
      <c r="AL201" s="46"/>
      <c r="AM201" s="51">
        <f>IF($AL201=4,VLOOKUP($AR201,'Loyalty Incentive v1'!$L$3:$Q$15,2,FALSE),
IF($AL201=3,VLOOKUP($AR201,'Loyalty Incentive v1'!$L$3:$Q$15,3,FALSE),
IF($AL201=2,VLOOKUP($AR201,'Loyalty Incentive v1'!$L$3:$Q$15,4,FALSE),
IF($AL201=1,VLOOKUP($AR201,'Loyalty Incentive v1'!$L$3:$Q$15,5,FALSE),
IF($AL201=0,VLOOKUP($AR201,'Loyalty Incentive v1'!$L$3:$Q$15,6,FALSE),0)))))</f>
        <v>0</v>
      </c>
      <c r="AN201" s="51">
        <f>IFERROR(IF(I201&gt;="1",AM201,VLOOKUP(VALUE(I201),'Loyalty - Effec - 15July'!$I$5:$J$16,2,0)*AM201),0)</f>
        <v>0</v>
      </c>
      <c r="AO201" s="51">
        <v>0</v>
      </c>
      <c r="AP201" s="51">
        <f t="shared" si="121"/>
        <v>0</v>
      </c>
      <c r="AQ201" s="46" t="str">
        <f t="shared" si="133"/>
        <v>No</v>
      </c>
      <c r="AR201" s="46" t="str">
        <f t="shared" si="134"/>
        <v>AE6</v>
      </c>
      <c r="AS201" s="46" t="b">
        <f t="shared" si="135"/>
        <v>1</v>
      </c>
      <c r="AT201" s="82">
        <f t="shared" si="136"/>
        <v>0</v>
      </c>
      <c r="AU201" s="82">
        <f t="shared" si="122"/>
        <v>0</v>
      </c>
      <c r="AV201" s="82">
        <f t="shared" si="123"/>
        <v>0</v>
      </c>
      <c r="AW201" s="82">
        <f t="shared" si="124"/>
        <v>0</v>
      </c>
      <c r="AX201" s="85"/>
      <c r="AY201" s="82">
        <f t="shared" si="125"/>
        <v>0</v>
      </c>
      <c r="AZ201" s="82">
        <f t="shared" si="126"/>
        <v>0</v>
      </c>
      <c r="BA201" s="82">
        <f t="shared" si="127"/>
        <v>0</v>
      </c>
      <c r="BB201" s="83">
        <v>0</v>
      </c>
      <c r="BC201" s="83">
        <v>0</v>
      </c>
      <c r="BD201" s="83">
        <v>0</v>
      </c>
      <c r="BE201" s="84">
        <f>ROUND((IF(($AT201&lt;=700000),0,IF(((VLOOKUP($AR201,'Loyalty - Effec - 15July'!$B$5:$C$17,2,0)*$AT201)&lt;=120000),(VLOOKUP($AR201,'Loyalty - Effec - 15July'!$B$5:$C$17,2,0)*$AT201),120000))),0)</f>
        <v>0</v>
      </c>
      <c r="BF201" s="84">
        <f>ROUND(VLOOKUP($AR201,'Loyalty - Effec - 15July'!$B$5:$D$17,3,0)*$AT201,0)</f>
        <v>0</v>
      </c>
      <c r="BG201" s="85">
        <f t="shared" si="128"/>
        <v>0</v>
      </c>
      <c r="BH201" s="81">
        <f t="shared" si="129"/>
        <v>0</v>
      </c>
      <c r="BI201" s="85">
        <f t="shared" si="130"/>
        <v>0</v>
      </c>
      <c r="BJ201" s="85">
        <f t="shared" si="131"/>
        <v>0</v>
      </c>
      <c r="BK201" s="85">
        <f t="shared" si="132"/>
        <v>0</v>
      </c>
      <c r="BL201" s="85">
        <f t="shared" si="137"/>
        <v>0</v>
      </c>
      <c r="BM201" s="85">
        <f t="shared" si="138"/>
        <v>0</v>
      </c>
      <c r="BN201" s="85">
        <f t="shared" si="139"/>
        <v>0</v>
      </c>
      <c r="BO201" s="52" t="s">
        <v>85</v>
      </c>
      <c r="BP201" s="46"/>
      <c r="BQ201" s="46"/>
      <c r="BR201" s="47">
        <f t="shared" si="142"/>
        <v>0</v>
      </c>
      <c r="BU201" s="47">
        <f t="shared" si="141"/>
        <v>0</v>
      </c>
      <c r="BV201" s="53" t="s">
        <v>465</v>
      </c>
      <c r="BW201" s="53" t="s">
        <v>932</v>
      </c>
      <c r="BX201" s="53" t="s">
        <v>687</v>
      </c>
      <c r="BY201" s="53"/>
      <c r="BZ201" s="53"/>
    </row>
    <row r="202" spans="1:79">
      <c r="A202" s="42" t="s">
        <v>466</v>
      </c>
      <c r="B202" s="28" t="s">
        <v>903</v>
      </c>
      <c r="C202" s="28" t="s">
        <v>80</v>
      </c>
      <c r="D202" s="28" t="s">
        <v>932</v>
      </c>
      <c r="E202" s="43" t="s">
        <v>184</v>
      </c>
      <c r="F202" s="28" t="s">
        <v>901</v>
      </c>
      <c r="G202" s="44" t="s">
        <v>688</v>
      </c>
      <c r="H202" s="45">
        <v>44805</v>
      </c>
      <c r="I202" s="46" t="s">
        <v>998</v>
      </c>
      <c r="J202" s="28">
        <v>0</v>
      </c>
      <c r="K202" s="28" t="s">
        <v>415</v>
      </c>
      <c r="L202" s="28" t="s">
        <v>889</v>
      </c>
      <c r="M202" s="28" t="s">
        <v>9</v>
      </c>
      <c r="N202" s="28" t="str">
        <f t="shared" si="109"/>
        <v>AE1</v>
      </c>
      <c r="O202" s="81"/>
      <c r="P202" s="81">
        <f t="shared" si="110"/>
        <v>0</v>
      </c>
      <c r="Q202" s="81">
        <f t="shared" si="111"/>
        <v>0</v>
      </c>
      <c r="R202" s="81">
        <f t="shared" si="112"/>
        <v>0</v>
      </c>
      <c r="S202" s="81"/>
      <c r="T202" s="82">
        <f t="shared" si="113"/>
        <v>0</v>
      </c>
      <c r="U202" s="82">
        <f t="shared" si="114"/>
        <v>0</v>
      </c>
      <c r="V202" s="82">
        <f t="shared" si="115"/>
        <v>0</v>
      </c>
      <c r="W202" s="83">
        <v>0</v>
      </c>
      <c r="X202" s="83">
        <v>0</v>
      </c>
      <c r="Y202" s="83">
        <v>0</v>
      </c>
      <c r="Z202" s="84">
        <f>ROUND((IF(($O202&lt;=700000),0,IF(((VLOOKUP($M202,'Loyalty - Effec - 15July'!$B$5:$C$17,2,0)*$O202)&lt;=120000),(VLOOKUP($M202,'Loyalty - Effec - 15July'!$B$5:$C$17,2,0)*$O202),120000))),0)</f>
        <v>0</v>
      </c>
      <c r="AA202" s="84">
        <f>ROUND(VLOOKUP($M202,'Loyalty - Effec - 15July'!$B$5:$D$17,3,0)*$O202,0)</f>
        <v>0</v>
      </c>
      <c r="AB202" s="85">
        <f t="shared" si="116"/>
        <v>0</v>
      </c>
      <c r="AC202" s="86">
        <f t="shared" si="117"/>
        <v>0</v>
      </c>
      <c r="AD202" s="87">
        <f t="shared" si="118"/>
        <v>0</v>
      </c>
      <c r="AE202" s="88">
        <f t="shared" si="119"/>
        <v>0</v>
      </c>
      <c r="AF202" s="88">
        <f t="shared" si="120"/>
        <v>0</v>
      </c>
      <c r="AG202" s="49" t="s">
        <v>161</v>
      </c>
      <c r="AH202" s="49" t="s">
        <v>929</v>
      </c>
      <c r="AI202" s="50"/>
      <c r="AJ202" s="46"/>
      <c r="AK202" s="46"/>
      <c r="AL202" s="46"/>
      <c r="AM202" s="51">
        <f>IF($AL202=4,VLOOKUP($AR202,'Loyalty Incentive v1'!$L$3:$Q$15,2,FALSE),
IF($AL202=3,VLOOKUP($AR202,'Loyalty Incentive v1'!$L$3:$Q$15,3,FALSE),
IF($AL202=2,VLOOKUP($AR202,'Loyalty Incentive v1'!$L$3:$Q$15,4,FALSE),
IF($AL202=1,VLOOKUP($AR202,'Loyalty Incentive v1'!$L$3:$Q$15,5,FALSE),
IF($AL202=0,VLOOKUP($AR202,'Loyalty Incentive v1'!$L$3:$Q$15,6,FALSE),0)))))</f>
        <v>0</v>
      </c>
      <c r="AN202" s="51">
        <f>IFERROR(IF(I202&gt;="1",AM202,VLOOKUP(VALUE(I202),'Loyalty - Effec - 15July'!$I$5:$J$16,2,0)*AM202),0)</f>
        <v>0</v>
      </c>
      <c r="AO202" s="51">
        <v>0</v>
      </c>
      <c r="AP202" s="51">
        <f t="shared" si="121"/>
        <v>0</v>
      </c>
      <c r="AQ202" s="46" t="str">
        <f t="shared" si="133"/>
        <v>No</v>
      </c>
      <c r="AR202" s="46" t="str">
        <f t="shared" si="134"/>
        <v>AE1</v>
      </c>
      <c r="AS202" s="46" t="b">
        <f t="shared" si="135"/>
        <v>1</v>
      </c>
      <c r="AT202" s="82">
        <f t="shared" si="136"/>
        <v>0</v>
      </c>
      <c r="AU202" s="82">
        <f t="shared" si="122"/>
        <v>0</v>
      </c>
      <c r="AV202" s="82">
        <f t="shared" si="123"/>
        <v>0</v>
      </c>
      <c r="AW202" s="82">
        <f t="shared" si="124"/>
        <v>0</v>
      </c>
      <c r="AX202" s="85"/>
      <c r="AY202" s="82">
        <f t="shared" si="125"/>
        <v>0</v>
      </c>
      <c r="AZ202" s="82">
        <f t="shared" si="126"/>
        <v>0</v>
      </c>
      <c r="BA202" s="82">
        <f t="shared" si="127"/>
        <v>0</v>
      </c>
      <c r="BB202" s="83">
        <v>0</v>
      </c>
      <c r="BC202" s="83">
        <v>0</v>
      </c>
      <c r="BD202" s="83">
        <v>0</v>
      </c>
      <c r="BE202" s="84">
        <f>ROUND((IF(($AT202&lt;=700000),0,IF(((VLOOKUP($AR202,'Loyalty - Effec - 15July'!$B$5:$C$17,2,0)*$AT202)&lt;=120000),(VLOOKUP($AR202,'Loyalty - Effec - 15July'!$B$5:$C$17,2,0)*$AT202),120000))),0)</f>
        <v>0</v>
      </c>
      <c r="BF202" s="84">
        <f>ROUND(VLOOKUP($AR202,'Loyalty - Effec - 15July'!$B$5:$D$17,3,0)*$AT202,0)</f>
        <v>0</v>
      </c>
      <c r="BG202" s="85">
        <f t="shared" si="128"/>
        <v>0</v>
      </c>
      <c r="BH202" s="81">
        <f t="shared" si="129"/>
        <v>0</v>
      </c>
      <c r="BI202" s="85">
        <f t="shared" si="130"/>
        <v>0</v>
      </c>
      <c r="BJ202" s="85">
        <f t="shared" si="131"/>
        <v>0</v>
      </c>
      <c r="BK202" s="85">
        <f t="shared" si="132"/>
        <v>0</v>
      </c>
      <c r="BL202" s="85">
        <f t="shared" si="137"/>
        <v>0</v>
      </c>
      <c r="BM202" s="85">
        <f t="shared" si="138"/>
        <v>0</v>
      </c>
      <c r="BN202" s="85">
        <f t="shared" si="139"/>
        <v>0</v>
      </c>
      <c r="BO202" s="52" t="s">
        <v>85</v>
      </c>
      <c r="BP202" s="46"/>
      <c r="BQ202" s="46"/>
      <c r="BR202" s="47">
        <f t="shared" si="142"/>
        <v>0</v>
      </c>
      <c r="BU202" s="47">
        <f t="shared" si="141"/>
        <v>0</v>
      </c>
      <c r="BV202" s="53" t="s">
        <v>466</v>
      </c>
      <c r="BW202" s="53" t="s">
        <v>932</v>
      </c>
      <c r="BX202" s="53" t="s">
        <v>688</v>
      </c>
      <c r="BY202" s="53"/>
      <c r="BZ202" s="53"/>
    </row>
    <row r="203" spans="1:79">
      <c r="A203" s="42" t="s">
        <v>467</v>
      </c>
      <c r="B203" s="28" t="s">
        <v>79</v>
      </c>
      <c r="C203" s="28" t="s">
        <v>80</v>
      </c>
      <c r="D203" s="28" t="s">
        <v>932</v>
      </c>
      <c r="E203" s="43" t="s">
        <v>82</v>
      </c>
      <c r="F203" s="28" t="s">
        <v>901</v>
      </c>
      <c r="G203" s="44" t="s">
        <v>689</v>
      </c>
      <c r="H203" s="45">
        <v>44809</v>
      </c>
      <c r="I203" s="46" t="s">
        <v>999</v>
      </c>
      <c r="J203" s="28">
        <v>7</v>
      </c>
      <c r="K203" s="28" t="s">
        <v>93</v>
      </c>
      <c r="L203" s="28" t="s">
        <v>873</v>
      </c>
      <c r="M203" s="28" t="s">
        <v>2</v>
      </c>
      <c r="N203" s="28" t="str">
        <f t="shared" si="109"/>
        <v>AE4</v>
      </c>
      <c r="O203" s="81"/>
      <c r="P203" s="81">
        <f t="shared" si="110"/>
        <v>0</v>
      </c>
      <c r="Q203" s="81">
        <f t="shared" si="111"/>
        <v>0</v>
      </c>
      <c r="R203" s="81">
        <f t="shared" si="112"/>
        <v>0</v>
      </c>
      <c r="S203" s="81"/>
      <c r="T203" s="82">
        <f t="shared" si="113"/>
        <v>0</v>
      </c>
      <c r="U203" s="82">
        <f t="shared" si="114"/>
        <v>0</v>
      </c>
      <c r="V203" s="82">
        <f t="shared" si="115"/>
        <v>0</v>
      </c>
      <c r="W203" s="83">
        <v>0</v>
      </c>
      <c r="X203" s="83">
        <v>0</v>
      </c>
      <c r="Y203" s="83">
        <v>0</v>
      </c>
      <c r="Z203" s="84">
        <f>ROUND((IF(($O203&lt;=700000),0,IF(((VLOOKUP($M203,'Loyalty - Effec - 15July'!$B$5:$C$17,2,0)*$O203)&lt;=120000),(VLOOKUP($M203,'Loyalty - Effec - 15July'!$B$5:$C$17,2,0)*$O203),120000))),0)</f>
        <v>0</v>
      </c>
      <c r="AA203" s="84">
        <f>ROUND(VLOOKUP($M203,'Loyalty - Effec - 15July'!$B$5:$D$17,3,0)*$O203,0)</f>
        <v>0</v>
      </c>
      <c r="AB203" s="85">
        <f t="shared" si="116"/>
        <v>0</v>
      </c>
      <c r="AC203" s="86">
        <f t="shared" si="117"/>
        <v>0</v>
      </c>
      <c r="AD203" s="87">
        <f t="shared" si="118"/>
        <v>0</v>
      </c>
      <c r="AE203" s="88">
        <f t="shared" si="119"/>
        <v>0</v>
      </c>
      <c r="AF203" s="88">
        <f t="shared" si="120"/>
        <v>0</v>
      </c>
      <c r="AG203" s="49" t="s">
        <v>198</v>
      </c>
      <c r="AH203" s="49" t="s">
        <v>909</v>
      </c>
      <c r="AI203" s="50"/>
      <c r="AJ203" s="46"/>
      <c r="AK203" s="46"/>
      <c r="AL203" s="46"/>
      <c r="AM203" s="51">
        <f>IF($AL203=4,VLOOKUP($AR203,'Loyalty Incentive v1'!$L$3:$Q$15,2,FALSE),
IF($AL203=3,VLOOKUP($AR203,'Loyalty Incentive v1'!$L$3:$Q$15,3,FALSE),
IF($AL203=2,VLOOKUP($AR203,'Loyalty Incentive v1'!$L$3:$Q$15,4,FALSE),
IF($AL203=1,VLOOKUP($AR203,'Loyalty Incentive v1'!$L$3:$Q$15,5,FALSE),
IF($AL203=0,VLOOKUP($AR203,'Loyalty Incentive v1'!$L$3:$Q$15,6,FALSE),0)))))</f>
        <v>0</v>
      </c>
      <c r="AN203" s="51">
        <f>IFERROR(IF(I203&gt;="1",AM203,VLOOKUP(VALUE(I203),'Loyalty - Effec - 15July'!$I$5:$J$16,2,0)*AM203),0)</f>
        <v>0</v>
      </c>
      <c r="AO203" s="51">
        <v>0</v>
      </c>
      <c r="AP203" s="56">
        <f t="shared" si="121"/>
        <v>0</v>
      </c>
      <c r="AQ203" s="46" t="str">
        <f t="shared" si="133"/>
        <v>No</v>
      </c>
      <c r="AR203" s="46" t="str">
        <f t="shared" si="134"/>
        <v>AE4</v>
      </c>
      <c r="AS203" s="46" t="b">
        <f t="shared" si="135"/>
        <v>1</v>
      </c>
      <c r="AT203" s="82">
        <f t="shared" si="136"/>
        <v>0</v>
      </c>
      <c r="AU203" s="82">
        <f t="shared" si="122"/>
        <v>0</v>
      </c>
      <c r="AV203" s="82">
        <f t="shared" si="123"/>
        <v>0</v>
      </c>
      <c r="AW203" s="82">
        <f t="shared" si="124"/>
        <v>0</v>
      </c>
      <c r="AX203" s="85"/>
      <c r="AY203" s="82">
        <f t="shared" si="125"/>
        <v>0</v>
      </c>
      <c r="AZ203" s="82">
        <f t="shared" si="126"/>
        <v>0</v>
      </c>
      <c r="BA203" s="82">
        <f t="shared" si="127"/>
        <v>0</v>
      </c>
      <c r="BB203" s="83">
        <v>0</v>
      </c>
      <c r="BC203" s="83">
        <v>0</v>
      </c>
      <c r="BD203" s="83">
        <v>0</v>
      </c>
      <c r="BE203" s="84">
        <f>ROUND((IF(($AT203&lt;=700000),0,IF(((VLOOKUP($AR203,'Loyalty - Effec - 15July'!$B$5:$C$17,2,0)*$AT203)&lt;=120000),(VLOOKUP($AR203,'Loyalty - Effec - 15July'!$B$5:$C$17,2,0)*$AT203),120000))),0)</f>
        <v>0</v>
      </c>
      <c r="BF203" s="84">
        <f>ROUND(VLOOKUP($AR203,'Loyalty - Effec - 15July'!$B$5:$D$17,3,0)*$AT203,0)</f>
        <v>0</v>
      </c>
      <c r="BG203" s="85">
        <f t="shared" si="128"/>
        <v>0</v>
      </c>
      <c r="BH203" s="82">
        <f t="shared" si="129"/>
        <v>0</v>
      </c>
      <c r="BI203" s="85">
        <f t="shared" si="130"/>
        <v>0</v>
      </c>
      <c r="BJ203" s="85">
        <f t="shared" si="131"/>
        <v>0</v>
      </c>
      <c r="BK203" s="85">
        <f t="shared" si="132"/>
        <v>0</v>
      </c>
      <c r="BL203" s="85">
        <f t="shared" si="137"/>
        <v>0</v>
      </c>
      <c r="BM203" s="85">
        <f t="shared" si="138"/>
        <v>0</v>
      </c>
      <c r="BN203" s="85">
        <f t="shared" si="139"/>
        <v>0</v>
      </c>
      <c r="BO203" s="52" t="s">
        <v>85</v>
      </c>
      <c r="BP203" s="52" t="s">
        <v>85</v>
      </c>
      <c r="BQ203" s="46"/>
      <c r="BR203" s="47">
        <f>BG203-AT203</f>
        <v>0</v>
      </c>
      <c r="BU203" s="47">
        <f t="shared" si="141"/>
        <v>0</v>
      </c>
      <c r="BV203" s="53" t="s">
        <v>467</v>
      </c>
      <c r="BW203" s="53" t="s">
        <v>932</v>
      </c>
      <c r="BX203" s="53" t="s">
        <v>689</v>
      </c>
      <c r="BY203" s="53"/>
      <c r="BZ203" s="53"/>
    </row>
    <row r="204" spans="1:79">
      <c r="A204" s="42" t="s">
        <v>468</v>
      </c>
      <c r="B204" s="28" t="s">
        <v>79</v>
      </c>
      <c r="C204" s="28" t="s">
        <v>80</v>
      </c>
      <c r="D204" s="28" t="s">
        <v>932</v>
      </c>
      <c r="E204" s="43" t="s">
        <v>184</v>
      </c>
      <c r="F204" s="28" t="s">
        <v>901</v>
      </c>
      <c r="G204" s="44" t="s">
        <v>690</v>
      </c>
      <c r="H204" s="45">
        <v>44816</v>
      </c>
      <c r="I204" s="46" t="s">
        <v>999</v>
      </c>
      <c r="J204" s="28">
        <v>0</v>
      </c>
      <c r="K204" s="28" t="s">
        <v>396</v>
      </c>
      <c r="L204" s="28" t="s">
        <v>155</v>
      </c>
      <c r="M204" s="28" t="s">
        <v>1</v>
      </c>
      <c r="N204" s="28" t="str">
        <f t="shared" si="109"/>
        <v>AE3</v>
      </c>
      <c r="O204" s="81"/>
      <c r="P204" s="81">
        <f t="shared" si="110"/>
        <v>0</v>
      </c>
      <c r="Q204" s="81">
        <f t="shared" si="111"/>
        <v>0</v>
      </c>
      <c r="R204" s="81">
        <f t="shared" si="112"/>
        <v>0</v>
      </c>
      <c r="S204" s="81"/>
      <c r="T204" s="82">
        <f t="shared" si="113"/>
        <v>0</v>
      </c>
      <c r="U204" s="82">
        <f t="shared" si="114"/>
        <v>0</v>
      </c>
      <c r="V204" s="82">
        <f t="shared" si="115"/>
        <v>0</v>
      </c>
      <c r="W204" s="83">
        <v>0</v>
      </c>
      <c r="X204" s="83">
        <v>0</v>
      </c>
      <c r="Y204" s="83">
        <v>0</v>
      </c>
      <c r="Z204" s="84">
        <f>ROUND((IF(($O204&lt;=700000),0,IF(((VLOOKUP($M204,'Loyalty - Effec - 15July'!$B$5:$C$17,2,0)*$O204)&lt;=120000),(VLOOKUP($M204,'Loyalty - Effec - 15July'!$B$5:$C$17,2,0)*$O204),120000))),0)</f>
        <v>0</v>
      </c>
      <c r="AA204" s="84">
        <f>ROUND(VLOOKUP($M204,'Loyalty - Effec - 15July'!$B$5:$D$17,3,0)*$O204,0)</f>
        <v>0</v>
      </c>
      <c r="AB204" s="85">
        <f t="shared" si="116"/>
        <v>0</v>
      </c>
      <c r="AC204" s="86">
        <f t="shared" si="117"/>
        <v>0</v>
      </c>
      <c r="AD204" s="87">
        <f t="shared" si="118"/>
        <v>0</v>
      </c>
      <c r="AE204" s="88">
        <f t="shared" si="119"/>
        <v>0</v>
      </c>
      <c r="AF204" s="88">
        <f t="shared" si="120"/>
        <v>0</v>
      </c>
      <c r="AG204" s="49" t="s">
        <v>150</v>
      </c>
      <c r="AH204" s="49" t="s">
        <v>910</v>
      </c>
      <c r="AI204" s="50"/>
      <c r="AJ204" s="46"/>
      <c r="AK204" s="46"/>
      <c r="AL204" s="46"/>
      <c r="AM204" s="51">
        <f>IF($AL204=4,VLOOKUP($AR204,'Loyalty Incentive v1'!$L$3:$Q$15,2,FALSE),
IF($AL204=3,VLOOKUP($AR204,'Loyalty Incentive v1'!$L$3:$Q$15,3,FALSE),
IF($AL204=2,VLOOKUP($AR204,'Loyalty Incentive v1'!$L$3:$Q$15,4,FALSE),
IF($AL204=1,VLOOKUP($AR204,'Loyalty Incentive v1'!$L$3:$Q$15,5,FALSE),
IF($AL204=0,VLOOKUP($AR204,'Loyalty Incentive v1'!$L$3:$Q$15,6,FALSE),0)))))</f>
        <v>0</v>
      </c>
      <c r="AN204" s="51">
        <f>IFERROR(IF(I204&gt;="1",AM204,VLOOKUP(VALUE(I204),'Loyalty - Effec - 15July'!$I$5:$J$16,2,0)*AM204),0)</f>
        <v>0</v>
      </c>
      <c r="AO204" s="51">
        <v>0</v>
      </c>
      <c r="AP204" s="51">
        <f t="shared" si="121"/>
        <v>0</v>
      </c>
      <c r="AQ204" s="46" t="str">
        <f t="shared" si="133"/>
        <v>No</v>
      </c>
      <c r="AR204" s="46" t="str">
        <f t="shared" si="134"/>
        <v>AE3</v>
      </c>
      <c r="AS204" s="46" t="b">
        <f t="shared" si="135"/>
        <v>1</v>
      </c>
      <c r="AT204" s="82">
        <f t="shared" si="136"/>
        <v>0</v>
      </c>
      <c r="AU204" s="82">
        <f t="shared" si="122"/>
        <v>0</v>
      </c>
      <c r="AV204" s="82">
        <f t="shared" si="123"/>
        <v>0</v>
      </c>
      <c r="AW204" s="82">
        <f t="shared" si="124"/>
        <v>0</v>
      </c>
      <c r="AX204" s="85"/>
      <c r="AY204" s="82">
        <f t="shared" si="125"/>
        <v>0</v>
      </c>
      <c r="AZ204" s="82">
        <f t="shared" si="126"/>
        <v>0</v>
      </c>
      <c r="BA204" s="82">
        <f t="shared" si="127"/>
        <v>0</v>
      </c>
      <c r="BB204" s="83">
        <v>0</v>
      </c>
      <c r="BC204" s="83">
        <v>0</v>
      </c>
      <c r="BD204" s="83">
        <v>0</v>
      </c>
      <c r="BE204" s="84">
        <f>ROUND((IF(($AT204&lt;=700000),0,IF(((VLOOKUP($AR204,'Loyalty - Effec - 15July'!$B$5:$C$17,2,0)*$AT204)&lt;=120000),(VLOOKUP($AR204,'Loyalty - Effec - 15July'!$B$5:$C$17,2,0)*$AT204),120000))),0)</f>
        <v>0</v>
      </c>
      <c r="BF204" s="84">
        <f>ROUND(VLOOKUP($AR204,'Loyalty - Effec - 15July'!$B$5:$D$17,3,0)*$AT204,0)</f>
        <v>0</v>
      </c>
      <c r="BG204" s="85">
        <f t="shared" si="128"/>
        <v>0</v>
      </c>
      <c r="BH204" s="81">
        <f t="shared" si="129"/>
        <v>0</v>
      </c>
      <c r="BI204" s="85">
        <f t="shared" si="130"/>
        <v>0</v>
      </c>
      <c r="BJ204" s="85">
        <f t="shared" si="131"/>
        <v>0</v>
      </c>
      <c r="BK204" s="85">
        <f t="shared" si="132"/>
        <v>0</v>
      </c>
      <c r="BL204" s="85">
        <f t="shared" si="137"/>
        <v>0</v>
      </c>
      <c r="BM204" s="85">
        <f t="shared" si="138"/>
        <v>0</v>
      </c>
      <c r="BN204" s="85">
        <f t="shared" si="139"/>
        <v>0</v>
      </c>
      <c r="BO204" s="52" t="s">
        <v>85</v>
      </c>
      <c r="BP204" s="46"/>
      <c r="BQ204" s="46"/>
      <c r="BR204" s="47">
        <f>BG204-AT204</f>
        <v>0</v>
      </c>
      <c r="BU204" s="47">
        <f t="shared" si="141"/>
        <v>0</v>
      </c>
      <c r="BV204" s="53" t="s">
        <v>468</v>
      </c>
      <c r="BW204" s="53" t="s">
        <v>932</v>
      </c>
      <c r="BX204" s="53" t="s">
        <v>690</v>
      </c>
      <c r="BY204" s="53"/>
      <c r="BZ204" s="53"/>
    </row>
    <row r="205" spans="1:79">
      <c r="A205" s="42" t="s">
        <v>469</v>
      </c>
      <c r="B205" s="28" t="s">
        <v>79</v>
      </c>
      <c r="C205" s="28" t="s">
        <v>80</v>
      </c>
      <c r="D205" s="28" t="s">
        <v>932</v>
      </c>
      <c r="E205" s="43" t="s">
        <v>82</v>
      </c>
      <c r="F205" s="28" t="s">
        <v>901</v>
      </c>
      <c r="G205" s="44" t="s">
        <v>691</v>
      </c>
      <c r="H205" s="45">
        <v>44816</v>
      </c>
      <c r="I205" s="46" t="s">
        <v>999</v>
      </c>
      <c r="J205" s="28">
        <v>5</v>
      </c>
      <c r="K205" s="28" t="s">
        <v>93</v>
      </c>
      <c r="L205" s="28" t="s">
        <v>873</v>
      </c>
      <c r="M205" s="28" t="s">
        <v>2</v>
      </c>
      <c r="N205" s="28" t="str">
        <f t="shared" si="109"/>
        <v>AE4</v>
      </c>
      <c r="O205" s="81"/>
      <c r="P205" s="81">
        <f t="shared" si="110"/>
        <v>0</v>
      </c>
      <c r="Q205" s="81">
        <f t="shared" si="111"/>
        <v>0</v>
      </c>
      <c r="R205" s="81">
        <f t="shared" si="112"/>
        <v>0</v>
      </c>
      <c r="S205" s="81"/>
      <c r="T205" s="82">
        <f t="shared" si="113"/>
        <v>0</v>
      </c>
      <c r="U205" s="82">
        <f t="shared" si="114"/>
        <v>0</v>
      </c>
      <c r="V205" s="82">
        <f t="shared" si="115"/>
        <v>0</v>
      </c>
      <c r="W205" s="83">
        <v>0</v>
      </c>
      <c r="X205" s="83">
        <v>0</v>
      </c>
      <c r="Y205" s="83">
        <v>0</v>
      </c>
      <c r="Z205" s="84">
        <f>ROUND((IF(($O205&lt;=700000),0,IF(((VLOOKUP($M205,'Loyalty - Effec - 15July'!$B$5:$C$17,2,0)*$O205)&lt;=120000),(VLOOKUP($M205,'Loyalty - Effec - 15July'!$B$5:$C$17,2,0)*$O205),120000))),0)</f>
        <v>0</v>
      </c>
      <c r="AA205" s="84">
        <f>ROUND(VLOOKUP($M205,'Loyalty - Effec - 15July'!$B$5:$D$17,3,0)*$O205,0)</f>
        <v>0</v>
      </c>
      <c r="AB205" s="85">
        <f t="shared" si="116"/>
        <v>0</v>
      </c>
      <c r="AC205" s="86">
        <f t="shared" si="117"/>
        <v>0</v>
      </c>
      <c r="AD205" s="87">
        <f t="shared" si="118"/>
        <v>0</v>
      </c>
      <c r="AE205" s="88">
        <f t="shared" si="119"/>
        <v>0</v>
      </c>
      <c r="AF205" s="88">
        <f t="shared" si="120"/>
        <v>0</v>
      </c>
      <c r="AG205" s="49" t="s">
        <v>303</v>
      </c>
      <c r="AH205" s="49" t="s">
        <v>126</v>
      </c>
      <c r="AI205" s="50"/>
      <c r="AJ205" s="46"/>
      <c r="AK205" s="46"/>
      <c r="AL205" s="46"/>
      <c r="AM205" s="51">
        <f>IF($AL205=4,VLOOKUP($AR205,'Loyalty Incentive v1'!$L$3:$Q$15,2,FALSE),
IF($AL205=3,VLOOKUP($AR205,'Loyalty Incentive v1'!$L$3:$Q$15,3,FALSE),
IF($AL205=2,VLOOKUP($AR205,'Loyalty Incentive v1'!$L$3:$Q$15,4,FALSE),
IF($AL205=1,VLOOKUP($AR205,'Loyalty Incentive v1'!$L$3:$Q$15,5,FALSE),
IF($AL205=0,VLOOKUP($AR205,'Loyalty Incentive v1'!$L$3:$Q$15,6,FALSE),0)))))</f>
        <v>0</v>
      </c>
      <c r="AN205" s="51">
        <f>IFERROR(IF(I205&gt;="1",AM205,VLOOKUP(VALUE(I205),'Loyalty - Effec - 15July'!$I$5:$J$16,2,0)*AM205),0)</f>
        <v>0</v>
      </c>
      <c r="AO205" s="51">
        <v>0</v>
      </c>
      <c r="AP205" s="56">
        <f t="shared" si="121"/>
        <v>0</v>
      </c>
      <c r="AQ205" s="46" t="str">
        <f t="shared" si="133"/>
        <v>No</v>
      </c>
      <c r="AR205" s="46" t="str">
        <f t="shared" si="134"/>
        <v>AE4</v>
      </c>
      <c r="AS205" s="46" t="b">
        <f t="shared" si="135"/>
        <v>1</v>
      </c>
      <c r="AT205" s="82">
        <f t="shared" si="136"/>
        <v>0</v>
      </c>
      <c r="AU205" s="82">
        <f t="shared" si="122"/>
        <v>0</v>
      </c>
      <c r="AV205" s="82">
        <f t="shared" si="123"/>
        <v>0</v>
      </c>
      <c r="AW205" s="82">
        <f t="shared" si="124"/>
        <v>0</v>
      </c>
      <c r="AX205" s="85"/>
      <c r="AY205" s="82">
        <f t="shared" si="125"/>
        <v>0</v>
      </c>
      <c r="AZ205" s="82">
        <f t="shared" si="126"/>
        <v>0</v>
      </c>
      <c r="BA205" s="82">
        <f t="shared" si="127"/>
        <v>0</v>
      </c>
      <c r="BB205" s="83">
        <v>0</v>
      </c>
      <c r="BC205" s="83">
        <v>0</v>
      </c>
      <c r="BD205" s="83">
        <v>0</v>
      </c>
      <c r="BE205" s="84">
        <f>ROUND((IF(($AT205&lt;=700000),0,IF(((VLOOKUP($AR205,'Loyalty - Effec - 15July'!$B$5:$C$17,2,0)*$AT205)&lt;=120000),(VLOOKUP($AR205,'Loyalty - Effec - 15July'!$B$5:$C$17,2,0)*$AT205),120000))),0)</f>
        <v>0</v>
      </c>
      <c r="BF205" s="84">
        <f>ROUND(VLOOKUP($AR205,'Loyalty - Effec - 15July'!$B$5:$D$17,3,0)*$AT205,0)</f>
        <v>0</v>
      </c>
      <c r="BG205" s="85">
        <f t="shared" si="128"/>
        <v>0</v>
      </c>
      <c r="BH205" s="82">
        <f t="shared" si="129"/>
        <v>0</v>
      </c>
      <c r="BI205" s="85">
        <f t="shared" si="130"/>
        <v>0</v>
      </c>
      <c r="BJ205" s="85">
        <f t="shared" si="131"/>
        <v>0</v>
      </c>
      <c r="BK205" s="85">
        <f t="shared" si="132"/>
        <v>0</v>
      </c>
      <c r="BL205" s="85">
        <f t="shared" si="137"/>
        <v>0</v>
      </c>
      <c r="BM205" s="85">
        <f t="shared" si="138"/>
        <v>0</v>
      </c>
      <c r="BN205" s="85">
        <f t="shared" si="139"/>
        <v>0</v>
      </c>
      <c r="BO205" s="52" t="s">
        <v>85</v>
      </c>
      <c r="BP205" s="46"/>
      <c r="BQ205" s="46"/>
      <c r="BR205" s="47">
        <f>BG205-AT205</f>
        <v>0</v>
      </c>
      <c r="BU205" s="47">
        <f t="shared" si="141"/>
        <v>0</v>
      </c>
      <c r="BV205" s="53" t="s">
        <v>469</v>
      </c>
      <c r="BW205" s="53" t="s">
        <v>932</v>
      </c>
      <c r="BX205" s="53" t="s">
        <v>691</v>
      </c>
      <c r="BY205" s="53"/>
      <c r="BZ205" s="53"/>
    </row>
    <row r="206" spans="1:79">
      <c r="A206" s="42" t="s">
        <v>470</v>
      </c>
      <c r="B206" s="28" t="s">
        <v>79</v>
      </c>
      <c r="C206" s="28" t="s">
        <v>80</v>
      </c>
      <c r="D206" s="28" t="s">
        <v>932</v>
      </c>
      <c r="E206" s="43" t="s">
        <v>82</v>
      </c>
      <c r="F206" s="28" t="s">
        <v>901</v>
      </c>
      <c r="G206" s="44" t="s">
        <v>692</v>
      </c>
      <c r="H206" s="45">
        <v>44816</v>
      </c>
      <c r="I206" s="46" t="s">
        <v>999</v>
      </c>
      <c r="J206" s="28">
        <v>5</v>
      </c>
      <c r="K206" s="28" t="s">
        <v>93</v>
      </c>
      <c r="L206" s="28" t="s">
        <v>873</v>
      </c>
      <c r="M206" s="28" t="s">
        <v>2</v>
      </c>
      <c r="N206" s="28" t="str">
        <f t="shared" si="109"/>
        <v>AE4</v>
      </c>
      <c r="O206" s="81"/>
      <c r="P206" s="81">
        <f t="shared" si="110"/>
        <v>0</v>
      </c>
      <c r="Q206" s="81">
        <f t="shared" si="111"/>
        <v>0</v>
      </c>
      <c r="R206" s="81">
        <f t="shared" si="112"/>
        <v>0</v>
      </c>
      <c r="S206" s="81"/>
      <c r="T206" s="82">
        <f t="shared" si="113"/>
        <v>0</v>
      </c>
      <c r="U206" s="82">
        <f t="shared" si="114"/>
        <v>0</v>
      </c>
      <c r="V206" s="82">
        <f t="shared" si="115"/>
        <v>0</v>
      </c>
      <c r="W206" s="83">
        <v>0</v>
      </c>
      <c r="X206" s="83">
        <v>0</v>
      </c>
      <c r="Y206" s="83">
        <v>0</v>
      </c>
      <c r="Z206" s="84">
        <f>ROUND((IF(($O206&lt;=700000),0,IF(((VLOOKUP($M206,'Loyalty - Effec - 15July'!$B$5:$C$17,2,0)*$O206)&lt;=120000),(VLOOKUP($M206,'Loyalty - Effec - 15July'!$B$5:$C$17,2,0)*$O206),120000))),0)</f>
        <v>0</v>
      </c>
      <c r="AA206" s="84">
        <f>ROUND(VLOOKUP($M206,'Loyalty - Effec - 15July'!$B$5:$D$17,3,0)*$O206,0)</f>
        <v>0</v>
      </c>
      <c r="AB206" s="85">
        <f t="shared" si="116"/>
        <v>0</v>
      </c>
      <c r="AC206" s="86">
        <f t="shared" si="117"/>
        <v>0</v>
      </c>
      <c r="AD206" s="87">
        <f t="shared" si="118"/>
        <v>0</v>
      </c>
      <c r="AE206" s="88">
        <f t="shared" si="119"/>
        <v>0</v>
      </c>
      <c r="AF206" s="88">
        <f t="shared" si="120"/>
        <v>0</v>
      </c>
      <c r="AG206" s="49" t="s">
        <v>206</v>
      </c>
      <c r="AH206" s="49" t="s">
        <v>126</v>
      </c>
      <c r="AI206" s="50"/>
      <c r="AJ206" s="46"/>
      <c r="AK206" s="46"/>
      <c r="AL206" s="46"/>
      <c r="AM206" s="51">
        <f>IF($AL206=4,VLOOKUP($AR206,'Loyalty Incentive v1'!$L$3:$Q$15,2,FALSE),
IF($AL206=3,VLOOKUP($AR206,'Loyalty Incentive v1'!$L$3:$Q$15,3,FALSE),
IF($AL206=2,VLOOKUP($AR206,'Loyalty Incentive v1'!$L$3:$Q$15,4,FALSE),
IF($AL206=1,VLOOKUP($AR206,'Loyalty Incentive v1'!$L$3:$Q$15,5,FALSE),
IF($AL206=0,VLOOKUP($AR206,'Loyalty Incentive v1'!$L$3:$Q$15,6,FALSE),0)))))</f>
        <v>0</v>
      </c>
      <c r="AN206" s="51">
        <f>IFERROR(IF(I206&gt;="1",AM206,VLOOKUP(VALUE(I206),'Loyalty - Effec - 15July'!$I$5:$J$16,2,0)*AM206),0)</f>
        <v>0</v>
      </c>
      <c r="AO206" s="51">
        <v>0</v>
      </c>
      <c r="AP206" s="51">
        <f t="shared" si="121"/>
        <v>0</v>
      </c>
      <c r="AQ206" s="46" t="str">
        <f t="shared" si="133"/>
        <v>No</v>
      </c>
      <c r="AR206" s="46" t="str">
        <f t="shared" si="134"/>
        <v>AE4</v>
      </c>
      <c r="AS206" s="46" t="b">
        <f t="shared" si="135"/>
        <v>1</v>
      </c>
      <c r="AT206" s="82">
        <f t="shared" si="136"/>
        <v>0</v>
      </c>
      <c r="AU206" s="82">
        <f t="shared" si="122"/>
        <v>0</v>
      </c>
      <c r="AV206" s="82">
        <f t="shared" si="123"/>
        <v>0</v>
      </c>
      <c r="AW206" s="82">
        <f t="shared" si="124"/>
        <v>0</v>
      </c>
      <c r="AX206" s="85"/>
      <c r="AY206" s="82">
        <f t="shared" si="125"/>
        <v>0</v>
      </c>
      <c r="AZ206" s="82">
        <f t="shared" si="126"/>
        <v>0</v>
      </c>
      <c r="BA206" s="82">
        <f t="shared" si="127"/>
        <v>0</v>
      </c>
      <c r="BB206" s="83">
        <v>0</v>
      </c>
      <c r="BC206" s="83">
        <v>0</v>
      </c>
      <c r="BD206" s="83">
        <v>0</v>
      </c>
      <c r="BE206" s="84">
        <f>ROUND((IF(($AT206&lt;=700000),0,IF(((VLOOKUP($AR206,'Loyalty - Effec - 15July'!$B$5:$C$17,2,0)*$AT206)&lt;=120000),(VLOOKUP($AR206,'Loyalty - Effec - 15July'!$B$5:$C$17,2,0)*$AT206),120000))),0)</f>
        <v>0</v>
      </c>
      <c r="BF206" s="84">
        <f>ROUND(VLOOKUP($AR206,'Loyalty - Effec - 15July'!$B$5:$D$17,3,0)*$AT206,0)</f>
        <v>0</v>
      </c>
      <c r="BG206" s="85">
        <f t="shared" si="128"/>
        <v>0</v>
      </c>
      <c r="BH206" s="81">
        <f t="shared" si="129"/>
        <v>0</v>
      </c>
      <c r="BI206" s="85">
        <f t="shared" si="130"/>
        <v>0</v>
      </c>
      <c r="BJ206" s="85">
        <f t="shared" si="131"/>
        <v>0</v>
      </c>
      <c r="BK206" s="85">
        <f t="shared" si="132"/>
        <v>0</v>
      </c>
      <c r="BL206" s="85">
        <f t="shared" si="137"/>
        <v>0</v>
      </c>
      <c r="BM206" s="85">
        <f t="shared" si="138"/>
        <v>0</v>
      </c>
      <c r="BN206" s="85">
        <f t="shared" si="139"/>
        <v>0</v>
      </c>
      <c r="BO206" s="52" t="s">
        <v>85</v>
      </c>
      <c r="BP206" s="46"/>
      <c r="BQ206" s="46"/>
      <c r="BR206" s="47">
        <f t="shared" ref="BR206:BR236" si="143">BG206-AB206</f>
        <v>0</v>
      </c>
      <c r="BU206" s="47">
        <f t="shared" si="141"/>
        <v>0</v>
      </c>
      <c r="BV206" s="53" t="s">
        <v>470</v>
      </c>
      <c r="BW206" s="53" t="s">
        <v>932</v>
      </c>
      <c r="BX206" s="53" t="s">
        <v>692</v>
      </c>
      <c r="BY206" s="53"/>
      <c r="BZ206" s="53"/>
    </row>
    <row r="207" spans="1:79">
      <c r="A207" s="42" t="s">
        <v>471</v>
      </c>
      <c r="B207" s="28" t="s">
        <v>79</v>
      </c>
      <c r="C207" s="28" t="s">
        <v>80</v>
      </c>
      <c r="D207" s="28" t="s">
        <v>932</v>
      </c>
      <c r="E207" s="43" t="s">
        <v>82</v>
      </c>
      <c r="F207" s="28" t="s">
        <v>901</v>
      </c>
      <c r="G207" s="44" t="s">
        <v>693</v>
      </c>
      <c r="H207" s="45">
        <v>44816</v>
      </c>
      <c r="I207" s="46" t="s">
        <v>999</v>
      </c>
      <c r="J207" s="28">
        <v>5</v>
      </c>
      <c r="K207" s="28" t="s">
        <v>418</v>
      </c>
      <c r="L207" s="28" t="s">
        <v>416</v>
      </c>
      <c r="M207" s="28" t="s">
        <v>10</v>
      </c>
      <c r="N207" s="28" t="str">
        <f t="shared" si="109"/>
        <v>E3</v>
      </c>
      <c r="O207" s="81"/>
      <c r="P207" s="81">
        <f t="shared" si="110"/>
        <v>0</v>
      </c>
      <c r="Q207" s="81">
        <f t="shared" si="111"/>
        <v>0</v>
      </c>
      <c r="R207" s="81">
        <f t="shared" si="112"/>
        <v>0</v>
      </c>
      <c r="S207" s="81"/>
      <c r="T207" s="82">
        <f t="shared" si="113"/>
        <v>0</v>
      </c>
      <c r="U207" s="82">
        <f t="shared" si="114"/>
        <v>0</v>
      </c>
      <c r="V207" s="82">
        <f t="shared" si="115"/>
        <v>0</v>
      </c>
      <c r="W207" s="83">
        <v>0</v>
      </c>
      <c r="X207" s="83">
        <v>0</v>
      </c>
      <c r="Y207" s="83">
        <v>0</v>
      </c>
      <c r="Z207" s="84">
        <f>ROUND((IF(($O207&lt;=700000),0,IF(((VLOOKUP($M207,'Loyalty - Effec - 15July'!$B$5:$C$17,2,0)*$O207)&lt;=120000),(VLOOKUP($M207,'Loyalty - Effec - 15July'!$B$5:$C$17,2,0)*$O207),120000))),0)</f>
        <v>0</v>
      </c>
      <c r="AA207" s="84">
        <f>ROUND(VLOOKUP($M207,'Loyalty - Effec - 15July'!$B$5:$D$17,3,0)*$O207,0)</f>
        <v>0</v>
      </c>
      <c r="AB207" s="85">
        <f t="shared" si="116"/>
        <v>0</v>
      </c>
      <c r="AC207" s="86">
        <f t="shared" si="117"/>
        <v>0</v>
      </c>
      <c r="AD207" s="87">
        <f t="shared" si="118"/>
        <v>0</v>
      </c>
      <c r="AE207" s="88">
        <f t="shared" si="119"/>
        <v>0</v>
      </c>
      <c r="AF207" s="88">
        <f t="shared" si="120"/>
        <v>0</v>
      </c>
      <c r="AG207" s="49" t="s">
        <v>809</v>
      </c>
      <c r="AH207" s="49" t="s">
        <v>904</v>
      </c>
      <c r="AI207" s="50"/>
      <c r="AJ207" s="46"/>
      <c r="AK207" s="46"/>
      <c r="AL207" s="46"/>
      <c r="AM207" s="51">
        <f>IF($AL207=4,VLOOKUP($AR207,'Loyalty Incentive v1'!$L$3:$Q$15,2,FALSE),
IF($AL207=3,VLOOKUP($AR207,'Loyalty Incentive v1'!$L$3:$Q$15,3,FALSE),
IF($AL207=2,VLOOKUP($AR207,'Loyalty Incentive v1'!$L$3:$Q$15,4,FALSE),
IF($AL207=1,VLOOKUP($AR207,'Loyalty Incentive v1'!$L$3:$Q$15,5,FALSE),
IF($AL207=0,VLOOKUP($AR207,'Loyalty Incentive v1'!$L$3:$Q$15,6,FALSE),0)))))</f>
        <v>0</v>
      </c>
      <c r="AN207" s="51">
        <f>IFERROR(IF(I207&gt;="1",AM207,VLOOKUP(VALUE(I207),'Loyalty - Effec - 15July'!$I$5:$J$16,2,0)*AM207),0)</f>
        <v>0</v>
      </c>
      <c r="AO207" s="51">
        <v>0</v>
      </c>
      <c r="AP207" s="51">
        <f t="shared" si="121"/>
        <v>0</v>
      </c>
      <c r="AQ207" s="46" t="str">
        <f t="shared" si="133"/>
        <v>No</v>
      </c>
      <c r="AR207" s="46" t="str">
        <f t="shared" si="134"/>
        <v>E3</v>
      </c>
      <c r="AS207" s="46" t="b">
        <f t="shared" si="135"/>
        <v>1</v>
      </c>
      <c r="AT207" s="82">
        <f t="shared" si="136"/>
        <v>0</v>
      </c>
      <c r="AU207" s="82">
        <f t="shared" si="122"/>
        <v>0</v>
      </c>
      <c r="AV207" s="82">
        <f t="shared" si="123"/>
        <v>0</v>
      </c>
      <c r="AW207" s="82">
        <f t="shared" si="124"/>
        <v>0</v>
      </c>
      <c r="AX207" s="85"/>
      <c r="AY207" s="82">
        <f t="shared" si="125"/>
        <v>0</v>
      </c>
      <c r="AZ207" s="82">
        <f t="shared" si="126"/>
        <v>0</v>
      </c>
      <c r="BA207" s="82">
        <f t="shared" si="127"/>
        <v>0</v>
      </c>
      <c r="BB207" s="83">
        <v>0</v>
      </c>
      <c r="BC207" s="83">
        <v>0</v>
      </c>
      <c r="BD207" s="83">
        <v>0</v>
      </c>
      <c r="BE207" s="84">
        <f>ROUND((IF(($AT207&lt;=700000),0,IF(((VLOOKUP($AR207,'Loyalty - Effec - 15July'!$B$5:$C$17,2,0)*$AT207)&lt;=120000),(VLOOKUP($AR207,'Loyalty - Effec - 15July'!$B$5:$C$17,2,0)*$AT207),120000))),0)</f>
        <v>0</v>
      </c>
      <c r="BF207" s="84">
        <f>ROUND(VLOOKUP($AR207,'Loyalty - Effec - 15July'!$B$5:$D$17,3,0)*$AT207,0)</f>
        <v>0</v>
      </c>
      <c r="BG207" s="85">
        <f t="shared" si="128"/>
        <v>0</v>
      </c>
      <c r="BH207" s="81">
        <f t="shared" si="129"/>
        <v>0</v>
      </c>
      <c r="BI207" s="85">
        <f t="shared" si="130"/>
        <v>0</v>
      </c>
      <c r="BJ207" s="85">
        <f t="shared" si="131"/>
        <v>0</v>
      </c>
      <c r="BK207" s="85">
        <f t="shared" si="132"/>
        <v>0</v>
      </c>
      <c r="BL207" s="85">
        <f t="shared" si="137"/>
        <v>0</v>
      </c>
      <c r="BM207" s="85">
        <f t="shared" si="138"/>
        <v>0</v>
      </c>
      <c r="BN207" s="85">
        <f t="shared" si="139"/>
        <v>0</v>
      </c>
      <c r="BO207" s="52" t="s">
        <v>85</v>
      </c>
      <c r="BP207" s="46"/>
      <c r="BQ207" s="46"/>
      <c r="BR207" s="47">
        <f t="shared" si="143"/>
        <v>0</v>
      </c>
      <c r="BU207" s="47">
        <f t="shared" si="141"/>
        <v>0</v>
      </c>
      <c r="BV207" s="53" t="s">
        <v>471</v>
      </c>
      <c r="BW207" s="53" t="s">
        <v>932</v>
      </c>
      <c r="BX207" s="53" t="s">
        <v>693</v>
      </c>
      <c r="BY207" s="53"/>
      <c r="BZ207" s="53"/>
    </row>
    <row r="208" spans="1:79">
      <c r="A208" s="42" t="s">
        <v>472</v>
      </c>
      <c r="B208" s="28" t="s">
        <v>79</v>
      </c>
      <c r="C208" s="28" t="s">
        <v>80</v>
      </c>
      <c r="D208" s="28" t="s">
        <v>932</v>
      </c>
      <c r="E208" s="43" t="s">
        <v>82</v>
      </c>
      <c r="F208" s="28" t="s">
        <v>901</v>
      </c>
      <c r="G208" s="44" t="s">
        <v>694</v>
      </c>
      <c r="H208" s="45">
        <v>44823</v>
      </c>
      <c r="I208" s="46" t="s">
        <v>999</v>
      </c>
      <c r="J208" s="28">
        <v>4</v>
      </c>
      <c r="K208" s="28" t="s">
        <v>93</v>
      </c>
      <c r="L208" s="28" t="s">
        <v>873</v>
      </c>
      <c r="M208" s="28" t="s">
        <v>2</v>
      </c>
      <c r="N208" s="28" t="str">
        <f t="shared" si="109"/>
        <v>AE4</v>
      </c>
      <c r="O208" s="81"/>
      <c r="P208" s="81">
        <f t="shared" si="110"/>
        <v>0</v>
      </c>
      <c r="Q208" s="81">
        <f t="shared" si="111"/>
        <v>0</v>
      </c>
      <c r="R208" s="81">
        <f t="shared" si="112"/>
        <v>0</v>
      </c>
      <c r="S208" s="81"/>
      <c r="T208" s="82">
        <f t="shared" si="113"/>
        <v>0</v>
      </c>
      <c r="U208" s="82">
        <f t="shared" si="114"/>
        <v>0</v>
      </c>
      <c r="V208" s="82">
        <f t="shared" si="115"/>
        <v>0</v>
      </c>
      <c r="W208" s="83">
        <v>0</v>
      </c>
      <c r="X208" s="83">
        <v>0</v>
      </c>
      <c r="Y208" s="83">
        <v>0</v>
      </c>
      <c r="Z208" s="84">
        <f>ROUND((IF(($O208&lt;=700000),0,IF(((VLOOKUP($M208,'Loyalty - Effec - 15July'!$B$5:$C$17,2,0)*$O208)&lt;=120000),(VLOOKUP($M208,'Loyalty - Effec - 15July'!$B$5:$C$17,2,0)*$O208),120000))),0)</f>
        <v>0</v>
      </c>
      <c r="AA208" s="84">
        <f>ROUND(VLOOKUP($M208,'Loyalty - Effec - 15July'!$B$5:$D$17,3,0)*$O208,0)</f>
        <v>0</v>
      </c>
      <c r="AB208" s="85">
        <f t="shared" si="116"/>
        <v>0</v>
      </c>
      <c r="AC208" s="86">
        <f t="shared" si="117"/>
        <v>0</v>
      </c>
      <c r="AD208" s="87">
        <f t="shared" si="118"/>
        <v>0</v>
      </c>
      <c r="AE208" s="88">
        <f t="shared" si="119"/>
        <v>0</v>
      </c>
      <c r="AF208" s="88">
        <f t="shared" si="120"/>
        <v>0</v>
      </c>
      <c r="AG208" s="49" t="s">
        <v>278</v>
      </c>
      <c r="AH208" s="49" t="s">
        <v>811</v>
      </c>
      <c r="AI208" s="50"/>
      <c r="AJ208" s="46"/>
      <c r="AK208" s="46"/>
      <c r="AL208" s="46"/>
      <c r="AM208" s="51">
        <f>IF($AL208=4,VLOOKUP($AR208,'Loyalty Incentive v1'!$L$3:$Q$15,2,FALSE),
IF($AL208=3,VLOOKUP($AR208,'Loyalty Incentive v1'!$L$3:$Q$15,3,FALSE),
IF($AL208=2,VLOOKUP($AR208,'Loyalty Incentive v1'!$L$3:$Q$15,4,FALSE),
IF($AL208=1,VLOOKUP($AR208,'Loyalty Incentive v1'!$L$3:$Q$15,5,FALSE),
IF($AL208=0,VLOOKUP($AR208,'Loyalty Incentive v1'!$L$3:$Q$15,6,FALSE),0)))))</f>
        <v>0</v>
      </c>
      <c r="AN208" s="51">
        <f>IFERROR(IF(I208&gt;="1",AM208,VLOOKUP(VALUE(I208),'Loyalty - Effec - 15July'!$I$5:$J$16,2,0)*AM208),0)</f>
        <v>0</v>
      </c>
      <c r="AO208" s="51">
        <v>0</v>
      </c>
      <c r="AP208" s="51">
        <f t="shared" si="121"/>
        <v>0</v>
      </c>
      <c r="AQ208" s="46" t="str">
        <f t="shared" si="133"/>
        <v>No</v>
      </c>
      <c r="AR208" s="46" t="str">
        <f t="shared" si="134"/>
        <v>AE4</v>
      </c>
      <c r="AS208" s="46" t="b">
        <f t="shared" si="135"/>
        <v>1</v>
      </c>
      <c r="AT208" s="82">
        <f t="shared" si="136"/>
        <v>0</v>
      </c>
      <c r="AU208" s="82">
        <f t="shared" si="122"/>
        <v>0</v>
      </c>
      <c r="AV208" s="82">
        <f t="shared" si="123"/>
        <v>0</v>
      </c>
      <c r="AW208" s="82">
        <f t="shared" si="124"/>
        <v>0</v>
      </c>
      <c r="AX208" s="85"/>
      <c r="AY208" s="82">
        <f t="shared" si="125"/>
        <v>0</v>
      </c>
      <c r="AZ208" s="82">
        <f t="shared" si="126"/>
        <v>0</v>
      </c>
      <c r="BA208" s="82">
        <f t="shared" si="127"/>
        <v>0</v>
      </c>
      <c r="BB208" s="83">
        <v>0</v>
      </c>
      <c r="BC208" s="83">
        <v>0</v>
      </c>
      <c r="BD208" s="83">
        <v>0</v>
      </c>
      <c r="BE208" s="84">
        <f>ROUND((IF(($AT208&lt;=700000),0,IF(((VLOOKUP($AR208,'Loyalty - Effec - 15July'!$B$5:$C$17,2,0)*$AT208)&lt;=120000),(VLOOKUP($AR208,'Loyalty - Effec - 15July'!$B$5:$C$17,2,0)*$AT208),120000))),0)</f>
        <v>0</v>
      </c>
      <c r="BF208" s="84">
        <f>ROUND(VLOOKUP($AR208,'Loyalty - Effec - 15July'!$B$5:$D$17,3,0)*$AT208,0)</f>
        <v>0</v>
      </c>
      <c r="BG208" s="85">
        <f t="shared" si="128"/>
        <v>0</v>
      </c>
      <c r="BH208" s="81">
        <f t="shared" si="129"/>
        <v>0</v>
      </c>
      <c r="BI208" s="85">
        <f t="shared" si="130"/>
        <v>0</v>
      </c>
      <c r="BJ208" s="85">
        <f t="shared" si="131"/>
        <v>0</v>
      </c>
      <c r="BK208" s="85">
        <f t="shared" si="132"/>
        <v>0</v>
      </c>
      <c r="BL208" s="85">
        <f t="shared" si="137"/>
        <v>0</v>
      </c>
      <c r="BM208" s="85">
        <f t="shared" si="138"/>
        <v>0</v>
      </c>
      <c r="BN208" s="85">
        <f t="shared" si="139"/>
        <v>0</v>
      </c>
      <c r="BO208" s="52" t="s">
        <v>85</v>
      </c>
      <c r="BP208" s="46"/>
      <c r="BQ208" s="46"/>
      <c r="BR208" s="47">
        <f t="shared" si="143"/>
        <v>0</v>
      </c>
      <c r="BU208" s="47">
        <f t="shared" si="141"/>
        <v>0</v>
      </c>
      <c r="BV208" s="53" t="s">
        <v>472</v>
      </c>
      <c r="BW208" s="53" t="s">
        <v>932</v>
      </c>
      <c r="BX208" s="53" t="s">
        <v>694</v>
      </c>
      <c r="BY208" s="53"/>
      <c r="BZ208" s="53"/>
    </row>
    <row r="209" spans="1:79">
      <c r="A209" s="42" t="s">
        <v>473</v>
      </c>
      <c r="B209" s="28" t="s">
        <v>79</v>
      </c>
      <c r="C209" s="28" t="s">
        <v>80</v>
      </c>
      <c r="D209" s="28" t="s">
        <v>932</v>
      </c>
      <c r="E209" s="43" t="s">
        <v>82</v>
      </c>
      <c r="F209" s="28" t="s">
        <v>901</v>
      </c>
      <c r="G209" s="44" t="s">
        <v>695</v>
      </c>
      <c r="H209" s="45">
        <v>44837</v>
      </c>
      <c r="I209" s="46" t="s">
        <v>1000</v>
      </c>
      <c r="J209" s="28">
        <v>5.3</v>
      </c>
      <c r="K209" s="28" t="s">
        <v>396</v>
      </c>
      <c r="L209" s="28" t="s">
        <v>155</v>
      </c>
      <c r="M209" s="28" t="s">
        <v>2</v>
      </c>
      <c r="N209" s="28" t="str">
        <f t="shared" si="109"/>
        <v>AE4</v>
      </c>
      <c r="O209" s="81"/>
      <c r="P209" s="81">
        <f t="shared" si="110"/>
        <v>0</v>
      </c>
      <c r="Q209" s="81">
        <f t="shared" si="111"/>
        <v>0</v>
      </c>
      <c r="R209" s="81">
        <f t="shared" si="112"/>
        <v>0</v>
      </c>
      <c r="S209" s="81"/>
      <c r="T209" s="82">
        <f t="shared" si="113"/>
        <v>0</v>
      </c>
      <c r="U209" s="82">
        <f t="shared" si="114"/>
        <v>0</v>
      </c>
      <c r="V209" s="82">
        <f t="shared" si="115"/>
        <v>0</v>
      </c>
      <c r="W209" s="83">
        <v>0</v>
      </c>
      <c r="X209" s="83">
        <v>0</v>
      </c>
      <c r="Y209" s="83">
        <v>0</v>
      </c>
      <c r="Z209" s="84">
        <f>ROUND((IF(($O209&lt;=700000),0,IF(((VLOOKUP($M209,'Loyalty - Effec - 15July'!$B$5:$C$17,2,0)*$O209)&lt;=120000),(VLOOKUP($M209,'Loyalty - Effec - 15July'!$B$5:$C$17,2,0)*$O209),120000))),0)</f>
        <v>0</v>
      </c>
      <c r="AA209" s="84">
        <f>ROUND(VLOOKUP($M209,'Loyalty - Effec - 15July'!$B$5:$D$17,3,0)*$O209,0)</f>
        <v>0</v>
      </c>
      <c r="AB209" s="85">
        <f t="shared" si="116"/>
        <v>0</v>
      </c>
      <c r="AC209" s="86">
        <f t="shared" si="117"/>
        <v>0</v>
      </c>
      <c r="AD209" s="87">
        <f t="shared" si="118"/>
        <v>0</v>
      </c>
      <c r="AE209" s="88">
        <f t="shared" si="119"/>
        <v>0</v>
      </c>
      <c r="AF209" s="88">
        <f t="shared" si="120"/>
        <v>0</v>
      </c>
      <c r="AG209" s="49" t="s">
        <v>400</v>
      </c>
      <c r="AH209" s="49" t="s">
        <v>126</v>
      </c>
      <c r="AI209" s="50"/>
      <c r="AJ209" s="46"/>
      <c r="AK209" s="46"/>
      <c r="AL209" s="46"/>
      <c r="AM209" s="51">
        <f>IF($AL209=4,VLOOKUP($AR209,'Loyalty Incentive v1'!$L$3:$Q$15,2,FALSE),
IF($AL209=3,VLOOKUP($AR209,'Loyalty Incentive v1'!$L$3:$Q$15,3,FALSE),
IF($AL209=2,VLOOKUP($AR209,'Loyalty Incentive v1'!$L$3:$Q$15,4,FALSE),
IF($AL209=1,VLOOKUP($AR209,'Loyalty Incentive v1'!$L$3:$Q$15,5,FALSE),
IF($AL209=0,VLOOKUP($AR209,'Loyalty Incentive v1'!$L$3:$Q$15,6,FALSE),0)))))</f>
        <v>0</v>
      </c>
      <c r="AN209" s="51">
        <f>IFERROR(IF(I209&gt;="1",AM209,VLOOKUP(VALUE(I209),'Loyalty - Effec - 15July'!$I$5:$J$16,2,0)*AM209),0)</f>
        <v>0</v>
      </c>
      <c r="AO209" s="51">
        <v>0</v>
      </c>
      <c r="AP209" s="51">
        <f t="shared" si="121"/>
        <v>0</v>
      </c>
      <c r="AQ209" s="46" t="str">
        <f t="shared" si="133"/>
        <v>No</v>
      </c>
      <c r="AR209" s="46" t="str">
        <f t="shared" si="134"/>
        <v>AE4</v>
      </c>
      <c r="AS209" s="46" t="b">
        <f t="shared" si="135"/>
        <v>1</v>
      </c>
      <c r="AT209" s="82">
        <f t="shared" si="136"/>
        <v>0</v>
      </c>
      <c r="AU209" s="82">
        <f t="shared" si="122"/>
        <v>0</v>
      </c>
      <c r="AV209" s="82">
        <f t="shared" si="123"/>
        <v>0</v>
      </c>
      <c r="AW209" s="82">
        <f t="shared" si="124"/>
        <v>0</v>
      </c>
      <c r="AX209" s="85"/>
      <c r="AY209" s="82">
        <f t="shared" si="125"/>
        <v>0</v>
      </c>
      <c r="AZ209" s="82">
        <f t="shared" si="126"/>
        <v>0</v>
      </c>
      <c r="BA209" s="82">
        <f t="shared" si="127"/>
        <v>0</v>
      </c>
      <c r="BB209" s="83">
        <v>0</v>
      </c>
      <c r="BC209" s="83">
        <v>0</v>
      </c>
      <c r="BD209" s="83">
        <v>0</v>
      </c>
      <c r="BE209" s="84">
        <f>ROUND((IF(($AT209&lt;=700000),0,IF(((VLOOKUP($AR209,'Loyalty - Effec - 15July'!$B$5:$C$17,2,0)*$AT209)&lt;=120000),(VLOOKUP($AR209,'Loyalty - Effec - 15July'!$B$5:$C$17,2,0)*$AT209),120000))),0)</f>
        <v>0</v>
      </c>
      <c r="BF209" s="84">
        <f>ROUND(VLOOKUP($AR209,'Loyalty - Effec - 15July'!$B$5:$D$17,3,0)*$AT209,0)</f>
        <v>0</v>
      </c>
      <c r="BG209" s="85">
        <f t="shared" si="128"/>
        <v>0</v>
      </c>
      <c r="BH209" s="81">
        <f t="shared" si="129"/>
        <v>0</v>
      </c>
      <c r="BI209" s="85">
        <f t="shared" si="130"/>
        <v>0</v>
      </c>
      <c r="BJ209" s="85">
        <f t="shared" si="131"/>
        <v>0</v>
      </c>
      <c r="BK209" s="85">
        <f t="shared" si="132"/>
        <v>0</v>
      </c>
      <c r="BL209" s="85">
        <f t="shared" si="137"/>
        <v>0</v>
      </c>
      <c r="BM209" s="85">
        <f t="shared" si="138"/>
        <v>0</v>
      </c>
      <c r="BN209" s="85">
        <f t="shared" si="139"/>
        <v>0</v>
      </c>
      <c r="BO209" s="52" t="s">
        <v>85</v>
      </c>
      <c r="BP209" s="46"/>
      <c r="BQ209" s="46"/>
      <c r="BR209" s="47">
        <f t="shared" si="143"/>
        <v>0</v>
      </c>
      <c r="BU209" s="47">
        <f t="shared" si="141"/>
        <v>0</v>
      </c>
      <c r="BV209" s="53" t="s">
        <v>473</v>
      </c>
      <c r="BW209" s="53" t="s">
        <v>932</v>
      </c>
      <c r="BX209" s="53" t="s">
        <v>695</v>
      </c>
      <c r="BY209" s="53"/>
      <c r="BZ209" s="53"/>
    </row>
    <row r="210" spans="1:79">
      <c r="A210" s="42" t="s">
        <v>474</v>
      </c>
      <c r="B210" s="28" t="s">
        <v>79</v>
      </c>
      <c r="C210" s="28" t="s">
        <v>80</v>
      </c>
      <c r="D210" s="28" t="s">
        <v>932</v>
      </c>
      <c r="E210" s="43" t="s">
        <v>82</v>
      </c>
      <c r="F210" s="28" t="s">
        <v>902</v>
      </c>
      <c r="G210" s="44" t="s">
        <v>696</v>
      </c>
      <c r="H210" s="45">
        <v>44837</v>
      </c>
      <c r="I210" s="46" t="s">
        <v>1000</v>
      </c>
      <c r="J210" s="28">
        <v>5.7</v>
      </c>
      <c r="K210" s="28" t="s">
        <v>93</v>
      </c>
      <c r="L210" s="28" t="s">
        <v>873</v>
      </c>
      <c r="M210" s="28" t="s">
        <v>0</v>
      </c>
      <c r="N210" s="28" t="str">
        <f t="shared" si="109"/>
        <v>AE2</v>
      </c>
      <c r="O210" s="81"/>
      <c r="P210" s="81">
        <f t="shared" si="110"/>
        <v>0</v>
      </c>
      <c r="Q210" s="81">
        <f t="shared" si="111"/>
        <v>0</v>
      </c>
      <c r="R210" s="81">
        <f t="shared" si="112"/>
        <v>0</v>
      </c>
      <c r="S210" s="81"/>
      <c r="T210" s="82">
        <f t="shared" si="113"/>
        <v>0</v>
      </c>
      <c r="U210" s="82">
        <f t="shared" si="114"/>
        <v>0</v>
      </c>
      <c r="V210" s="82">
        <f t="shared" si="115"/>
        <v>0</v>
      </c>
      <c r="W210" s="83">
        <v>0</v>
      </c>
      <c r="X210" s="83">
        <v>0</v>
      </c>
      <c r="Y210" s="83">
        <v>0</v>
      </c>
      <c r="Z210" s="84">
        <f>ROUND((IF(($O210&lt;=700000),0,IF(((VLOOKUP($M210,'Loyalty - Effec - 15July'!$B$5:$C$17,2,0)*$O210)&lt;=120000),(VLOOKUP($M210,'Loyalty - Effec - 15July'!$B$5:$C$17,2,0)*$O210),120000))),0)</f>
        <v>0</v>
      </c>
      <c r="AA210" s="84">
        <f>ROUND(VLOOKUP($M210,'Loyalty - Effec - 15July'!$B$5:$D$17,3,0)*$O210,0)</f>
        <v>0</v>
      </c>
      <c r="AB210" s="85">
        <f t="shared" si="116"/>
        <v>0</v>
      </c>
      <c r="AC210" s="86">
        <f t="shared" si="117"/>
        <v>0</v>
      </c>
      <c r="AD210" s="87">
        <f t="shared" si="118"/>
        <v>0</v>
      </c>
      <c r="AE210" s="88">
        <f t="shared" si="119"/>
        <v>0</v>
      </c>
      <c r="AF210" s="88">
        <f t="shared" si="120"/>
        <v>0</v>
      </c>
      <c r="AG210" s="49" t="s">
        <v>703</v>
      </c>
      <c r="AH210" s="49" t="s">
        <v>200</v>
      </c>
      <c r="AI210" s="50"/>
      <c r="AJ210" s="46"/>
      <c r="AK210" s="46"/>
      <c r="AL210" s="46"/>
      <c r="AM210" s="51">
        <f>IF($AL210=4,VLOOKUP($AR210,'Loyalty Incentive v1'!$L$3:$Q$15,2,FALSE),
IF($AL210=3,VLOOKUP($AR210,'Loyalty Incentive v1'!$L$3:$Q$15,3,FALSE),
IF($AL210=2,VLOOKUP($AR210,'Loyalty Incentive v1'!$L$3:$Q$15,4,FALSE),
IF($AL210=1,VLOOKUP($AR210,'Loyalty Incentive v1'!$L$3:$Q$15,5,FALSE),
IF($AL210=0,VLOOKUP($AR210,'Loyalty Incentive v1'!$L$3:$Q$15,6,FALSE),0)))))</f>
        <v>0</v>
      </c>
      <c r="AN210" s="51">
        <f>IFERROR(IF(I210&gt;="1",AM210,VLOOKUP(VALUE(I210),'Loyalty - Effec - 15July'!$I$5:$J$16,2,0)*AM210),0)</f>
        <v>0</v>
      </c>
      <c r="AO210" s="51">
        <v>0</v>
      </c>
      <c r="AP210" s="51">
        <f t="shared" si="121"/>
        <v>0</v>
      </c>
      <c r="AQ210" s="46" t="str">
        <f t="shared" si="133"/>
        <v>No</v>
      </c>
      <c r="AR210" s="46" t="str">
        <f t="shared" si="134"/>
        <v>AE2</v>
      </c>
      <c r="AS210" s="46" t="b">
        <f t="shared" si="135"/>
        <v>1</v>
      </c>
      <c r="AT210" s="82">
        <f t="shared" si="136"/>
        <v>0</v>
      </c>
      <c r="AU210" s="82">
        <f t="shared" si="122"/>
        <v>0</v>
      </c>
      <c r="AV210" s="82">
        <f t="shared" si="123"/>
        <v>0</v>
      </c>
      <c r="AW210" s="82">
        <f t="shared" si="124"/>
        <v>0</v>
      </c>
      <c r="AX210" s="85"/>
      <c r="AY210" s="82">
        <f t="shared" si="125"/>
        <v>0</v>
      </c>
      <c r="AZ210" s="82">
        <f t="shared" si="126"/>
        <v>0</v>
      </c>
      <c r="BA210" s="82">
        <f t="shared" si="127"/>
        <v>0</v>
      </c>
      <c r="BB210" s="83">
        <v>0</v>
      </c>
      <c r="BC210" s="83">
        <v>0</v>
      </c>
      <c r="BD210" s="83">
        <v>0</v>
      </c>
      <c r="BE210" s="84">
        <f>ROUND((IF(($AT210&lt;=700000),0,IF(((VLOOKUP($AR210,'Loyalty - Effec - 15July'!$B$5:$C$17,2,0)*$AT210)&lt;=120000),(VLOOKUP($AR210,'Loyalty - Effec - 15July'!$B$5:$C$17,2,0)*$AT210),120000))),0)</f>
        <v>0</v>
      </c>
      <c r="BF210" s="84">
        <f>ROUND(VLOOKUP($AR210,'Loyalty - Effec - 15July'!$B$5:$D$17,3,0)*$AT210,0)</f>
        <v>0</v>
      </c>
      <c r="BG210" s="85">
        <f t="shared" si="128"/>
        <v>0</v>
      </c>
      <c r="BH210" s="81">
        <f t="shared" si="129"/>
        <v>0</v>
      </c>
      <c r="BI210" s="85">
        <f t="shared" si="130"/>
        <v>0</v>
      </c>
      <c r="BJ210" s="85">
        <f t="shared" si="131"/>
        <v>0</v>
      </c>
      <c r="BK210" s="85">
        <f t="shared" si="132"/>
        <v>0</v>
      </c>
      <c r="BL210" s="85">
        <f t="shared" si="137"/>
        <v>0</v>
      </c>
      <c r="BM210" s="85">
        <f t="shared" si="138"/>
        <v>0</v>
      </c>
      <c r="BN210" s="85">
        <f t="shared" si="139"/>
        <v>0</v>
      </c>
      <c r="BO210" s="52" t="s">
        <v>85</v>
      </c>
      <c r="BP210" s="46"/>
      <c r="BQ210" s="46"/>
      <c r="BR210" s="47">
        <f t="shared" si="143"/>
        <v>0</v>
      </c>
      <c r="BU210" s="47">
        <f t="shared" si="141"/>
        <v>0</v>
      </c>
      <c r="BV210" s="53" t="s">
        <v>474</v>
      </c>
      <c r="BW210" s="53" t="s">
        <v>932</v>
      </c>
      <c r="BX210" s="53" t="s">
        <v>696</v>
      </c>
      <c r="BY210" s="53"/>
      <c r="BZ210" s="53"/>
    </row>
    <row r="211" spans="1:79">
      <c r="A211" s="42" t="s">
        <v>475</v>
      </c>
      <c r="B211" s="28" t="s">
        <v>79</v>
      </c>
      <c r="C211" s="28" t="s">
        <v>80</v>
      </c>
      <c r="D211" s="28" t="s">
        <v>932</v>
      </c>
      <c r="E211" s="43" t="s">
        <v>82</v>
      </c>
      <c r="F211" s="28" t="s">
        <v>902</v>
      </c>
      <c r="G211" s="44" t="s">
        <v>697</v>
      </c>
      <c r="H211" s="45">
        <v>44844</v>
      </c>
      <c r="I211" s="46" t="s">
        <v>1000</v>
      </c>
      <c r="J211" s="28">
        <v>4.3</v>
      </c>
      <c r="K211" s="28" t="s">
        <v>413</v>
      </c>
      <c r="L211" s="28" t="s">
        <v>880</v>
      </c>
      <c r="M211" s="28" t="s">
        <v>1</v>
      </c>
      <c r="N211" s="28" t="str">
        <f t="shared" si="109"/>
        <v>AE3</v>
      </c>
      <c r="O211" s="81"/>
      <c r="P211" s="81">
        <f t="shared" si="110"/>
        <v>0</v>
      </c>
      <c r="Q211" s="81">
        <f t="shared" si="111"/>
        <v>0</v>
      </c>
      <c r="R211" s="81">
        <f t="shared" si="112"/>
        <v>0</v>
      </c>
      <c r="S211" s="81"/>
      <c r="T211" s="82">
        <f t="shared" si="113"/>
        <v>0</v>
      </c>
      <c r="U211" s="82">
        <f t="shared" si="114"/>
        <v>0</v>
      </c>
      <c r="V211" s="82">
        <f t="shared" si="115"/>
        <v>0</v>
      </c>
      <c r="W211" s="83">
        <v>0</v>
      </c>
      <c r="X211" s="83">
        <v>0</v>
      </c>
      <c r="Y211" s="83">
        <v>0</v>
      </c>
      <c r="Z211" s="84">
        <f>ROUND((IF(($O211&lt;=700000),0,IF(((VLOOKUP($M211,'Loyalty - Effec - 15July'!$B$5:$C$17,2,0)*$O211)&lt;=120000),(VLOOKUP($M211,'Loyalty - Effec - 15July'!$B$5:$C$17,2,0)*$O211),120000))),0)</f>
        <v>0</v>
      </c>
      <c r="AA211" s="84">
        <f>ROUND(VLOOKUP($M211,'Loyalty - Effec - 15July'!$B$5:$D$17,3,0)*$O211,0)</f>
        <v>0</v>
      </c>
      <c r="AB211" s="85">
        <f t="shared" si="116"/>
        <v>0</v>
      </c>
      <c r="AC211" s="86">
        <f t="shared" si="117"/>
        <v>0</v>
      </c>
      <c r="AD211" s="87">
        <f t="shared" si="118"/>
        <v>0</v>
      </c>
      <c r="AE211" s="88">
        <f t="shared" si="119"/>
        <v>0</v>
      </c>
      <c r="AF211" s="88">
        <f t="shared" si="120"/>
        <v>0</v>
      </c>
      <c r="AG211" s="49" t="s">
        <v>178</v>
      </c>
      <c r="AH211" s="49" t="s">
        <v>928</v>
      </c>
      <c r="AI211" s="50"/>
      <c r="AJ211" s="46"/>
      <c r="AK211" s="46"/>
      <c r="AL211" s="46"/>
      <c r="AM211" s="51">
        <f>IF($AL211=4,VLOOKUP($AR211,'Loyalty Incentive v1'!$L$3:$Q$15,2,FALSE),
IF($AL211=3,VLOOKUP($AR211,'Loyalty Incentive v1'!$L$3:$Q$15,3,FALSE),
IF($AL211=2,VLOOKUP($AR211,'Loyalty Incentive v1'!$L$3:$Q$15,4,FALSE),
IF($AL211=1,VLOOKUP($AR211,'Loyalty Incentive v1'!$L$3:$Q$15,5,FALSE),
IF($AL211=0,VLOOKUP($AR211,'Loyalty Incentive v1'!$L$3:$Q$15,6,FALSE),0)))))</f>
        <v>0</v>
      </c>
      <c r="AN211" s="51">
        <f>IFERROR(IF(I211&gt;="1",AM211,VLOOKUP(VALUE(I211),'Loyalty - Effec - 15July'!$I$5:$J$16,2,0)*AM211),0)</f>
        <v>0</v>
      </c>
      <c r="AO211" s="51">
        <v>0</v>
      </c>
      <c r="AP211" s="51">
        <f t="shared" si="121"/>
        <v>0</v>
      </c>
      <c r="AQ211" s="46" t="str">
        <f t="shared" si="133"/>
        <v>No</v>
      </c>
      <c r="AR211" s="46" t="str">
        <f t="shared" si="134"/>
        <v>AE3</v>
      </c>
      <c r="AS211" s="46" t="b">
        <f t="shared" si="135"/>
        <v>1</v>
      </c>
      <c r="AT211" s="82">
        <f t="shared" si="136"/>
        <v>0</v>
      </c>
      <c r="AU211" s="82">
        <f t="shared" si="122"/>
        <v>0</v>
      </c>
      <c r="AV211" s="82">
        <f t="shared" si="123"/>
        <v>0</v>
      </c>
      <c r="AW211" s="82">
        <f t="shared" si="124"/>
        <v>0</v>
      </c>
      <c r="AX211" s="85"/>
      <c r="AY211" s="82">
        <f t="shared" si="125"/>
        <v>0</v>
      </c>
      <c r="AZ211" s="82">
        <f t="shared" si="126"/>
        <v>0</v>
      </c>
      <c r="BA211" s="82">
        <f t="shared" si="127"/>
        <v>0</v>
      </c>
      <c r="BB211" s="83">
        <v>0</v>
      </c>
      <c r="BC211" s="83">
        <v>0</v>
      </c>
      <c r="BD211" s="83">
        <v>0</v>
      </c>
      <c r="BE211" s="84">
        <f>ROUND((IF(($AT211&lt;=700000),0,IF(((VLOOKUP($AR211,'Loyalty - Effec - 15July'!$B$5:$C$17,2,0)*$AT211)&lt;=120000),(VLOOKUP($AR211,'Loyalty - Effec - 15July'!$B$5:$C$17,2,0)*$AT211),120000))),0)</f>
        <v>0</v>
      </c>
      <c r="BF211" s="84">
        <f>ROUND(VLOOKUP($AR211,'Loyalty - Effec - 15July'!$B$5:$D$17,3,0)*$AT211,0)</f>
        <v>0</v>
      </c>
      <c r="BG211" s="85">
        <f t="shared" si="128"/>
        <v>0</v>
      </c>
      <c r="BH211" s="81">
        <f t="shared" si="129"/>
        <v>0</v>
      </c>
      <c r="BI211" s="85">
        <f t="shared" si="130"/>
        <v>0</v>
      </c>
      <c r="BJ211" s="85">
        <f t="shared" si="131"/>
        <v>0</v>
      </c>
      <c r="BK211" s="85">
        <f t="shared" si="132"/>
        <v>0</v>
      </c>
      <c r="BL211" s="85">
        <f t="shared" si="137"/>
        <v>0</v>
      </c>
      <c r="BM211" s="85">
        <f t="shared" si="138"/>
        <v>0</v>
      </c>
      <c r="BN211" s="85">
        <f t="shared" si="139"/>
        <v>0</v>
      </c>
      <c r="BO211" s="52" t="s">
        <v>85</v>
      </c>
      <c r="BP211" s="46"/>
      <c r="BQ211" s="46"/>
      <c r="BR211" s="47">
        <f t="shared" si="143"/>
        <v>0</v>
      </c>
      <c r="BU211" s="47">
        <f t="shared" si="141"/>
        <v>0</v>
      </c>
      <c r="BV211" s="53" t="s">
        <v>475</v>
      </c>
      <c r="BW211" s="53" t="s">
        <v>932</v>
      </c>
      <c r="BX211" s="53" t="s">
        <v>697</v>
      </c>
      <c r="BY211" s="53"/>
      <c r="BZ211" s="53"/>
    </row>
    <row r="212" spans="1:79">
      <c r="A212" s="42" t="s">
        <v>476</v>
      </c>
      <c r="B212" s="28" t="s">
        <v>79</v>
      </c>
      <c r="C212" s="28" t="s">
        <v>80</v>
      </c>
      <c r="D212" s="28" t="s">
        <v>932</v>
      </c>
      <c r="E212" s="43" t="s">
        <v>82</v>
      </c>
      <c r="F212" s="28" t="s">
        <v>901</v>
      </c>
      <c r="G212" s="44" t="s">
        <v>698</v>
      </c>
      <c r="H212" s="45">
        <v>44844</v>
      </c>
      <c r="I212" s="46" t="s">
        <v>1000</v>
      </c>
      <c r="J212" s="28">
        <v>4.2</v>
      </c>
      <c r="K212" s="28" t="s">
        <v>413</v>
      </c>
      <c r="L212" s="28" t="s">
        <v>880</v>
      </c>
      <c r="M212" s="28" t="s">
        <v>0</v>
      </c>
      <c r="N212" s="28" t="str">
        <f t="shared" si="109"/>
        <v>AE2</v>
      </c>
      <c r="O212" s="81"/>
      <c r="P212" s="81">
        <f t="shared" si="110"/>
        <v>0</v>
      </c>
      <c r="Q212" s="81">
        <f t="shared" si="111"/>
        <v>0</v>
      </c>
      <c r="R212" s="81">
        <f t="shared" si="112"/>
        <v>0</v>
      </c>
      <c r="S212" s="81"/>
      <c r="T212" s="82">
        <f t="shared" si="113"/>
        <v>0</v>
      </c>
      <c r="U212" s="82">
        <f t="shared" si="114"/>
        <v>0</v>
      </c>
      <c r="V212" s="82">
        <f t="shared" si="115"/>
        <v>0</v>
      </c>
      <c r="W212" s="83">
        <v>0</v>
      </c>
      <c r="X212" s="83">
        <v>0</v>
      </c>
      <c r="Y212" s="83">
        <v>0</v>
      </c>
      <c r="Z212" s="84">
        <f>ROUND((IF(($O212&lt;=700000),0,IF(((VLOOKUP($M212,'Loyalty - Effec - 15July'!$B$5:$C$17,2,0)*$O212)&lt;=120000),(VLOOKUP($M212,'Loyalty - Effec - 15July'!$B$5:$C$17,2,0)*$O212),120000))),0)</f>
        <v>0</v>
      </c>
      <c r="AA212" s="84">
        <f>ROUND(VLOOKUP($M212,'Loyalty - Effec - 15July'!$B$5:$D$17,3,0)*$O212,0)</f>
        <v>0</v>
      </c>
      <c r="AB212" s="85">
        <f t="shared" si="116"/>
        <v>0</v>
      </c>
      <c r="AC212" s="86">
        <f t="shared" si="117"/>
        <v>0</v>
      </c>
      <c r="AD212" s="87">
        <f t="shared" si="118"/>
        <v>0</v>
      </c>
      <c r="AE212" s="88">
        <f t="shared" si="119"/>
        <v>0</v>
      </c>
      <c r="AF212" s="88">
        <f t="shared" si="120"/>
        <v>0</v>
      </c>
      <c r="AG212" s="49" t="s">
        <v>921</v>
      </c>
      <c r="AH212" s="49" t="s">
        <v>120</v>
      </c>
      <c r="AI212" s="50"/>
      <c r="AJ212" s="46"/>
      <c r="AK212" s="46"/>
      <c r="AL212" s="46"/>
      <c r="AM212" s="51">
        <f>IF($AL212=4,VLOOKUP($AR212,'Loyalty Incentive v1'!$L$3:$Q$15,2,FALSE),
IF($AL212=3,VLOOKUP($AR212,'Loyalty Incentive v1'!$L$3:$Q$15,3,FALSE),
IF($AL212=2,VLOOKUP($AR212,'Loyalty Incentive v1'!$L$3:$Q$15,4,FALSE),
IF($AL212=1,VLOOKUP($AR212,'Loyalty Incentive v1'!$L$3:$Q$15,5,FALSE),
IF($AL212=0,VLOOKUP($AR212,'Loyalty Incentive v1'!$L$3:$Q$15,6,FALSE),0)))))</f>
        <v>0</v>
      </c>
      <c r="AN212" s="51">
        <f>IFERROR(IF(I212&gt;="1",AM212,VLOOKUP(VALUE(I212),'Loyalty - Effec - 15July'!$I$5:$J$16,2,0)*AM212),0)</f>
        <v>0</v>
      </c>
      <c r="AO212" s="51">
        <v>0</v>
      </c>
      <c r="AP212" s="51">
        <f t="shared" si="121"/>
        <v>0</v>
      </c>
      <c r="AQ212" s="46" t="str">
        <f t="shared" si="133"/>
        <v>No</v>
      </c>
      <c r="AR212" s="46" t="str">
        <f t="shared" si="134"/>
        <v>AE2</v>
      </c>
      <c r="AS212" s="46" t="b">
        <f t="shared" si="135"/>
        <v>1</v>
      </c>
      <c r="AT212" s="82">
        <f t="shared" si="136"/>
        <v>0</v>
      </c>
      <c r="AU212" s="82">
        <f t="shared" si="122"/>
        <v>0</v>
      </c>
      <c r="AV212" s="82">
        <f t="shared" si="123"/>
        <v>0</v>
      </c>
      <c r="AW212" s="82">
        <f t="shared" si="124"/>
        <v>0</v>
      </c>
      <c r="AX212" s="85"/>
      <c r="AY212" s="82">
        <f t="shared" si="125"/>
        <v>0</v>
      </c>
      <c r="AZ212" s="82">
        <f t="shared" si="126"/>
        <v>0</v>
      </c>
      <c r="BA212" s="82">
        <f t="shared" si="127"/>
        <v>0</v>
      </c>
      <c r="BB212" s="83">
        <v>0</v>
      </c>
      <c r="BC212" s="83">
        <v>0</v>
      </c>
      <c r="BD212" s="83">
        <v>0</v>
      </c>
      <c r="BE212" s="84">
        <f>ROUND((IF(($AT212&lt;=700000),0,IF(((VLOOKUP($AR212,'Loyalty - Effec - 15July'!$B$5:$C$17,2,0)*$AT212)&lt;=120000),(VLOOKUP($AR212,'Loyalty - Effec - 15July'!$B$5:$C$17,2,0)*$AT212),120000))),0)</f>
        <v>0</v>
      </c>
      <c r="BF212" s="84">
        <f>ROUND(VLOOKUP($AR212,'Loyalty - Effec - 15July'!$B$5:$D$17,3,0)*$AT212,0)</f>
        <v>0</v>
      </c>
      <c r="BG212" s="85">
        <f t="shared" si="128"/>
        <v>0</v>
      </c>
      <c r="BH212" s="81">
        <f t="shared" si="129"/>
        <v>0</v>
      </c>
      <c r="BI212" s="85">
        <f t="shared" si="130"/>
        <v>0</v>
      </c>
      <c r="BJ212" s="85">
        <f t="shared" si="131"/>
        <v>0</v>
      </c>
      <c r="BK212" s="85">
        <f t="shared" si="132"/>
        <v>0</v>
      </c>
      <c r="BL212" s="85">
        <f t="shared" si="137"/>
        <v>0</v>
      </c>
      <c r="BM212" s="85">
        <f t="shared" si="138"/>
        <v>0</v>
      </c>
      <c r="BN212" s="85">
        <f t="shared" si="139"/>
        <v>0</v>
      </c>
      <c r="BO212" s="52" t="s">
        <v>85</v>
      </c>
      <c r="BP212" s="46"/>
      <c r="BQ212" s="46"/>
      <c r="BR212" s="47">
        <f t="shared" si="143"/>
        <v>0</v>
      </c>
      <c r="BU212" s="47">
        <f t="shared" si="141"/>
        <v>0</v>
      </c>
      <c r="BV212" s="53" t="s">
        <v>476</v>
      </c>
      <c r="BW212" s="53" t="s">
        <v>932</v>
      </c>
      <c r="BX212" s="53" t="s">
        <v>698</v>
      </c>
      <c r="BY212" s="53"/>
      <c r="BZ212" s="53"/>
    </row>
    <row r="213" spans="1:79">
      <c r="A213" s="42" t="s">
        <v>477</v>
      </c>
      <c r="B213" s="28" t="s">
        <v>79</v>
      </c>
      <c r="C213" s="28" t="s">
        <v>80</v>
      </c>
      <c r="D213" s="28" t="s">
        <v>932</v>
      </c>
      <c r="E213" s="43" t="s">
        <v>82</v>
      </c>
      <c r="F213" s="28" t="s">
        <v>902</v>
      </c>
      <c r="G213" s="44" t="s">
        <v>699</v>
      </c>
      <c r="H213" s="45">
        <v>44844</v>
      </c>
      <c r="I213" s="46" t="s">
        <v>1000</v>
      </c>
      <c r="J213" s="28">
        <v>3.5</v>
      </c>
      <c r="K213" s="28" t="s">
        <v>420</v>
      </c>
      <c r="L213" s="28" t="s">
        <v>893</v>
      </c>
      <c r="M213" s="28" t="s">
        <v>2</v>
      </c>
      <c r="N213" s="28" t="str">
        <f t="shared" si="109"/>
        <v>AE4</v>
      </c>
      <c r="O213" s="81"/>
      <c r="P213" s="81">
        <f t="shared" si="110"/>
        <v>0</v>
      </c>
      <c r="Q213" s="81">
        <f t="shared" si="111"/>
        <v>0</v>
      </c>
      <c r="R213" s="81">
        <f t="shared" si="112"/>
        <v>0</v>
      </c>
      <c r="S213" s="81"/>
      <c r="T213" s="82">
        <f t="shared" si="113"/>
        <v>0</v>
      </c>
      <c r="U213" s="82">
        <f t="shared" si="114"/>
        <v>0</v>
      </c>
      <c r="V213" s="82">
        <f t="shared" si="115"/>
        <v>0</v>
      </c>
      <c r="W213" s="83">
        <v>0</v>
      </c>
      <c r="X213" s="83">
        <v>0</v>
      </c>
      <c r="Y213" s="83">
        <v>0</v>
      </c>
      <c r="Z213" s="84">
        <f>ROUND((IF(($O213&lt;=700000),0,IF(((VLOOKUP($M213,'Loyalty - Effec - 15July'!$B$5:$C$17,2,0)*$O213)&lt;=120000),(VLOOKUP($M213,'Loyalty - Effec - 15July'!$B$5:$C$17,2,0)*$O213),120000))),0)</f>
        <v>0</v>
      </c>
      <c r="AA213" s="84">
        <f>ROUND(VLOOKUP($M213,'Loyalty - Effec - 15July'!$B$5:$D$17,3,0)*$O213,0)</f>
        <v>0</v>
      </c>
      <c r="AB213" s="85">
        <f t="shared" si="116"/>
        <v>0</v>
      </c>
      <c r="AC213" s="86">
        <f t="shared" si="117"/>
        <v>0</v>
      </c>
      <c r="AD213" s="87">
        <f t="shared" si="118"/>
        <v>0</v>
      </c>
      <c r="AE213" s="88">
        <f t="shared" si="119"/>
        <v>0</v>
      </c>
      <c r="AF213" s="88">
        <f t="shared" si="120"/>
        <v>0</v>
      </c>
      <c r="AG213" s="49" t="s">
        <v>687</v>
      </c>
      <c r="AH213" s="49" t="s">
        <v>129</v>
      </c>
      <c r="AI213" s="50"/>
      <c r="AJ213" s="46"/>
      <c r="AK213" s="46"/>
      <c r="AL213" s="46"/>
      <c r="AM213" s="51">
        <f>IF($AL213=4,VLOOKUP($AR213,'Loyalty Incentive v1'!$L$3:$Q$15,2,FALSE),
IF($AL213=3,VLOOKUP($AR213,'Loyalty Incentive v1'!$L$3:$Q$15,3,FALSE),
IF($AL213=2,VLOOKUP($AR213,'Loyalty Incentive v1'!$L$3:$Q$15,4,FALSE),
IF($AL213=1,VLOOKUP($AR213,'Loyalty Incentive v1'!$L$3:$Q$15,5,FALSE),
IF($AL213=0,VLOOKUP($AR213,'Loyalty Incentive v1'!$L$3:$Q$15,6,FALSE),0)))))</f>
        <v>0</v>
      </c>
      <c r="AN213" s="51">
        <f>IFERROR(IF(I213&gt;="1",AM213,VLOOKUP(VALUE(I213),'Loyalty - Effec - 15July'!$I$5:$J$16,2,0)*AM213),0)</f>
        <v>0</v>
      </c>
      <c r="AO213" s="51">
        <v>0</v>
      </c>
      <c r="AP213" s="51">
        <f t="shared" si="121"/>
        <v>0</v>
      </c>
      <c r="AQ213" s="46" t="str">
        <f t="shared" si="133"/>
        <v>No</v>
      </c>
      <c r="AR213" s="46" t="str">
        <f t="shared" si="134"/>
        <v>AE4</v>
      </c>
      <c r="AS213" s="46" t="b">
        <f t="shared" si="135"/>
        <v>1</v>
      </c>
      <c r="AT213" s="82">
        <f t="shared" si="136"/>
        <v>0</v>
      </c>
      <c r="AU213" s="82">
        <f t="shared" si="122"/>
        <v>0</v>
      </c>
      <c r="AV213" s="82">
        <f t="shared" si="123"/>
        <v>0</v>
      </c>
      <c r="AW213" s="82">
        <f t="shared" si="124"/>
        <v>0</v>
      </c>
      <c r="AX213" s="85"/>
      <c r="AY213" s="82">
        <f t="shared" si="125"/>
        <v>0</v>
      </c>
      <c r="AZ213" s="82">
        <f t="shared" si="126"/>
        <v>0</v>
      </c>
      <c r="BA213" s="82">
        <f t="shared" si="127"/>
        <v>0</v>
      </c>
      <c r="BB213" s="83">
        <v>0</v>
      </c>
      <c r="BC213" s="83">
        <v>0</v>
      </c>
      <c r="BD213" s="83">
        <v>0</v>
      </c>
      <c r="BE213" s="84">
        <f>ROUND((IF(($AT213&lt;=700000),0,IF(((VLOOKUP($AR213,'Loyalty - Effec - 15July'!$B$5:$C$17,2,0)*$AT213)&lt;=120000),(VLOOKUP($AR213,'Loyalty - Effec - 15July'!$B$5:$C$17,2,0)*$AT213),120000))),0)</f>
        <v>0</v>
      </c>
      <c r="BF213" s="84">
        <f>ROUND(VLOOKUP($AR213,'Loyalty - Effec - 15July'!$B$5:$D$17,3,0)*$AT213,0)</f>
        <v>0</v>
      </c>
      <c r="BG213" s="85">
        <f t="shared" si="128"/>
        <v>0</v>
      </c>
      <c r="BH213" s="81">
        <f t="shared" si="129"/>
        <v>0</v>
      </c>
      <c r="BI213" s="85">
        <f t="shared" si="130"/>
        <v>0</v>
      </c>
      <c r="BJ213" s="85">
        <f t="shared" si="131"/>
        <v>0</v>
      </c>
      <c r="BK213" s="85">
        <f t="shared" si="132"/>
        <v>0</v>
      </c>
      <c r="BL213" s="85">
        <f t="shared" si="137"/>
        <v>0</v>
      </c>
      <c r="BM213" s="85">
        <f t="shared" si="138"/>
        <v>0</v>
      </c>
      <c r="BN213" s="85">
        <f t="shared" si="139"/>
        <v>0</v>
      </c>
      <c r="BO213" s="52" t="s">
        <v>85</v>
      </c>
      <c r="BP213" s="46"/>
      <c r="BQ213" s="46"/>
      <c r="BR213" s="47">
        <f t="shared" si="143"/>
        <v>0</v>
      </c>
      <c r="BU213" s="47">
        <f t="shared" si="141"/>
        <v>0</v>
      </c>
      <c r="BV213" s="53" t="s">
        <v>477</v>
      </c>
      <c r="BW213" s="53" t="s">
        <v>932</v>
      </c>
      <c r="BX213" s="53" t="s">
        <v>699</v>
      </c>
      <c r="BY213" s="53"/>
      <c r="BZ213" s="53"/>
    </row>
    <row r="214" spans="1:79">
      <c r="A214" s="42" t="s">
        <v>478</v>
      </c>
      <c r="B214" s="28" t="s">
        <v>79</v>
      </c>
      <c r="C214" s="28" t="s">
        <v>80</v>
      </c>
      <c r="D214" s="28" t="s">
        <v>932</v>
      </c>
      <c r="E214" s="43" t="s">
        <v>82</v>
      </c>
      <c r="F214" s="28" t="s">
        <v>901</v>
      </c>
      <c r="G214" s="44" t="s">
        <v>700</v>
      </c>
      <c r="H214" s="45">
        <v>44844</v>
      </c>
      <c r="I214" s="46" t="s">
        <v>1000</v>
      </c>
      <c r="J214" s="28">
        <v>4.2</v>
      </c>
      <c r="K214" s="28" t="s">
        <v>93</v>
      </c>
      <c r="L214" s="28" t="s">
        <v>873</v>
      </c>
      <c r="M214" s="28" t="s">
        <v>3</v>
      </c>
      <c r="N214" s="28" t="str">
        <f t="shared" si="109"/>
        <v>AE5</v>
      </c>
      <c r="O214" s="81"/>
      <c r="P214" s="81">
        <f t="shared" si="110"/>
        <v>0</v>
      </c>
      <c r="Q214" s="81">
        <f t="shared" si="111"/>
        <v>0</v>
      </c>
      <c r="R214" s="81">
        <f t="shared" si="112"/>
        <v>0</v>
      </c>
      <c r="S214" s="81"/>
      <c r="T214" s="82">
        <f t="shared" si="113"/>
        <v>0</v>
      </c>
      <c r="U214" s="82">
        <f t="shared" si="114"/>
        <v>0</v>
      </c>
      <c r="V214" s="82">
        <f t="shared" si="115"/>
        <v>0</v>
      </c>
      <c r="W214" s="83">
        <v>0</v>
      </c>
      <c r="X214" s="83">
        <v>0</v>
      </c>
      <c r="Y214" s="83">
        <v>0</v>
      </c>
      <c r="Z214" s="84">
        <f>ROUND((IF(($O214&lt;=700000),0,IF(((VLOOKUP($M214,'Loyalty - Effec - 15July'!$B$5:$C$17,2,0)*$O214)&lt;=120000),(VLOOKUP($M214,'Loyalty - Effec - 15July'!$B$5:$C$17,2,0)*$O214),120000))),0)</f>
        <v>0</v>
      </c>
      <c r="AA214" s="84">
        <f>ROUND(VLOOKUP($M214,'Loyalty - Effec - 15July'!$B$5:$D$17,3,0)*$O214,0)</f>
        <v>0</v>
      </c>
      <c r="AB214" s="85">
        <f t="shared" si="116"/>
        <v>0</v>
      </c>
      <c r="AC214" s="86">
        <f t="shared" si="117"/>
        <v>0</v>
      </c>
      <c r="AD214" s="87">
        <f t="shared" si="118"/>
        <v>0</v>
      </c>
      <c r="AE214" s="88">
        <f t="shared" si="119"/>
        <v>0</v>
      </c>
      <c r="AF214" s="88">
        <f t="shared" si="120"/>
        <v>0</v>
      </c>
      <c r="AG214" s="49" t="s">
        <v>88</v>
      </c>
      <c r="AH214" s="49" t="s">
        <v>200</v>
      </c>
      <c r="AI214" s="50"/>
      <c r="AJ214" s="46"/>
      <c r="AK214" s="46"/>
      <c r="AL214" s="46"/>
      <c r="AM214" s="51">
        <f>IF($AL214=4,VLOOKUP($AR214,'Loyalty Incentive v1'!$L$3:$Q$15,2,FALSE),
IF($AL214=3,VLOOKUP($AR214,'Loyalty Incentive v1'!$L$3:$Q$15,3,FALSE),
IF($AL214=2,VLOOKUP($AR214,'Loyalty Incentive v1'!$L$3:$Q$15,4,FALSE),
IF($AL214=1,VLOOKUP($AR214,'Loyalty Incentive v1'!$L$3:$Q$15,5,FALSE),
IF($AL214=0,VLOOKUP($AR214,'Loyalty Incentive v1'!$L$3:$Q$15,6,FALSE),0)))))</f>
        <v>0</v>
      </c>
      <c r="AN214" s="51">
        <f>IFERROR(IF(I214&gt;="1",AM214,VLOOKUP(VALUE(I214),'Loyalty - Effec - 15July'!$I$5:$J$16,2,0)*AM214),0)</f>
        <v>0</v>
      </c>
      <c r="AO214" s="51">
        <v>0</v>
      </c>
      <c r="AP214" s="51">
        <f t="shared" si="121"/>
        <v>0</v>
      </c>
      <c r="AQ214" s="46" t="str">
        <f t="shared" si="133"/>
        <v>No</v>
      </c>
      <c r="AR214" s="46" t="str">
        <f t="shared" si="134"/>
        <v>AE5</v>
      </c>
      <c r="AS214" s="46" t="b">
        <f t="shared" si="135"/>
        <v>1</v>
      </c>
      <c r="AT214" s="82">
        <f t="shared" si="136"/>
        <v>0</v>
      </c>
      <c r="AU214" s="82">
        <f t="shared" si="122"/>
        <v>0</v>
      </c>
      <c r="AV214" s="82">
        <f t="shared" si="123"/>
        <v>0</v>
      </c>
      <c r="AW214" s="82">
        <f t="shared" si="124"/>
        <v>0</v>
      </c>
      <c r="AX214" s="85"/>
      <c r="AY214" s="82">
        <f t="shared" si="125"/>
        <v>0</v>
      </c>
      <c r="AZ214" s="82">
        <f t="shared" si="126"/>
        <v>0</v>
      </c>
      <c r="BA214" s="82">
        <f t="shared" si="127"/>
        <v>0</v>
      </c>
      <c r="BB214" s="83">
        <v>0</v>
      </c>
      <c r="BC214" s="83">
        <v>0</v>
      </c>
      <c r="BD214" s="83">
        <v>0</v>
      </c>
      <c r="BE214" s="84">
        <f>ROUND((IF(($AT214&lt;=700000),0,IF(((VLOOKUP($AR214,'Loyalty - Effec - 15July'!$B$5:$C$17,2,0)*$AT214)&lt;=120000),(VLOOKUP($AR214,'Loyalty - Effec - 15July'!$B$5:$C$17,2,0)*$AT214),120000))),0)</f>
        <v>0</v>
      </c>
      <c r="BF214" s="84">
        <f>ROUND(VLOOKUP($AR214,'Loyalty - Effec - 15July'!$B$5:$D$17,3,0)*$AT214,0)</f>
        <v>0</v>
      </c>
      <c r="BG214" s="85">
        <f t="shared" si="128"/>
        <v>0</v>
      </c>
      <c r="BH214" s="81">
        <f t="shared" si="129"/>
        <v>0</v>
      </c>
      <c r="BI214" s="85">
        <f t="shared" si="130"/>
        <v>0</v>
      </c>
      <c r="BJ214" s="85">
        <f t="shared" si="131"/>
        <v>0</v>
      </c>
      <c r="BK214" s="85">
        <f t="shared" si="132"/>
        <v>0</v>
      </c>
      <c r="BL214" s="85">
        <f t="shared" si="137"/>
        <v>0</v>
      </c>
      <c r="BM214" s="85">
        <f t="shared" si="138"/>
        <v>0</v>
      </c>
      <c r="BN214" s="85">
        <f t="shared" si="139"/>
        <v>0</v>
      </c>
      <c r="BO214" s="52" t="s">
        <v>85</v>
      </c>
      <c r="BP214" s="46"/>
      <c r="BQ214" s="46"/>
      <c r="BR214" s="47">
        <f t="shared" si="143"/>
        <v>0</v>
      </c>
      <c r="BU214" s="47">
        <f t="shared" si="141"/>
        <v>0</v>
      </c>
      <c r="BV214" s="53" t="s">
        <v>478</v>
      </c>
      <c r="BW214" s="53" t="s">
        <v>932</v>
      </c>
      <c r="BX214" s="53" t="s">
        <v>700</v>
      </c>
      <c r="BY214" s="53"/>
      <c r="BZ214" s="53"/>
    </row>
    <row r="215" spans="1:79">
      <c r="A215" s="42" t="s">
        <v>479</v>
      </c>
      <c r="B215" s="28" t="s">
        <v>79</v>
      </c>
      <c r="C215" s="28" t="s">
        <v>80</v>
      </c>
      <c r="D215" s="28" t="s">
        <v>932</v>
      </c>
      <c r="E215" s="43" t="s">
        <v>82</v>
      </c>
      <c r="F215" s="28" t="s">
        <v>902</v>
      </c>
      <c r="G215" s="44" t="s">
        <v>701</v>
      </c>
      <c r="H215" s="45">
        <v>44844</v>
      </c>
      <c r="I215" s="46" t="s">
        <v>1000</v>
      </c>
      <c r="J215" s="28">
        <v>5</v>
      </c>
      <c r="K215" s="28" t="s">
        <v>413</v>
      </c>
      <c r="L215" s="28" t="s">
        <v>880</v>
      </c>
      <c r="M215" s="28" t="s">
        <v>2</v>
      </c>
      <c r="N215" s="28" t="str">
        <f t="shared" si="109"/>
        <v>AE4</v>
      </c>
      <c r="O215" s="81"/>
      <c r="P215" s="81">
        <f t="shared" si="110"/>
        <v>0</v>
      </c>
      <c r="Q215" s="81">
        <f t="shared" si="111"/>
        <v>0</v>
      </c>
      <c r="R215" s="81">
        <f t="shared" si="112"/>
        <v>0</v>
      </c>
      <c r="S215" s="81"/>
      <c r="T215" s="82">
        <f t="shared" si="113"/>
        <v>0</v>
      </c>
      <c r="U215" s="82">
        <f t="shared" si="114"/>
        <v>0</v>
      </c>
      <c r="V215" s="82">
        <f t="shared" si="115"/>
        <v>0</v>
      </c>
      <c r="W215" s="83">
        <v>0</v>
      </c>
      <c r="X215" s="83">
        <v>0</v>
      </c>
      <c r="Y215" s="83">
        <v>0</v>
      </c>
      <c r="Z215" s="84">
        <f>ROUND((IF(($O215&lt;=700000),0,IF(((VLOOKUP($M215,'Loyalty - Effec - 15July'!$B$5:$C$17,2,0)*$O215)&lt;=120000),(VLOOKUP($M215,'Loyalty - Effec - 15July'!$B$5:$C$17,2,0)*$O215),120000))),0)</f>
        <v>0</v>
      </c>
      <c r="AA215" s="84">
        <f>ROUND(VLOOKUP($M215,'Loyalty - Effec - 15July'!$B$5:$D$17,3,0)*$O215,0)</f>
        <v>0</v>
      </c>
      <c r="AB215" s="85">
        <f t="shared" si="116"/>
        <v>0</v>
      </c>
      <c r="AC215" s="86">
        <f t="shared" si="117"/>
        <v>0</v>
      </c>
      <c r="AD215" s="87">
        <f t="shared" si="118"/>
        <v>0</v>
      </c>
      <c r="AE215" s="88">
        <f t="shared" si="119"/>
        <v>0</v>
      </c>
      <c r="AF215" s="88">
        <f t="shared" si="120"/>
        <v>0</v>
      </c>
      <c r="AG215" s="49" t="s">
        <v>251</v>
      </c>
      <c r="AH215" s="49" t="s">
        <v>126</v>
      </c>
      <c r="AI215" s="50"/>
      <c r="AJ215" s="46"/>
      <c r="AK215" s="46"/>
      <c r="AL215" s="46"/>
      <c r="AM215" s="51">
        <f>IF($AL215=4,VLOOKUP($AR215,'Loyalty Incentive v1'!$L$3:$Q$15,2,FALSE),
IF($AL215=3,VLOOKUP($AR215,'Loyalty Incentive v1'!$L$3:$Q$15,3,FALSE),
IF($AL215=2,VLOOKUP($AR215,'Loyalty Incentive v1'!$L$3:$Q$15,4,FALSE),
IF($AL215=1,VLOOKUP($AR215,'Loyalty Incentive v1'!$L$3:$Q$15,5,FALSE),
IF($AL215=0,VLOOKUP($AR215,'Loyalty Incentive v1'!$L$3:$Q$15,6,FALSE),0)))))</f>
        <v>0</v>
      </c>
      <c r="AN215" s="51">
        <f>IFERROR(IF(I215&gt;="1",AM215,VLOOKUP(VALUE(I215),'Loyalty - Effec - 15July'!$I$5:$J$16,2,0)*AM215),0)</f>
        <v>0</v>
      </c>
      <c r="AO215" s="51">
        <v>0</v>
      </c>
      <c r="AP215" s="51">
        <f t="shared" si="121"/>
        <v>0</v>
      </c>
      <c r="AQ215" s="46" t="str">
        <f t="shared" si="133"/>
        <v>No</v>
      </c>
      <c r="AR215" s="46" t="str">
        <f t="shared" si="134"/>
        <v>AE4</v>
      </c>
      <c r="AS215" s="46" t="b">
        <f t="shared" si="135"/>
        <v>1</v>
      </c>
      <c r="AT215" s="82">
        <f t="shared" si="136"/>
        <v>0</v>
      </c>
      <c r="AU215" s="82">
        <f t="shared" si="122"/>
        <v>0</v>
      </c>
      <c r="AV215" s="82">
        <f t="shared" si="123"/>
        <v>0</v>
      </c>
      <c r="AW215" s="82">
        <f t="shared" si="124"/>
        <v>0</v>
      </c>
      <c r="AX215" s="85"/>
      <c r="AY215" s="82">
        <f t="shared" si="125"/>
        <v>0</v>
      </c>
      <c r="AZ215" s="82">
        <f t="shared" si="126"/>
        <v>0</v>
      </c>
      <c r="BA215" s="82">
        <f t="shared" si="127"/>
        <v>0</v>
      </c>
      <c r="BB215" s="83">
        <v>0</v>
      </c>
      <c r="BC215" s="83">
        <v>0</v>
      </c>
      <c r="BD215" s="83">
        <v>0</v>
      </c>
      <c r="BE215" s="84">
        <f>ROUND((IF(($AT215&lt;=700000),0,IF(((VLOOKUP($AR215,'Loyalty - Effec - 15July'!$B$5:$C$17,2,0)*$AT215)&lt;=120000),(VLOOKUP($AR215,'Loyalty - Effec - 15July'!$B$5:$C$17,2,0)*$AT215),120000))),0)</f>
        <v>0</v>
      </c>
      <c r="BF215" s="84">
        <f>ROUND(VLOOKUP($AR215,'Loyalty - Effec - 15July'!$B$5:$D$17,3,0)*$AT215,0)</f>
        <v>0</v>
      </c>
      <c r="BG215" s="85">
        <f t="shared" si="128"/>
        <v>0</v>
      </c>
      <c r="BH215" s="81">
        <f t="shared" si="129"/>
        <v>0</v>
      </c>
      <c r="BI215" s="85">
        <f t="shared" si="130"/>
        <v>0</v>
      </c>
      <c r="BJ215" s="85">
        <f t="shared" si="131"/>
        <v>0</v>
      </c>
      <c r="BK215" s="85">
        <f t="shared" si="132"/>
        <v>0</v>
      </c>
      <c r="BL215" s="85">
        <f t="shared" si="137"/>
        <v>0</v>
      </c>
      <c r="BM215" s="85">
        <f t="shared" si="138"/>
        <v>0</v>
      </c>
      <c r="BN215" s="85">
        <f t="shared" si="139"/>
        <v>0</v>
      </c>
      <c r="BO215" s="52" t="s">
        <v>85</v>
      </c>
      <c r="BP215" s="46"/>
      <c r="BQ215" s="46"/>
      <c r="BR215" s="47">
        <f t="shared" si="143"/>
        <v>0</v>
      </c>
      <c r="BU215" s="47">
        <f t="shared" si="141"/>
        <v>0</v>
      </c>
      <c r="BV215" s="53" t="s">
        <v>479</v>
      </c>
      <c r="BW215" s="53" t="s">
        <v>932</v>
      </c>
      <c r="BX215" s="53" t="s">
        <v>701</v>
      </c>
      <c r="BY215" s="53"/>
      <c r="BZ215" s="53"/>
    </row>
    <row r="216" spans="1:79">
      <c r="A216" s="42" t="s">
        <v>480</v>
      </c>
      <c r="B216" s="28" t="s">
        <v>79</v>
      </c>
      <c r="C216" s="28" t="s">
        <v>80</v>
      </c>
      <c r="D216" s="28" t="s">
        <v>81</v>
      </c>
      <c r="E216" s="43" t="s">
        <v>82</v>
      </c>
      <c r="F216" s="28" t="s">
        <v>901</v>
      </c>
      <c r="G216" s="44" t="s">
        <v>702</v>
      </c>
      <c r="H216" s="45">
        <v>44851</v>
      </c>
      <c r="I216" s="28" t="s">
        <v>1000</v>
      </c>
      <c r="J216" s="28">
        <v>4</v>
      </c>
      <c r="K216" s="28" t="s">
        <v>407</v>
      </c>
      <c r="L216" s="28" t="s">
        <v>878</v>
      </c>
      <c r="M216" s="28" t="s">
        <v>3</v>
      </c>
      <c r="N216" s="28" t="str">
        <f t="shared" si="109"/>
        <v>AE5</v>
      </c>
      <c r="O216" s="81"/>
      <c r="P216" s="81">
        <f t="shared" si="110"/>
        <v>0</v>
      </c>
      <c r="Q216" s="81">
        <f t="shared" si="111"/>
        <v>0</v>
      </c>
      <c r="R216" s="81">
        <f t="shared" si="112"/>
        <v>0</v>
      </c>
      <c r="S216" s="81"/>
      <c r="T216" s="82">
        <f t="shared" si="113"/>
        <v>0</v>
      </c>
      <c r="U216" s="82">
        <f t="shared" si="114"/>
        <v>0</v>
      </c>
      <c r="V216" s="82">
        <f t="shared" si="115"/>
        <v>0</v>
      </c>
      <c r="W216" s="83">
        <v>0</v>
      </c>
      <c r="X216" s="83">
        <v>0</v>
      </c>
      <c r="Y216" s="83">
        <v>0</v>
      </c>
      <c r="Z216" s="84">
        <f>ROUND((IF(($O216&lt;=700000),0,IF(((VLOOKUP($M216,'Loyalty - Effec - 15July'!$B$5:$C$17,2,0)*$O216)&lt;=120000),(VLOOKUP($M216,'Loyalty - Effec - 15July'!$B$5:$C$17,2,0)*$O216),120000))),0)</f>
        <v>0</v>
      </c>
      <c r="AA216" s="84">
        <f>ROUND(VLOOKUP($M216,'Loyalty - Effec - 15July'!$B$5:$D$17,3,0)*$O216,0)</f>
        <v>0</v>
      </c>
      <c r="AB216" s="85">
        <f t="shared" si="116"/>
        <v>0</v>
      </c>
      <c r="AC216" s="86">
        <f t="shared" si="117"/>
        <v>0</v>
      </c>
      <c r="AD216" s="87">
        <f t="shared" si="118"/>
        <v>0</v>
      </c>
      <c r="AE216" s="88">
        <f t="shared" si="119"/>
        <v>0</v>
      </c>
      <c r="AF216" s="88">
        <f t="shared" si="120"/>
        <v>0</v>
      </c>
      <c r="AG216" s="49" t="s">
        <v>349</v>
      </c>
      <c r="AH216" s="49" t="s">
        <v>774</v>
      </c>
      <c r="AI216" s="50"/>
      <c r="AJ216" s="50"/>
      <c r="AK216" s="50"/>
      <c r="AL216" s="46"/>
      <c r="AM216" s="51">
        <f>IF($AL216=4,VLOOKUP($AR216,'Loyalty Incentive v1'!$L$3:$Q$15,2,FALSE),
IF($AL216=3,VLOOKUP($AR216,'Loyalty Incentive v1'!$L$3:$Q$15,3,FALSE),
IF($AL216=2,VLOOKUP($AR216,'Loyalty Incentive v1'!$L$3:$Q$15,4,FALSE),
IF($AL216=1,VLOOKUP($AR216,'Loyalty Incentive v1'!$L$3:$Q$15,5,FALSE),
IF($AL216=0,VLOOKUP($AR216,'Loyalty Incentive v1'!$L$3:$Q$15,6,FALSE),0)))))</f>
        <v>0</v>
      </c>
      <c r="AN216" s="51">
        <f>IFERROR(IF(I216&gt;="1",AM216,VLOOKUP(VALUE(I216),'Loyalty - Effec - 15July'!$I$5:$J$16,2,0)*AM216),0)</f>
        <v>0</v>
      </c>
      <c r="AO216" s="51">
        <v>-7.0000000000000007E-2</v>
      </c>
      <c r="AP216" s="51">
        <f t="shared" si="121"/>
        <v>-7.0000000000000007E-2</v>
      </c>
      <c r="AQ216" s="46" t="str">
        <f t="shared" si="133"/>
        <v>No</v>
      </c>
      <c r="AR216" s="46" t="str">
        <f t="shared" si="134"/>
        <v>AE5</v>
      </c>
      <c r="AS216" s="46" t="b">
        <f t="shared" si="135"/>
        <v>1</v>
      </c>
      <c r="AT216" s="82">
        <f t="shared" si="136"/>
        <v>0</v>
      </c>
      <c r="AU216" s="82">
        <f t="shared" si="122"/>
        <v>0</v>
      </c>
      <c r="AV216" s="82">
        <f t="shared" si="123"/>
        <v>0</v>
      </c>
      <c r="AW216" s="82">
        <f t="shared" si="124"/>
        <v>0</v>
      </c>
      <c r="AX216" s="85"/>
      <c r="AY216" s="82">
        <f t="shared" si="125"/>
        <v>0</v>
      </c>
      <c r="AZ216" s="82">
        <f t="shared" si="126"/>
        <v>0</v>
      </c>
      <c r="BA216" s="82">
        <f t="shared" si="127"/>
        <v>0</v>
      </c>
      <c r="BB216" s="83">
        <v>0</v>
      </c>
      <c r="BC216" s="83">
        <v>0</v>
      </c>
      <c r="BD216" s="83">
        <v>0</v>
      </c>
      <c r="BE216" s="84">
        <f>ROUND((IF(($AT216&lt;=700000),0,IF(((VLOOKUP($AR216,'Loyalty - Effec - 15July'!$B$5:$C$17,2,0)*$AT216)&lt;=120000),(VLOOKUP($AR216,'Loyalty - Effec - 15July'!$B$5:$C$17,2,0)*$AT216),120000))),0)</f>
        <v>0</v>
      </c>
      <c r="BF216" s="84">
        <f>ROUND(VLOOKUP($AR216,'Loyalty - Effec - 15July'!$B$5:$D$17,3,0)*$AT216,0)</f>
        <v>0</v>
      </c>
      <c r="BG216" s="85">
        <f t="shared" si="128"/>
        <v>0</v>
      </c>
      <c r="BH216" s="81">
        <f t="shared" si="129"/>
        <v>0</v>
      </c>
      <c r="BI216" s="85">
        <f t="shared" si="130"/>
        <v>0</v>
      </c>
      <c r="BJ216" s="85">
        <f t="shared" si="131"/>
        <v>0</v>
      </c>
      <c r="BK216" s="85">
        <f t="shared" si="132"/>
        <v>0</v>
      </c>
      <c r="BL216" s="85">
        <f t="shared" si="137"/>
        <v>0</v>
      </c>
      <c r="BM216" s="85">
        <f t="shared" si="138"/>
        <v>0</v>
      </c>
      <c r="BN216" s="85">
        <f t="shared" si="139"/>
        <v>0</v>
      </c>
      <c r="BO216" s="52" t="s">
        <v>85</v>
      </c>
      <c r="BP216" s="46"/>
      <c r="BQ216" s="46"/>
      <c r="BR216" s="47">
        <f t="shared" si="143"/>
        <v>0</v>
      </c>
      <c r="BS216" s="46">
        <v>4</v>
      </c>
      <c r="BT216" s="54">
        <v>5.9583333333333335E-2</v>
      </c>
      <c r="BU216" s="47">
        <f t="shared" si="141"/>
        <v>0</v>
      </c>
      <c r="BV216" s="53" t="s">
        <v>480</v>
      </c>
      <c r="BW216" s="53" t="s">
        <v>81</v>
      </c>
      <c r="BX216" s="53" t="s">
        <v>702</v>
      </c>
      <c r="BY216" s="53"/>
      <c r="BZ216" s="53"/>
      <c r="CA216" s="55"/>
    </row>
    <row r="217" spans="1:79">
      <c r="A217" s="42" t="s">
        <v>481</v>
      </c>
      <c r="B217" s="28" t="s">
        <v>79</v>
      </c>
      <c r="C217" s="28" t="s">
        <v>80</v>
      </c>
      <c r="D217" s="28" t="s">
        <v>932</v>
      </c>
      <c r="E217" s="43" t="s">
        <v>184</v>
      </c>
      <c r="F217" s="28" t="s">
        <v>901</v>
      </c>
      <c r="G217" s="44" t="s">
        <v>703</v>
      </c>
      <c r="H217" s="45">
        <v>44851</v>
      </c>
      <c r="I217" s="46" t="s">
        <v>1000</v>
      </c>
      <c r="J217" s="28">
        <v>0</v>
      </c>
      <c r="K217" s="28" t="s">
        <v>863</v>
      </c>
      <c r="L217" s="28" t="s">
        <v>865</v>
      </c>
      <c r="M217" s="28" t="s">
        <v>4</v>
      </c>
      <c r="N217" s="28" t="str">
        <f t="shared" si="109"/>
        <v>AE6</v>
      </c>
      <c r="O217" s="81"/>
      <c r="P217" s="81">
        <f t="shared" si="110"/>
        <v>0</v>
      </c>
      <c r="Q217" s="81">
        <f t="shared" si="111"/>
        <v>0</v>
      </c>
      <c r="R217" s="81">
        <f t="shared" si="112"/>
        <v>0</v>
      </c>
      <c r="S217" s="81"/>
      <c r="T217" s="82">
        <f t="shared" si="113"/>
        <v>0</v>
      </c>
      <c r="U217" s="82">
        <f t="shared" si="114"/>
        <v>0</v>
      </c>
      <c r="V217" s="82">
        <f t="shared" si="115"/>
        <v>0</v>
      </c>
      <c r="W217" s="83">
        <v>0</v>
      </c>
      <c r="X217" s="83">
        <v>0</v>
      </c>
      <c r="Y217" s="83">
        <v>0</v>
      </c>
      <c r="Z217" s="84">
        <f>ROUND((IF(($O217&lt;=700000),0,IF(((VLOOKUP($M217,'Loyalty - Effec - 15July'!$B$5:$C$17,2,0)*$O217)&lt;=120000),(VLOOKUP($M217,'Loyalty - Effec - 15July'!$B$5:$C$17,2,0)*$O217),120000))),0)</f>
        <v>0</v>
      </c>
      <c r="AA217" s="84">
        <f>ROUND(VLOOKUP($M217,'Loyalty - Effec - 15July'!$B$5:$D$17,3,0)*$O217,0)</f>
        <v>0</v>
      </c>
      <c r="AB217" s="85">
        <f t="shared" si="116"/>
        <v>0</v>
      </c>
      <c r="AC217" s="86">
        <f t="shared" si="117"/>
        <v>0</v>
      </c>
      <c r="AD217" s="87">
        <f t="shared" si="118"/>
        <v>0</v>
      </c>
      <c r="AE217" s="88">
        <f t="shared" si="119"/>
        <v>0</v>
      </c>
      <c r="AF217" s="88">
        <f t="shared" si="120"/>
        <v>0</v>
      </c>
      <c r="AG217" s="49" t="s">
        <v>200</v>
      </c>
      <c r="AH217" s="49" t="s">
        <v>83</v>
      </c>
      <c r="AI217" s="50"/>
      <c r="AJ217" s="46"/>
      <c r="AK217" s="46"/>
      <c r="AL217" s="46"/>
      <c r="AM217" s="51">
        <f>IF($AL217=4,VLOOKUP($AR217,'Loyalty Incentive v1'!$L$3:$Q$15,2,FALSE),
IF($AL217=3,VLOOKUP($AR217,'Loyalty Incentive v1'!$L$3:$Q$15,3,FALSE),
IF($AL217=2,VLOOKUP($AR217,'Loyalty Incentive v1'!$L$3:$Q$15,4,FALSE),
IF($AL217=1,VLOOKUP($AR217,'Loyalty Incentive v1'!$L$3:$Q$15,5,FALSE),
IF($AL217=0,VLOOKUP($AR217,'Loyalty Incentive v1'!$L$3:$Q$15,6,FALSE),0)))))</f>
        <v>0</v>
      </c>
      <c r="AN217" s="51">
        <f>IFERROR(IF(I217&gt;="1",AM217,VLOOKUP(VALUE(I217),'Loyalty - Effec - 15July'!$I$5:$J$16,2,0)*AM217),0)</f>
        <v>0</v>
      </c>
      <c r="AO217" s="51">
        <v>0</v>
      </c>
      <c r="AP217" s="51">
        <f t="shared" si="121"/>
        <v>0</v>
      </c>
      <c r="AQ217" s="46" t="str">
        <f t="shared" si="133"/>
        <v>No</v>
      </c>
      <c r="AR217" s="46" t="str">
        <f t="shared" si="134"/>
        <v>AE6</v>
      </c>
      <c r="AS217" s="46" t="b">
        <f t="shared" si="135"/>
        <v>1</v>
      </c>
      <c r="AT217" s="82">
        <f t="shared" si="136"/>
        <v>0</v>
      </c>
      <c r="AU217" s="82">
        <f t="shared" si="122"/>
        <v>0</v>
      </c>
      <c r="AV217" s="82">
        <f t="shared" si="123"/>
        <v>0</v>
      </c>
      <c r="AW217" s="82">
        <f t="shared" si="124"/>
        <v>0</v>
      </c>
      <c r="AX217" s="85"/>
      <c r="AY217" s="82">
        <f t="shared" si="125"/>
        <v>0</v>
      </c>
      <c r="AZ217" s="82">
        <f t="shared" si="126"/>
        <v>0</v>
      </c>
      <c r="BA217" s="82">
        <f t="shared" si="127"/>
        <v>0</v>
      </c>
      <c r="BB217" s="83">
        <v>0</v>
      </c>
      <c r="BC217" s="83">
        <v>0</v>
      </c>
      <c r="BD217" s="83">
        <v>0</v>
      </c>
      <c r="BE217" s="84">
        <f>ROUND((IF(($AT217&lt;=700000),0,IF(((VLOOKUP($AR217,'Loyalty - Effec - 15July'!$B$5:$C$17,2,0)*$AT217)&lt;=120000),(VLOOKUP($AR217,'Loyalty - Effec - 15July'!$B$5:$C$17,2,0)*$AT217),120000))),0)</f>
        <v>0</v>
      </c>
      <c r="BF217" s="84">
        <f>ROUND(VLOOKUP($AR217,'Loyalty - Effec - 15July'!$B$5:$D$17,3,0)*$AT217,0)</f>
        <v>0</v>
      </c>
      <c r="BG217" s="85">
        <f t="shared" si="128"/>
        <v>0</v>
      </c>
      <c r="BH217" s="81">
        <f t="shared" si="129"/>
        <v>0</v>
      </c>
      <c r="BI217" s="85">
        <f t="shared" si="130"/>
        <v>0</v>
      </c>
      <c r="BJ217" s="85">
        <f t="shared" si="131"/>
        <v>0</v>
      </c>
      <c r="BK217" s="85">
        <f t="shared" si="132"/>
        <v>0</v>
      </c>
      <c r="BL217" s="85">
        <f t="shared" si="137"/>
        <v>0</v>
      </c>
      <c r="BM217" s="85">
        <f t="shared" si="138"/>
        <v>0</v>
      </c>
      <c r="BN217" s="85">
        <f t="shared" si="139"/>
        <v>0</v>
      </c>
      <c r="BO217" s="52" t="s">
        <v>85</v>
      </c>
      <c r="BP217" s="46"/>
      <c r="BQ217" s="46"/>
      <c r="BR217" s="47">
        <f t="shared" si="143"/>
        <v>0</v>
      </c>
      <c r="BU217" s="47">
        <f t="shared" si="141"/>
        <v>0</v>
      </c>
      <c r="BV217" s="53" t="s">
        <v>481</v>
      </c>
      <c r="BW217" s="53" t="s">
        <v>932</v>
      </c>
      <c r="BX217" s="53" t="s">
        <v>703</v>
      </c>
      <c r="BY217" s="53"/>
      <c r="BZ217" s="53"/>
    </row>
    <row r="218" spans="1:79">
      <c r="A218" s="42" t="s">
        <v>482</v>
      </c>
      <c r="B218" s="28" t="s">
        <v>79</v>
      </c>
      <c r="C218" s="28" t="s">
        <v>80</v>
      </c>
      <c r="D218" s="28" t="s">
        <v>932</v>
      </c>
      <c r="E218" s="43" t="s">
        <v>184</v>
      </c>
      <c r="F218" s="28" t="s">
        <v>901</v>
      </c>
      <c r="G218" s="44" t="s">
        <v>704</v>
      </c>
      <c r="H218" s="45">
        <v>44851</v>
      </c>
      <c r="I218" s="46" t="s">
        <v>1000</v>
      </c>
      <c r="J218" s="28">
        <v>0</v>
      </c>
      <c r="K218" s="28" t="s">
        <v>421</v>
      </c>
      <c r="L218" s="28" t="s">
        <v>894</v>
      </c>
      <c r="M218" s="28" t="s">
        <v>9</v>
      </c>
      <c r="N218" s="28" t="str">
        <f t="shared" si="109"/>
        <v>AE1</v>
      </c>
      <c r="O218" s="81"/>
      <c r="P218" s="81">
        <f t="shared" si="110"/>
        <v>0</v>
      </c>
      <c r="Q218" s="81">
        <f t="shared" si="111"/>
        <v>0</v>
      </c>
      <c r="R218" s="81">
        <f t="shared" si="112"/>
        <v>0</v>
      </c>
      <c r="S218" s="81"/>
      <c r="T218" s="82">
        <f t="shared" si="113"/>
        <v>0</v>
      </c>
      <c r="U218" s="82">
        <f t="shared" si="114"/>
        <v>0</v>
      </c>
      <c r="V218" s="82">
        <f t="shared" si="115"/>
        <v>0</v>
      </c>
      <c r="W218" s="83">
        <v>0</v>
      </c>
      <c r="X218" s="83">
        <v>0</v>
      </c>
      <c r="Y218" s="83">
        <v>0</v>
      </c>
      <c r="Z218" s="84">
        <f>ROUND((IF(($O218&lt;=700000),0,IF(((VLOOKUP($M218,'Loyalty - Effec - 15July'!$B$5:$C$17,2,0)*$O218)&lt;=120000),(VLOOKUP($M218,'Loyalty - Effec - 15July'!$B$5:$C$17,2,0)*$O218),120000))),0)</f>
        <v>0</v>
      </c>
      <c r="AA218" s="84">
        <f>ROUND(VLOOKUP($M218,'Loyalty - Effec - 15July'!$B$5:$D$17,3,0)*$O218,0)</f>
        <v>0</v>
      </c>
      <c r="AB218" s="85">
        <f t="shared" si="116"/>
        <v>0</v>
      </c>
      <c r="AC218" s="86">
        <f t="shared" si="117"/>
        <v>0</v>
      </c>
      <c r="AD218" s="87">
        <f t="shared" si="118"/>
        <v>0</v>
      </c>
      <c r="AE218" s="88">
        <f t="shared" si="119"/>
        <v>0</v>
      </c>
      <c r="AF218" s="88">
        <f t="shared" si="120"/>
        <v>0</v>
      </c>
      <c r="AG218" s="49" t="s">
        <v>923</v>
      </c>
      <c r="AH218" s="49" t="s">
        <v>906</v>
      </c>
      <c r="AI218" s="50"/>
      <c r="AJ218" s="46"/>
      <c r="AK218" s="46"/>
      <c r="AL218" s="46"/>
      <c r="AM218" s="51">
        <f>IF($AL218=4,VLOOKUP($AR218,'Loyalty Incentive v1'!$L$3:$Q$15,2,FALSE),
IF($AL218=3,VLOOKUP($AR218,'Loyalty Incentive v1'!$L$3:$Q$15,3,FALSE),
IF($AL218=2,VLOOKUP($AR218,'Loyalty Incentive v1'!$L$3:$Q$15,4,FALSE),
IF($AL218=1,VLOOKUP($AR218,'Loyalty Incentive v1'!$L$3:$Q$15,5,FALSE),
IF($AL218=0,VLOOKUP($AR218,'Loyalty Incentive v1'!$L$3:$Q$15,6,FALSE),0)))))</f>
        <v>0</v>
      </c>
      <c r="AN218" s="51">
        <f>IFERROR(IF(I218&gt;="1",AM218,VLOOKUP(VALUE(I218),'Loyalty - Effec - 15July'!$I$5:$J$16,2,0)*AM218),0)</f>
        <v>0</v>
      </c>
      <c r="AO218" s="51">
        <v>0</v>
      </c>
      <c r="AP218" s="51">
        <f t="shared" si="121"/>
        <v>0</v>
      </c>
      <c r="AQ218" s="46" t="str">
        <f t="shared" si="133"/>
        <v>No</v>
      </c>
      <c r="AR218" s="46" t="str">
        <f t="shared" si="134"/>
        <v>AE1</v>
      </c>
      <c r="AS218" s="46" t="b">
        <f t="shared" si="135"/>
        <v>1</v>
      </c>
      <c r="AT218" s="82">
        <f t="shared" si="136"/>
        <v>0</v>
      </c>
      <c r="AU218" s="82">
        <f t="shared" si="122"/>
        <v>0</v>
      </c>
      <c r="AV218" s="82">
        <f t="shared" si="123"/>
        <v>0</v>
      </c>
      <c r="AW218" s="82">
        <f t="shared" si="124"/>
        <v>0</v>
      </c>
      <c r="AX218" s="85"/>
      <c r="AY218" s="82">
        <f t="shared" si="125"/>
        <v>0</v>
      </c>
      <c r="AZ218" s="82">
        <f t="shared" si="126"/>
        <v>0</v>
      </c>
      <c r="BA218" s="82">
        <f t="shared" si="127"/>
        <v>0</v>
      </c>
      <c r="BB218" s="83">
        <v>0</v>
      </c>
      <c r="BC218" s="83">
        <v>0</v>
      </c>
      <c r="BD218" s="83">
        <v>0</v>
      </c>
      <c r="BE218" s="84">
        <f>ROUND((IF(($AT218&lt;=700000),0,IF(((VLOOKUP($AR218,'Loyalty - Effec - 15July'!$B$5:$C$17,2,0)*$AT218)&lt;=120000),(VLOOKUP($AR218,'Loyalty - Effec - 15July'!$B$5:$C$17,2,0)*$AT218),120000))),0)</f>
        <v>0</v>
      </c>
      <c r="BF218" s="84">
        <f>ROUND(VLOOKUP($AR218,'Loyalty - Effec - 15July'!$B$5:$D$17,3,0)*$AT218,0)</f>
        <v>0</v>
      </c>
      <c r="BG218" s="85">
        <f t="shared" si="128"/>
        <v>0</v>
      </c>
      <c r="BH218" s="81">
        <f t="shared" si="129"/>
        <v>0</v>
      </c>
      <c r="BI218" s="85">
        <f t="shared" si="130"/>
        <v>0</v>
      </c>
      <c r="BJ218" s="85">
        <f t="shared" si="131"/>
        <v>0</v>
      </c>
      <c r="BK218" s="85">
        <f t="shared" si="132"/>
        <v>0</v>
      </c>
      <c r="BL218" s="85">
        <f t="shared" si="137"/>
        <v>0</v>
      </c>
      <c r="BM218" s="85">
        <f t="shared" si="138"/>
        <v>0</v>
      </c>
      <c r="BN218" s="85">
        <f t="shared" si="139"/>
        <v>0</v>
      </c>
      <c r="BO218" s="52" t="s">
        <v>85</v>
      </c>
      <c r="BP218" s="46"/>
      <c r="BQ218" s="46"/>
      <c r="BR218" s="47">
        <f t="shared" si="143"/>
        <v>0</v>
      </c>
      <c r="BU218" s="47">
        <f t="shared" si="141"/>
        <v>0</v>
      </c>
      <c r="BV218" s="53" t="s">
        <v>482</v>
      </c>
      <c r="BW218" s="53" t="s">
        <v>932</v>
      </c>
      <c r="BX218" s="53" t="s">
        <v>704</v>
      </c>
      <c r="BY218" s="53"/>
      <c r="BZ218" s="53"/>
    </row>
    <row r="219" spans="1:79">
      <c r="A219" s="42" t="s">
        <v>483</v>
      </c>
      <c r="B219" s="28" t="s">
        <v>79</v>
      </c>
      <c r="C219" s="28" t="s">
        <v>80</v>
      </c>
      <c r="D219" s="28" t="s">
        <v>932</v>
      </c>
      <c r="E219" s="43" t="s">
        <v>184</v>
      </c>
      <c r="F219" s="28" t="s">
        <v>901</v>
      </c>
      <c r="G219" s="44" t="s">
        <v>705</v>
      </c>
      <c r="H219" s="45">
        <v>44851</v>
      </c>
      <c r="I219" s="46" t="s">
        <v>1000</v>
      </c>
      <c r="J219" s="28">
        <v>0</v>
      </c>
      <c r="K219" s="28" t="s">
        <v>413</v>
      </c>
      <c r="L219" s="28" t="s">
        <v>880</v>
      </c>
      <c r="M219" s="28" t="s">
        <v>0</v>
      </c>
      <c r="N219" s="28" t="str">
        <f>M219</f>
        <v>AE2</v>
      </c>
      <c r="O219" s="81"/>
      <c r="P219" s="81">
        <f t="shared" si="110"/>
        <v>0</v>
      </c>
      <c r="Q219" s="81">
        <f t="shared" si="111"/>
        <v>0</v>
      </c>
      <c r="R219" s="81">
        <f t="shared" si="112"/>
        <v>0</v>
      </c>
      <c r="S219" s="81"/>
      <c r="T219" s="82">
        <f t="shared" si="113"/>
        <v>0</v>
      </c>
      <c r="U219" s="82">
        <f t="shared" si="114"/>
        <v>0</v>
      </c>
      <c r="V219" s="82">
        <f t="shared" si="115"/>
        <v>0</v>
      </c>
      <c r="W219" s="83">
        <v>0</v>
      </c>
      <c r="X219" s="83">
        <v>0</v>
      </c>
      <c r="Y219" s="83">
        <v>0</v>
      </c>
      <c r="Z219" s="84">
        <f>ROUND((IF(($O219&lt;=700000),0,IF(((VLOOKUP($M219,'Loyalty - Effec - 15July'!$B$5:$C$17,2,0)*$O219)&lt;=120000),(VLOOKUP($M219,'Loyalty - Effec - 15July'!$B$5:$C$17,2,0)*$O219),120000))),0)</f>
        <v>0</v>
      </c>
      <c r="AA219" s="84">
        <f>ROUND(VLOOKUP($M219,'Loyalty - Effec - 15July'!$B$5:$D$17,3,0)*$O219,0)</f>
        <v>0</v>
      </c>
      <c r="AB219" s="85">
        <f t="shared" si="116"/>
        <v>0</v>
      </c>
      <c r="AC219" s="86">
        <f t="shared" si="117"/>
        <v>0</v>
      </c>
      <c r="AD219" s="87">
        <f t="shared" si="118"/>
        <v>0</v>
      </c>
      <c r="AE219" s="88">
        <f t="shared" si="119"/>
        <v>0</v>
      </c>
      <c r="AF219" s="88">
        <f t="shared" si="120"/>
        <v>0</v>
      </c>
      <c r="AG219" s="49" t="s">
        <v>655</v>
      </c>
      <c r="AH219" s="49" t="s">
        <v>126</v>
      </c>
      <c r="AI219" s="50"/>
      <c r="AJ219" s="46"/>
      <c r="AK219" s="46"/>
      <c r="AL219" s="46"/>
      <c r="AM219" s="51">
        <f>IF($AL219=4,VLOOKUP($AR219,'Loyalty Incentive v1'!$L$3:$Q$15,2,FALSE),
IF($AL219=3,VLOOKUP($AR219,'Loyalty Incentive v1'!$L$3:$Q$15,3,FALSE),
IF($AL219=2,VLOOKUP($AR219,'Loyalty Incentive v1'!$L$3:$Q$15,4,FALSE),
IF($AL219=1,VLOOKUP($AR219,'Loyalty Incentive v1'!$L$3:$Q$15,5,FALSE),
IF($AL219=0,VLOOKUP($AR219,'Loyalty Incentive v1'!$L$3:$Q$15,6,FALSE),0)))))</f>
        <v>0</v>
      </c>
      <c r="AN219" s="51">
        <f>IFERROR(IF(I219&gt;="1",AM219,VLOOKUP(VALUE(I219),'Loyalty - Effec - 15July'!$I$5:$J$16,2,0)*AM219),0)</f>
        <v>0</v>
      </c>
      <c r="AO219" s="51">
        <v>0</v>
      </c>
      <c r="AP219" s="51">
        <f t="shared" si="121"/>
        <v>0</v>
      </c>
      <c r="AQ219" s="46" t="str">
        <f t="shared" si="133"/>
        <v>No</v>
      </c>
      <c r="AR219" s="46" t="str">
        <f t="shared" si="134"/>
        <v>AE2</v>
      </c>
      <c r="AS219" s="46" t="b">
        <f t="shared" si="135"/>
        <v>1</v>
      </c>
      <c r="AT219" s="82">
        <f t="shared" si="136"/>
        <v>0</v>
      </c>
      <c r="AU219" s="82">
        <f t="shared" si="122"/>
        <v>0</v>
      </c>
      <c r="AV219" s="82">
        <f t="shared" si="123"/>
        <v>0</v>
      </c>
      <c r="AW219" s="82">
        <f t="shared" si="124"/>
        <v>0</v>
      </c>
      <c r="AX219" s="85"/>
      <c r="AY219" s="82">
        <f t="shared" si="125"/>
        <v>0</v>
      </c>
      <c r="AZ219" s="82">
        <f t="shared" si="126"/>
        <v>0</v>
      </c>
      <c r="BA219" s="82">
        <f t="shared" si="127"/>
        <v>0</v>
      </c>
      <c r="BB219" s="83">
        <v>0</v>
      </c>
      <c r="BC219" s="83">
        <v>0</v>
      </c>
      <c r="BD219" s="83">
        <v>0</v>
      </c>
      <c r="BE219" s="84">
        <f>ROUND((IF(($AT219&lt;=700000),0,IF(((VLOOKUP($AR219,'Loyalty - Effec - 15July'!$B$5:$C$17,2,0)*$AT219)&lt;=120000),(VLOOKUP($AR219,'Loyalty - Effec - 15July'!$B$5:$C$17,2,0)*$AT219),120000))),0)</f>
        <v>0</v>
      </c>
      <c r="BF219" s="84">
        <f>ROUND(VLOOKUP($AR219,'Loyalty - Effec - 15July'!$B$5:$D$17,3,0)*$AT219,0)</f>
        <v>0</v>
      </c>
      <c r="BG219" s="85">
        <f t="shared" si="128"/>
        <v>0</v>
      </c>
      <c r="BH219" s="81">
        <f t="shared" si="129"/>
        <v>0</v>
      </c>
      <c r="BI219" s="85">
        <f t="shared" si="130"/>
        <v>0</v>
      </c>
      <c r="BJ219" s="85">
        <f t="shared" si="131"/>
        <v>0</v>
      </c>
      <c r="BK219" s="85">
        <f t="shared" si="132"/>
        <v>0</v>
      </c>
      <c r="BL219" s="85">
        <f t="shared" si="137"/>
        <v>0</v>
      </c>
      <c r="BM219" s="85">
        <f t="shared" si="138"/>
        <v>0</v>
      </c>
      <c r="BN219" s="85">
        <f t="shared" si="139"/>
        <v>0</v>
      </c>
      <c r="BO219" s="52" t="s">
        <v>85</v>
      </c>
      <c r="BP219" s="46"/>
      <c r="BQ219" s="46"/>
      <c r="BR219" s="47">
        <f t="shared" si="143"/>
        <v>0</v>
      </c>
      <c r="BU219" s="47">
        <f t="shared" si="141"/>
        <v>0</v>
      </c>
      <c r="BV219" s="53" t="s">
        <v>483</v>
      </c>
      <c r="BW219" s="53" t="s">
        <v>932</v>
      </c>
      <c r="BX219" s="53" t="s">
        <v>705</v>
      </c>
      <c r="BY219" s="53"/>
      <c r="BZ219" s="53"/>
    </row>
    <row r="220" spans="1:79">
      <c r="A220" s="42" t="s">
        <v>484</v>
      </c>
      <c r="B220" s="28" t="s">
        <v>79</v>
      </c>
      <c r="C220" s="28" t="s">
        <v>80</v>
      </c>
      <c r="D220" s="28" t="s">
        <v>932</v>
      </c>
      <c r="E220" s="43" t="s">
        <v>184</v>
      </c>
      <c r="F220" s="28" t="s">
        <v>901</v>
      </c>
      <c r="G220" s="44" t="s">
        <v>706</v>
      </c>
      <c r="H220" s="45">
        <v>44851</v>
      </c>
      <c r="I220" s="46" t="s">
        <v>1000</v>
      </c>
      <c r="J220" s="28">
        <v>0</v>
      </c>
      <c r="K220" s="28" t="s">
        <v>396</v>
      </c>
      <c r="L220" s="28" t="s">
        <v>155</v>
      </c>
      <c r="M220" s="28" t="s">
        <v>0</v>
      </c>
      <c r="N220" s="28" t="str">
        <f t="shared" si="109"/>
        <v>AE2</v>
      </c>
      <c r="O220" s="81"/>
      <c r="P220" s="81">
        <f t="shared" si="110"/>
        <v>0</v>
      </c>
      <c r="Q220" s="81">
        <f t="shared" si="111"/>
        <v>0</v>
      </c>
      <c r="R220" s="81">
        <f t="shared" si="112"/>
        <v>0</v>
      </c>
      <c r="S220" s="81"/>
      <c r="T220" s="82">
        <f t="shared" si="113"/>
        <v>0</v>
      </c>
      <c r="U220" s="82">
        <f t="shared" si="114"/>
        <v>0</v>
      </c>
      <c r="V220" s="82">
        <f t="shared" si="115"/>
        <v>0</v>
      </c>
      <c r="W220" s="83">
        <v>0</v>
      </c>
      <c r="X220" s="83">
        <v>0</v>
      </c>
      <c r="Y220" s="83">
        <v>0</v>
      </c>
      <c r="Z220" s="84">
        <f>ROUND((IF(($O220&lt;=700000),0,IF(((VLOOKUP($M220,'Loyalty - Effec - 15July'!$B$5:$C$17,2,0)*$O220)&lt;=120000),(VLOOKUP($M220,'Loyalty - Effec - 15July'!$B$5:$C$17,2,0)*$O220),120000))),0)</f>
        <v>0</v>
      </c>
      <c r="AA220" s="84">
        <f>ROUND(VLOOKUP($M220,'Loyalty - Effec - 15July'!$B$5:$D$17,3,0)*$O220,0)</f>
        <v>0</v>
      </c>
      <c r="AB220" s="85">
        <f t="shared" si="116"/>
        <v>0</v>
      </c>
      <c r="AC220" s="86">
        <f t="shared" si="117"/>
        <v>0</v>
      </c>
      <c r="AD220" s="87">
        <f t="shared" si="118"/>
        <v>0</v>
      </c>
      <c r="AE220" s="88">
        <f t="shared" si="119"/>
        <v>0</v>
      </c>
      <c r="AF220" s="88">
        <f t="shared" si="120"/>
        <v>0</v>
      </c>
      <c r="AG220" s="49" t="s">
        <v>670</v>
      </c>
      <c r="AH220" s="49" t="s">
        <v>200</v>
      </c>
      <c r="AI220" s="50"/>
      <c r="AJ220" s="46"/>
      <c r="AK220" s="46"/>
      <c r="AL220" s="46"/>
      <c r="AM220" s="51">
        <f>IF($AL220=4,VLOOKUP($AR220,'Loyalty Incentive v1'!$L$3:$Q$15,2,FALSE),
IF($AL220=3,VLOOKUP($AR220,'Loyalty Incentive v1'!$L$3:$Q$15,3,FALSE),
IF($AL220=2,VLOOKUP($AR220,'Loyalty Incentive v1'!$L$3:$Q$15,4,FALSE),
IF($AL220=1,VLOOKUP($AR220,'Loyalty Incentive v1'!$L$3:$Q$15,5,FALSE),
IF($AL220=0,VLOOKUP($AR220,'Loyalty Incentive v1'!$L$3:$Q$15,6,FALSE),0)))))</f>
        <v>0</v>
      </c>
      <c r="AN220" s="51">
        <f>IFERROR(IF(I220&gt;="1",AM220,VLOOKUP(VALUE(I220),'Loyalty - Effec - 15July'!$I$5:$J$16,2,0)*AM220),0)</f>
        <v>0</v>
      </c>
      <c r="AO220" s="51">
        <v>0</v>
      </c>
      <c r="AP220" s="51">
        <f t="shared" si="121"/>
        <v>0</v>
      </c>
      <c r="AQ220" s="46" t="str">
        <f t="shared" si="133"/>
        <v>No</v>
      </c>
      <c r="AR220" s="46" t="str">
        <f t="shared" si="134"/>
        <v>AE2</v>
      </c>
      <c r="AS220" s="46" t="b">
        <f t="shared" si="135"/>
        <v>1</v>
      </c>
      <c r="AT220" s="82">
        <f t="shared" si="136"/>
        <v>0</v>
      </c>
      <c r="AU220" s="82">
        <f t="shared" si="122"/>
        <v>0</v>
      </c>
      <c r="AV220" s="82">
        <f t="shared" si="123"/>
        <v>0</v>
      </c>
      <c r="AW220" s="82">
        <f t="shared" si="124"/>
        <v>0</v>
      </c>
      <c r="AX220" s="85"/>
      <c r="AY220" s="82">
        <f t="shared" si="125"/>
        <v>0</v>
      </c>
      <c r="AZ220" s="82">
        <f t="shared" si="126"/>
        <v>0</v>
      </c>
      <c r="BA220" s="82">
        <f t="shared" si="127"/>
        <v>0</v>
      </c>
      <c r="BB220" s="83">
        <v>0</v>
      </c>
      <c r="BC220" s="83">
        <v>0</v>
      </c>
      <c r="BD220" s="83">
        <v>0</v>
      </c>
      <c r="BE220" s="84">
        <f>ROUND((IF(($AT220&lt;=700000),0,IF(((VLOOKUP($AR220,'Loyalty - Effec - 15July'!$B$5:$C$17,2,0)*$AT220)&lt;=120000),(VLOOKUP($AR220,'Loyalty - Effec - 15July'!$B$5:$C$17,2,0)*$AT220),120000))),0)</f>
        <v>0</v>
      </c>
      <c r="BF220" s="84">
        <f>ROUND(VLOOKUP($AR220,'Loyalty - Effec - 15July'!$B$5:$D$17,3,0)*$AT220,0)</f>
        <v>0</v>
      </c>
      <c r="BG220" s="85">
        <f t="shared" si="128"/>
        <v>0</v>
      </c>
      <c r="BH220" s="81">
        <f t="shared" si="129"/>
        <v>0</v>
      </c>
      <c r="BI220" s="85">
        <f t="shared" si="130"/>
        <v>0</v>
      </c>
      <c r="BJ220" s="85">
        <f t="shared" si="131"/>
        <v>0</v>
      </c>
      <c r="BK220" s="85">
        <f t="shared" si="132"/>
        <v>0</v>
      </c>
      <c r="BL220" s="85">
        <f t="shared" si="137"/>
        <v>0</v>
      </c>
      <c r="BM220" s="85">
        <f t="shared" si="138"/>
        <v>0</v>
      </c>
      <c r="BN220" s="85">
        <f t="shared" si="139"/>
        <v>0</v>
      </c>
      <c r="BO220" s="52" t="s">
        <v>85</v>
      </c>
      <c r="BP220" s="46"/>
      <c r="BQ220" s="46"/>
      <c r="BR220" s="47">
        <f t="shared" si="143"/>
        <v>0</v>
      </c>
      <c r="BU220" s="47">
        <f t="shared" si="141"/>
        <v>0</v>
      </c>
      <c r="BV220" s="53" t="s">
        <v>484</v>
      </c>
      <c r="BW220" s="53" t="s">
        <v>932</v>
      </c>
      <c r="BX220" s="53" t="s">
        <v>706</v>
      </c>
      <c r="BY220" s="53"/>
      <c r="BZ220" s="53"/>
    </row>
    <row r="221" spans="1:79">
      <c r="A221" s="42" t="s">
        <v>485</v>
      </c>
      <c r="B221" s="28" t="s">
        <v>79</v>
      </c>
      <c r="C221" s="28" t="s">
        <v>80</v>
      </c>
      <c r="D221" s="28" t="s">
        <v>932</v>
      </c>
      <c r="E221" s="43" t="s">
        <v>82</v>
      </c>
      <c r="F221" s="28" t="s">
        <v>901</v>
      </c>
      <c r="G221" s="44" t="s">
        <v>707</v>
      </c>
      <c r="H221" s="45">
        <v>44851</v>
      </c>
      <c r="I221" s="46" t="s">
        <v>1000</v>
      </c>
      <c r="J221" s="28">
        <v>5</v>
      </c>
      <c r="K221" s="28" t="s">
        <v>413</v>
      </c>
      <c r="L221" s="28" t="s">
        <v>880</v>
      </c>
      <c r="M221" s="28" t="s">
        <v>0</v>
      </c>
      <c r="N221" s="28" t="str">
        <f t="shared" si="109"/>
        <v>AE2</v>
      </c>
      <c r="O221" s="81"/>
      <c r="P221" s="81">
        <f t="shared" si="110"/>
        <v>0</v>
      </c>
      <c r="Q221" s="81">
        <f t="shared" si="111"/>
        <v>0</v>
      </c>
      <c r="R221" s="81">
        <f t="shared" si="112"/>
        <v>0</v>
      </c>
      <c r="S221" s="81"/>
      <c r="T221" s="82">
        <f t="shared" si="113"/>
        <v>0</v>
      </c>
      <c r="U221" s="82">
        <f t="shared" si="114"/>
        <v>0</v>
      </c>
      <c r="V221" s="82">
        <f t="shared" si="115"/>
        <v>0</v>
      </c>
      <c r="W221" s="83">
        <v>0</v>
      </c>
      <c r="X221" s="83">
        <v>0</v>
      </c>
      <c r="Y221" s="83">
        <v>0</v>
      </c>
      <c r="Z221" s="84">
        <f>ROUND((IF(($O221&lt;=700000),0,IF(((VLOOKUP($M221,'Loyalty - Effec - 15July'!$B$5:$C$17,2,0)*$O221)&lt;=120000),(VLOOKUP($M221,'Loyalty - Effec - 15July'!$B$5:$C$17,2,0)*$O221),120000))),0)</f>
        <v>0</v>
      </c>
      <c r="AA221" s="84">
        <f>ROUND(VLOOKUP($M221,'Loyalty - Effec - 15July'!$B$5:$D$17,3,0)*$O221,0)</f>
        <v>0</v>
      </c>
      <c r="AB221" s="85">
        <f t="shared" si="116"/>
        <v>0</v>
      </c>
      <c r="AC221" s="86">
        <f t="shared" si="117"/>
        <v>0</v>
      </c>
      <c r="AD221" s="87">
        <f t="shared" si="118"/>
        <v>0</v>
      </c>
      <c r="AE221" s="88">
        <f t="shared" si="119"/>
        <v>0</v>
      </c>
      <c r="AF221" s="88">
        <f t="shared" si="120"/>
        <v>0</v>
      </c>
      <c r="AG221" s="49" t="s">
        <v>921</v>
      </c>
      <c r="AH221" s="49" t="s">
        <v>120</v>
      </c>
      <c r="AI221" s="50"/>
      <c r="AJ221" s="46"/>
      <c r="AK221" s="46"/>
      <c r="AL221" s="46"/>
      <c r="AM221" s="51">
        <f>IF($AL221=4,VLOOKUP($AR221,'Loyalty Incentive v1'!$L$3:$Q$15,2,FALSE),
IF($AL221=3,VLOOKUP($AR221,'Loyalty Incentive v1'!$L$3:$Q$15,3,FALSE),
IF($AL221=2,VLOOKUP($AR221,'Loyalty Incentive v1'!$L$3:$Q$15,4,FALSE),
IF($AL221=1,VLOOKUP($AR221,'Loyalty Incentive v1'!$L$3:$Q$15,5,FALSE),
IF($AL221=0,VLOOKUP($AR221,'Loyalty Incentive v1'!$L$3:$Q$15,6,FALSE),0)))))</f>
        <v>0</v>
      </c>
      <c r="AN221" s="51">
        <f>IFERROR(IF(I221&gt;="1",AM221,VLOOKUP(VALUE(I221),'Loyalty - Effec - 15July'!$I$5:$J$16,2,0)*AM221),0)</f>
        <v>0</v>
      </c>
      <c r="AO221" s="51">
        <v>0</v>
      </c>
      <c r="AP221" s="51">
        <f t="shared" si="121"/>
        <v>0</v>
      </c>
      <c r="AQ221" s="46" t="str">
        <f t="shared" si="133"/>
        <v>No</v>
      </c>
      <c r="AR221" s="46" t="str">
        <f t="shared" si="134"/>
        <v>AE2</v>
      </c>
      <c r="AS221" s="46" t="b">
        <f t="shared" si="135"/>
        <v>1</v>
      </c>
      <c r="AT221" s="82">
        <f t="shared" si="136"/>
        <v>0</v>
      </c>
      <c r="AU221" s="82">
        <f t="shared" si="122"/>
        <v>0</v>
      </c>
      <c r="AV221" s="82">
        <f t="shared" si="123"/>
        <v>0</v>
      </c>
      <c r="AW221" s="82">
        <f t="shared" si="124"/>
        <v>0</v>
      </c>
      <c r="AX221" s="85"/>
      <c r="AY221" s="82">
        <f t="shared" si="125"/>
        <v>0</v>
      </c>
      <c r="AZ221" s="82">
        <f t="shared" si="126"/>
        <v>0</v>
      </c>
      <c r="BA221" s="82">
        <f t="shared" si="127"/>
        <v>0</v>
      </c>
      <c r="BB221" s="83">
        <v>0</v>
      </c>
      <c r="BC221" s="83">
        <v>0</v>
      </c>
      <c r="BD221" s="83">
        <v>0</v>
      </c>
      <c r="BE221" s="84">
        <f>ROUND((IF(($AT221&lt;=700000),0,IF(((VLOOKUP($AR221,'Loyalty - Effec - 15July'!$B$5:$C$17,2,0)*$AT221)&lt;=120000),(VLOOKUP($AR221,'Loyalty - Effec - 15July'!$B$5:$C$17,2,0)*$AT221),120000))),0)</f>
        <v>0</v>
      </c>
      <c r="BF221" s="84">
        <f>ROUND(VLOOKUP($AR221,'Loyalty - Effec - 15July'!$B$5:$D$17,3,0)*$AT221,0)</f>
        <v>0</v>
      </c>
      <c r="BG221" s="85">
        <f t="shared" si="128"/>
        <v>0</v>
      </c>
      <c r="BH221" s="81">
        <f t="shared" si="129"/>
        <v>0</v>
      </c>
      <c r="BI221" s="85">
        <f t="shared" si="130"/>
        <v>0</v>
      </c>
      <c r="BJ221" s="85">
        <f t="shared" si="131"/>
        <v>0</v>
      </c>
      <c r="BK221" s="85">
        <f t="shared" si="132"/>
        <v>0</v>
      </c>
      <c r="BL221" s="85">
        <f t="shared" si="137"/>
        <v>0</v>
      </c>
      <c r="BM221" s="85">
        <f t="shared" si="138"/>
        <v>0</v>
      </c>
      <c r="BN221" s="85">
        <f t="shared" si="139"/>
        <v>0</v>
      </c>
      <c r="BO221" s="52" t="s">
        <v>85</v>
      </c>
      <c r="BP221" s="46"/>
      <c r="BQ221" s="46"/>
      <c r="BR221" s="47">
        <f t="shared" si="143"/>
        <v>0</v>
      </c>
      <c r="BU221" s="47">
        <f t="shared" si="141"/>
        <v>0</v>
      </c>
      <c r="BV221" s="53" t="s">
        <v>485</v>
      </c>
      <c r="BW221" s="53" t="s">
        <v>932</v>
      </c>
      <c r="BX221" s="53" t="s">
        <v>707</v>
      </c>
      <c r="BY221" s="53"/>
      <c r="BZ221" s="53"/>
    </row>
    <row r="222" spans="1:79">
      <c r="A222" s="42" t="s">
        <v>486</v>
      </c>
      <c r="B222" s="28" t="s">
        <v>79</v>
      </c>
      <c r="C222" s="28" t="s">
        <v>80</v>
      </c>
      <c r="D222" s="28" t="s">
        <v>81</v>
      </c>
      <c r="E222" s="43" t="s">
        <v>82</v>
      </c>
      <c r="F222" s="28" t="s">
        <v>902</v>
      </c>
      <c r="G222" s="44" t="s">
        <v>708</v>
      </c>
      <c r="H222" s="45">
        <v>44859</v>
      </c>
      <c r="I222" s="28" t="s">
        <v>1000</v>
      </c>
      <c r="J222" s="28">
        <v>8</v>
      </c>
      <c r="K222" s="28" t="s">
        <v>413</v>
      </c>
      <c r="L222" s="28" t="s">
        <v>140</v>
      </c>
      <c r="M222" s="28" t="s">
        <v>1</v>
      </c>
      <c r="N222" s="28" t="str">
        <f t="shared" si="109"/>
        <v>AE3</v>
      </c>
      <c r="O222" s="81"/>
      <c r="P222" s="81">
        <f t="shared" si="110"/>
        <v>0</v>
      </c>
      <c r="Q222" s="81">
        <f t="shared" si="111"/>
        <v>0</v>
      </c>
      <c r="R222" s="81">
        <f t="shared" si="112"/>
        <v>0</v>
      </c>
      <c r="S222" s="81"/>
      <c r="T222" s="82">
        <f t="shared" si="113"/>
        <v>0</v>
      </c>
      <c r="U222" s="82">
        <f t="shared" si="114"/>
        <v>0</v>
      </c>
      <c r="V222" s="82">
        <f t="shared" si="115"/>
        <v>0</v>
      </c>
      <c r="W222" s="83">
        <v>0</v>
      </c>
      <c r="X222" s="83">
        <v>0</v>
      </c>
      <c r="Y222" s="83">
        <v>0</v>
      </c>
      <c r="Z222" s="84">
        <f>ROUND((IF(($O222&lt;=700000),0,IF(((VLOOKUP($M222,'Loyalty - Effec - 15July'!$B$5:$C$17,2,0)*$O222)&lt;=120000),(VLOOKUP($M222,'Loyalty - Effec - 15July'!$B$5:$C$17,2,0)*$O222),120000))),0)</f>
        <v>0</v>
      </c>
      <c r="AA222" s="84">
        <f>ROUND(VLOOKUP($M222,'Loyalty - Effec - 15July'!$B$5:$D$17,3,0)*$O222,0)</f>
        <v>0</v>
      </c>
      <c r="AB222" s="85">
        <f t="shared" si="116"/>
        <v>0</v>
      </c>
      <c r="AC222" s="86">
        <f t="shared" si="117"/>
        <v>0</v>
      </c>
      <c r="AD222" s="87">
        <f t="shared" si="118"/>
        <v>0</v>
      </c>
      <c r="AE222" s="88">
        <f t="shared" si="119"/>
        <v>0</v>
      </c>
      <c r="AF222" s="88">
        <f t="shared" si="120"/>
        <v>0</v>
      </c>
      <c r="AG222" s="49" t="s">
        <v>919</v>
      </c>
      <c r="AH222" s="49" t="s">
        <v>928</v>
      </c>
      <c r="AI222" s="50"/>
      <c r="AJ222" s="50"/>
      <c r="AK222" s="50"/>
      <c r="AL222" s="46"/>
      <c r="AM222" s="51">
        <f>IF($AL222=4,VLOOKUP($AR222,'Loyalty Incentive v1'!$L$3:$Q$15,2,FALSE),
IF($AL222=3,VLOOKUP($AR222,'Loyalty Incentive v1'!$L$3:$Q$15,3,FALSE),
IF($AL222=2,VLOOKUP($AR222,'Loyalty Incentive v1'!$L$3:$Q$15,4,FALSE),
IF($AL222=1,VLOOKUP($AR222,'Loyalty Incentive v1'!$L$3:$Q$15,5,FALSE),
IF($AL222=0,VLOOKUP($AR222,'Loyalty Incentive v1'!$L$3:$Q$15,6,FALSE),0)))))</f>
        <v>0</v>
      </c>
      <c r="AN222" s="51">
        <f>IFERROR(IF(I222&gt;="1",AM222,VLOOKUP(VALUE(I222),'Loyalty - Effec - 15July'!$I$5:$J$16,2,0)*AM222),0)</f>
        <v>0</v>
      </c>
      <c r="AO222" s="51">
        <v>-0.09</v>
      </c>
      <c r="AP222" s="51">
        <f t="shared" si="121"/>
        <v>-0.09</v>
      </c>
      <c r="AQ222" s="46" t="str">
        <f t="shared" si="133"/>
        <v>No</v>
      </c>
      <c r="AR222" s="46" t="str">
        <f t="shared" si="134"/>
        <v>AE3</v>
      </c>
      <c r="AS222" s="46" t="b">
        <f t="shared" si="135"/>
        <v>1</v>
      </c>
      <c r="AT222" s="82">
        <f t="shared" si="136"/>
        <v>0</v>
      </c>
      <c r="AU222" s="82">
        <f t="shared" si="122"/>
        <v>0</v>
      </c>
      <c r="AV222" s="82">
        <f t="shared" si="123"/>
        <v>0</v>
      </c>
      <c r="AW222" s="82">
        <f t="shared" si="124"/>
        <v>0</v>
      </c>
      <c r="AX222" s="85"/>
      <c r="AY222" s="82">
        <f t="shared" si="125"/>
        <v>0</v>
      </c>
      <c r="AZ222" s="82">
        <f t="shared" si="126"/>
        <v>0</v>
      </c>
      <c r="BA222" s="82">
        <f t="shared" si="127"/>
        <v>0</v>
      </c>
      <c r="BB222" s="83">
        <v>0</v>
      </c>
      <c r="BC222" s="83">
        <v>0</v>
      </c>
      <c r="BD222" s="83">
        <v>0</v>
      </c>
      <c r="BE222" s="84">
        <f>ROUND((IF(($AT222&lt;=700000),0,IF(((VLOOKUP($AR222,'Loyalty - Effec - 15July'!$B$5:$C$17,2,0)*$AT222)&lt;=120000),(VLOOKUP($AR222,'Loyalty - Effec - 15July'!$B$5:$C$17,2,0)*$AT222),120000))),0)</f>
        <v>0</v>
      </c>
      <c r="BF222" s="84">
        <f>ROUND(VLOOKUP($AR222,'Loyalty - Effec - 15July'!$B$5:$D$17,3,0)*$AT222,0)</f>
        <v>0</v>
      </c>
      <c r="BG222" s="85">
        <f t="shared" si="128"/>
        <v>0</v>
      </c>
      <c r="BH222" s="81">
        <f t="shared" si="129"/>
        <v>0</v>
      </c>
      <c r="BI222" s="85">
        <f t="shared" si="130"/>
        <v>0</v>
      </c>
      <c r="BJ222" s="85">
        <f t="shared" si="131"/>
        <v>0</v>
      </c>
      <c r="BK222" s="85">
        <f t="shared" si="132"/>
        <v>0</v>
      </c>
      <c r="BL222" s="85">
        <f t="shared" si="137"/>
        <v>0</v>
      </c>
      <c r="BM222" s="85">
        <f t="shared" si="138"/>
        <v>0</v>
      </c>
      <c r="BN222" s="85">
        <f t="shared" si="139"/>
        <v>0</v>
      </c>
      <c r="BO222" s="52" t="s">
        <v>85</v>
      </c>
      <c r="BP222" s="46"/>
      <c r="BQ222" s="46"/>
      <c r="BR222" s="47">
        <f t="shared" si="143"/>
        <v>0</v>
      </c>
      <c r="BS222" s="46">
        <v>2</v>
      </c>
      <c r="BT222" s="54">
        <v>5.1249999999999997E-2</v>
      </c>
      <c r="BU222" s="47">
        <f t="shared" si="141"/>
        <v>0</v>
      </c>
      <c r="BV222" s="53" t="s">
        <v>486</v>
      </c>
      <c r="BW222" s="53" t="s">
        <v>81</v>
      </c>
      <c r="BX222" s="53" t="s">
        <v>708</v>
      </c>
      <c r="BY222" s="53"/>
      <c r="BZ222" s="53"/>
      <c r="CA222" s="55"/>
    </row>
    <row r="223" spans="1:79">
      <c r="A223" s="42" t="s">
        <v>487</v>
      </c>
      <c r="B223" s="28" t="s">
        <v>79</v>
      </c>
      <c r="C223" s="28" t="s">
        <v>80</v>
      </c>
      <c r="D223" s="28" t="s">
        <v>932</v>
      </c>
      <c r="E223" s="43" t="s">
        <v>82</v>
      </c>
      <c r="F223" s="28" t="s">
        <v>902</v>
      </c>
      <c r="G223" s="44" t="s">
        <v>709</v>
      </c>
      <c r="H223" s="45">
        <v>44859</v>
      </c>
      <c r="I223" s="46" t="s">
        <v>1000</v>
      </c>
      <c r="J223" s="28">
        <v>3</v>
      </c>
      <c r="K223" s="28" t="s">
        <v>420</v>
      </c>
      <c r="L223" s="28" t="s">
        <v>893</v>
      </c>
      <c r="M223" s="28" t="s">
        <v>1</v>
      </c>
      <c r="N223" s="28" t="str">
        <f t="shared" si="109"/>
        <v>AE3</v>
      </c>
      <c r="O223" s="81"/>
      <c r="P223" s="81">
        <f t="shared" si="110"/>
        <v>0</v>
      </c>
      <c r="Q223" s="81">
        <f t="shared" si="111"/>
        <v>0</v>
      </c>
      <c r="R223" s="81">
        <f t="shared" si="112"/>
        <v>0</v>
      </c>
      <c r="S223" s="81"/>
      <c r="T223" s="82">
        <f t="shared" si="113"/>
        <v>0</v>
      </c>
      <c r="U223" s="82">
        <f t="shared" si="114"/>
        <v>0</v>
      </c>
      <c r="V223" s="82">
        <f t="shared" si="115"/>
        <v>0</v>
      </c>
      <c r="W223" s="83">
        <v>0</v>
      </c>
      <c r="X223" s="83">
        <v>0</v>
      </c>
      <c r="Y223" s="83">
        <v>0</v>
      </c>
      <c r="Z223" s="84">
        <f>ROUND((IF(($O223&lt;=700000),0,IF(((VLOOKUP($M223,'Loyalty - Effec - 15July'!$B$5:$C$17,2,0)*$O223)&lt;=120000),(VLOOKUP($M223,'Loyalty - Effec - 15July'!$B$5:$C$17,2,0)*$O223),120000))),0)</f>
        <v>0</v>
      </c>
      <c r="AA223" s="84">
        <f>ROUND(VLOOKUP($M223,'Loyalty - Effec - 15July'!$B$5:$D$17,3,0)*$O223,0)</f>
        <v>0</v>
      </c>
      <c r="AB223" s="85">
        <f t="shared" si="116"/>
        <v>0</v>
      </c>
      <c r="AC223" s="86">
        <f t="shared" si="117"/>
        <v>0</v>
      </c>
      <c r="AD223" s="87">
        <f t="shared" si="118"/>
        <v>0</v>
      </c>
      <c r="AE223" s="88">
        <f t="shared" si="119"/>
        <v>0</v>
      </c>
      <c r="AF223" s="88">
        <f t="shared" si="120"/>
        <v>0</v>
      </c>
      <c r="AG223" s="49" t="s">
        <v>687</v>
      </c>
      <c r="AH223" s="49" t="s">
        <v>129</v>
      </c>
      <c r="AI223" s="50"/>
      <c r="AJ223" s="46"/>
      <c r="AK223" s="46"/>
      <c r="AL223" s="46"/>
      <c r="AM223" s="51">
        <f>IF($AL223=4,VLOOKUP($AR223,'Loyalty Incentive v1'!$L$3:$Q$15,2,FALSE),
IF($AL223=3,VLOOKUP($AR223,'Loyalty Incentive v1'!$L$3:$Q$15,3,FALSE),
IF($AL223=2,VLOOKUP($AR223,'Loyalty Incentive v1'!$L$3:$Q$15,4,FALSE),
IF($AL223=1,VLOOKUP($AR223,'Loyalty Incentive v1'!$L$3:$Q$15,5,FALSE),
IF($AL223=0,VLOOKUP($AR223,'Loyalty Incentive v1'!$L$3:$Q$15,6,FALSE),0)))))</f>
        <v>0</v>
      </c>
      <c r="AN223" s="51">
        <f>IFERROR(IF(I223&gt;="1",AM223,VLOOKUP(VALUE(I223),'Loyalty - Effec - 15July'!$I$5:$J$16,2,0)*AM223),0)</f>
        <v>0</v>
      </c>
      <c r="AO223" s="51">
        <v>0</v>
      </c>
      <c r="AP223" s="51">
        <f t="shared" si="121"/>
        <v>0</v>
      </c>
      <c r="AQ223" s="46" t="str">
        <f t="shared" si="133"/>
        <v>No</v>
      </c>
      <c r="AR223" s="46" t="str">
        <f t="shared" si="134"/>
        <v>AE3</v>
      </c>
      <c r="AS223" s="46" t="b">
        <f t="shared" si="135"/>
        <v>1</v>
      </c>
      <c r="AT223" s="82">
        <f t="shared" si="136"/>
        <v>0</v>
      </c>
      <c r="AU223" s="82">
        <f t="shared" si="122"/>
        <v>0</v>
      </c>
      <c r="AV223" s="82">
        <f t="shared" si="123"/>
        <v>0</v>
      </c>
      <c r="AW223" s="82">
        <f t="shared" si="124"/>
        <v>0</v>
      </c>
      <c r="AX223" s="85"/>
      <c r="AY223" s="82">
        <f t="shared" si="125"/>
        <v>0</v>
      </c>
      <c r="AZ223" s="82">
        <f t="shared" si="126"/>
        <v>0</v>
      </c>
      <c r="BA223" s="82">
        <f t="shared" si="127"/>
        <v>0</v>
      </c>
      <c r="BB223" s="83">
        <v>0</v>
      </c>
      <c r="BC223" s="83">
        <v>0</v>
      </c>
      <c r="BD223" s="83">
        <v>0</v>
      </c>
      <c r="BE223" s="84">
        <f>ROUND((IF(($AT223&lt;=700000),0,IF(((VLOOKUP($AR223,'Loyalty - Effec - 15July'!$B$5:$C$17,2,0)*$AT223)&lt;=120000),(VLOOKUP($AR223,'Loyalty - Effec - 15July'!$B$5:$C$17,2,0)*$AT223),120000))),0)</f>
        <v>0</v>
      </c>
      <c r="BF223" s="84">
        <f>ROUND(VLOOKUP($AR223,'Loyalty - Effec - 15July'!$B$5:$D$17,3,0)*$AT223,0)</f>
        <v>0</v>
      </c>
      <c r="BG223" s="85">
        <f t="shared" si="128"/>
        <v>0</v>
      </c>
      <c r="BH223" s="81">
        <f t="shared" si="129"/>
        <v>0</v>
      </c>
      <c r="BI223" s="85">
        <f t="shared" si="130"/>
        <v>0</v>
      </c>
      <c r="BJ223" s="85">
        <f t="shared" si="131"/>
        <v>0</v>
      </c>
      <c r="BK223" s="85">
        <f t="shared" si="132"/>
        <v>0</v>
      </c>
      <c r="BL223" s="85">
        <f t="shared" si="137"/>
        <v>0</v>
      </c>
      <c r="BM223" s="85">
        <f t="shared" si="138"/>
        <v>0</v>
      </c>
      <c r="BN223" s="85">
        <f t="shared" si="139"/>
        <v>0</v>
      </c>
      <c r="BO223" s="52" t="s">
        <v>85</v>
      </c>
      <c r="BP223" s="46"/>
      <c r="BQ223" s="46"/>
      <c r="BR223" s="47">
        <f t="shared" si="143"/>
        <v>0</v>
      </c>
      <c r="BU223" s="47">
        <f t="shared" si="141"/>
        <v>0</v>
      </c>
      <c r="BV223" s="53" t="s">
        <v>487</v>
      </c>
      <c r="BW223" s="53" t="s">
        <v>932</v>
      </c>
      <c r="BX223" s="53" t="s">
        <v>709</v>
      </c>
      <c r="BY223" s="53"/>
      <c r="BZ223" s="53"/>
    </row>
    <row r="224" spans="1:79">
      <c r="A224" s="42" t="s">
        <v>488</v>
      </c>
      <c r="B224" s="28" t="s">
        <v>79</v>
      </c>
      <c r="C224" s="28" t="s">
        <v>80</v>
      </c>
      <c r="D224" s="28" t="s">
        <v>932</v>
      </c>
      <c r="E224" s="43" t="s">
        <v>82</v>
      </c>
      <c r="F224" s="28" t="s">
        <v>902</v>
      </c>
      <c r="G224" s="44" t="s">
        <v>710</v>
      </c>
      <c r="H224" s="45">
        <v>44866</v>
      </c>
      <c r="I224" s="46" t="s">
        <v>1000</v>
      </c>
      <c r="J224" s="28">
        <v>2</v>
      </c>
      <c r="K224" s="28" t="s">
        <v>93</v>
      </c>
      <c r="L224" s="28" t="s">
        <v>873</v>
      </c>
      <c r="M224" s="28" t="s">
        <v>3</v>
      </c>
      <c r="N224" s="28" t="str">
        <f t="shared" si="109"/>
        <v>AE5</v>
      </c>
      <c r="O224" s="81"/>
      <c r="P224" s="81">
        <f t="shared" si="110"/>
        <v>0</v>
      </c>
      <c r="Q224" s="81">
        <f t="shared" si="111"/>
        <v>0</v>
      </c>
      <c r="R224" s="81">
        <f t="shared" si="112"/>
        <v>0</v>
      </c>
      <c r="S224" s="81"/>
      <c r="T224" s="82">
        <f t="shared" si="113"/>
        <v>0</v>
      </c>
      <c r="U224" s="82">
        <f t="shared" si="114"/>
        <v>0</v>
      </c>
      <c r="V224" s="82">
        <f t="shared" si="115"/>
        <v>0</v>
      </c>
      <c r="W224" s="83">
        <v>0</v>
      </c>
      <c r="X224" s="83">
        <v>0</v>
      </c>
      <c r="Y224" s="83">
        <v>0</v>
      </c>
      <c r="Z224" s="84">
        <f>ROUND((IF(($O224&lt;=700000),0,IF(((VLOOKUP($M224,'Loyalty - Effec - 15July'!$B$5:$C$17,2,0)*$O224)&lt;=120000),(VLOOKUP($M224,'Loyalty - Effec - 15July'!$B$5:$C$17,2,0)*$O224),120000))),0)</f>
        <v>0</v>
      </c>
      <c r="AA224" s="84">
        <f>ROUND(VLOOKUP($M224,'Loyalty - Effec - 15July'!$B$5:$D$17,3,0)*$O224,0)</f>
        <v>0</v>
      </c>
      <c r="AB224" s="85">
        <f t="shared" si="116"/>
        <v>0</v>
      </c>
      <c r="AC224" s="86">
        <f t="shared" si="117"/>
        <v>0</v>
      </c>
      <c r="AD224" s="87">
        <f t="shared" si="118"/>
        <v>0</v>
      </c>
      <c r="AE224" s="88">
        <f t="shared" si="119"/>
        <v>0</v>
      </c>
      <c r="AF224" s="88">
        <f t="shared" si="120"/>
        <v>0</v>
      </c>
      <c r="AG224" s="49" t="s">
        <v>146</v>
      </c>
      <c r="AH224" s="49" t="s">
        <v>910</v>
      </c>
      <c r="AI224" s="50"/>
      <c r="AJ224" s="46"/>
      <c r="AK224" s="46"/>
      <c r="AL224" s="46"/>
      <c r="AM224" s="51">
        <f>IF($AL224=4,VLOOKUP($AR224,'Loyalty Incentive v1'!$L$3:$Q$15,2,FALSE),
IF($AL224=3,VLOOKUP($AR224,'Loyalty Incentive v1'!$L$3:$Q$15,3,FALSE),
IF($AL224=2,VLOOKUP($AR224,'Loyalty Incentive v1'!$L$3:$Q$15,4,FALSE),
IF($AL224=1,VLOOKUP($AR224,'Loyalty Incentive v1'!$L$3:$Q$15,5,FALSE),
IF($AL224=0,VLOOKUP($AR224,'Loyalty Incentive v1'!$L$3:$Q$15,6,FALSE),0)))))</f>
        <v>0</v>
      </c>
      <c r="AN224" s="51">
        <f>IFERROR(IF(I224&gt;="1",AM224,VLOOKUP(VALUE(I224),'Loyalty - Effec - 15July'!$I$5:$J$16,2,0)*AM224),0)</f>
        <v>0</v>
      </c>
      <c r="AO224" s="51">
        <v>0</v>
      </c>
      <c r="AP224" s="51">
        <f t="shared" si="121"/>
        <v>0</v>
      </c>
      <c r="AQ224" s="46" t="str">
        <f t="shared" si="133"/>
        <v>No</v>
      </c>
      <c r="AR224" s="46" t="str">
        <f t="shared" si="134"/>
        <v>AE5</v>
      </c>
      <c r="AS224" s="46" t="b">
        <f t="shared" si="135"/>
        <v>1</v>
      </c>
      <c r="AT224" s="82">
        <f t="shared" si="136"/>
        <v>0</v>
      </c>
      <c r="AU224" s="82">
        <f t="shared" si="122"/>
        <v>0</v>
      </c>
      <c r="AV224" s="82">
        <f t="shared" si="123"/>
        <v>0</v>
      </c>
      <c r="AW224" s="82">
        <f t="shared" si="124"/>
        <v>0</v>
      </c>
      <c r="AX224" s="85"/>
      <c r="AY224" s="82">
        <f t="shared" si="125"/>
        <v>0</v>
      </c>
      <c r="AZ224" s="82">
        <f t="shared" si="126"/>
        <v>0</v>
      </c>
      <c r="BA224" s="82">
        <f t="shared" si="127"/>
        <v>0</v>
      </c>
      <c r="BB224" s="83">
        <v>0</v>
      </c>
      <c r="BC224" s="83">
        <v>0</v>
      </c>
      <c r="BD224" s="83">
        <v>0</v>
      </c>
      <c r="BE224" s="84">
        <f>ROUND((IF(($AT224&lt;=700000),0,IF(((VLOOKUP($AR224,'Loyalty - Effec - 15July'!$B$5:$C$17,2,0)*$AT224)&lt;=120000),(VLOOKUP($AR224,'Loyalty - Effec - 15July'!$B$5:$C$17,2,0)*$AT224),120000))),0)</f>
        <v>0</v>
      </c>
      <c r="BF224" s="84">
        <f>ROUND(VLOOKUP($AR224,'Loyalty - Effec - 15July'!$B$5:$D$17,3,0)*$AT224,0)</f>
        <v>0</v>
      </c>
      <c r="BG224" s="85">
        <f t="shared" si="128"/>
        <v>0</v>
      </c>
      <c r="BH224" s="81">
        <f t="shared" si="129"/>
        <v>0</v>
      </c>
      <c r="BI224" s="85">
        <f t="shared" si="130"/>
        <v>0</v>
      </c>
      <c r="BJ224" s="85">
        <f t="shared" si="131"/>
        <v>0</v>
      </c>
      <c r="BK224" s="85">
        <f t="shared" si="132"/>
        <v>0</v>
      </c>
      <c r="BL224" s="85">
        <f t="shared" si="137"/>
        <v>0</v>
      </c>
      <c r="BM224" s="85">
        <f t="shared" si="138"/>
        <v>0</v>
      </c>
      <c r="BN224" s="85">
        <f t="shared" si="139"/>
        <v>0</v>
      </c>
      <c r="BO224" s="52" t="s">
        <v>85</v>
      </c>
      <c r="BP224" s="46"/>
      <c r="BQ224" s="46"/>
      <c r="BR224" s="47">
        <f t="shared" si="143"/>
        <v>0</v>
      </c>
      <c r="BU224" s="47">
        <f t="shared" si="141"/>
        <v>0</v>
      </c>
      <c r="BV224" s="53" t="s">
        <v>488</v>
      </c>
      <c r="BW224" s="53" t="s">
        <v>932</v>
      </c>
      <c r="BX224" s="53" t="s">
        <v>710</v>
      </c>
      <c r="BY224" s="53"/>
      <c r="BZ224" s="53"/>
    </row>
    <row r="225" spans="1:78">
      <c r="A225" s="42" t="s">
        <v>489</v>
      </c>
      <c r="B225" s="28" t="s">
        <v>79</v>
      </c>
      <c r="C225" s="28" t="s">
        <v>80</v>
      </c>
      <c r="D225" s="28" t="s">
        <v>932</v>
      </c>
      <c r="E225" s="43" t="s">
        <v>82</v>
      </c>
      <c r="F225" s="28" t="s">
        <v>901</v>
      </c>
      <c r="G225" s="44" t="s">
        <v>711</v>
      </c>
      <c r="H225" s="45">
        <v>44866</v>
      </c>
      <c r="I225" s="46" t="s">
        <v>1000</v>
      </c>
      <c r="J225" s="28">
        <v>3</v>
      </c>
      <c r="K225" s="28" t="s">
        <v>93</v>
      </c>
      <c r="L225" s="28" t="s">
        <v>873</v>
      </c>
      <c r="M225" s="28" t="s">
        <v>3</v>
      </c>
      <c r="N225" s="28" t="str">
        <f t="shared" si="109"/>
        <v>AE5</v>
      </c>
      <c r="O225" s="81"/>
      <c r="P225" s="81">
        <f t="shared" si="110"/>
        <v>0</v>
      </c>
      <c r="Q225" s="81">
        <f t="shared" si="111"/>
        <v>0</v>
      </c>
      <c r="R225" s="81">
        <f t="shared" si="112"/>
        <v>0</v>
      </c>
      <c r="S225" s="81"/>
      <c r="T225" s="82">
        <f t="shared" si="113"/>
        <v>0</v>
      </c>
      <c r="U225" s="82">
        <f t="shared" si="114"/>
        <v>0</v>
      </c>
      <c r="V225" s="82">
        <f t="shared" si="115"/>
        <v>0</v>
      </c>
      <c r="W225" s="83">
        <v>0</v>
      </c>
      <c r="X225" s="83">
        <v>0</v>
      </c>
      <c r="Y225" s="83">
        <v>0</v>
      </c>
      <c r="Z225" s="84">
        <f>ROUND((IF(($O225&lt;=700000),0,IF(((VLOOKUP($M225,'Loyalty - Effec - 15July'!$B$5:$C$17,2,0)*$O225)&lt;=120000),(VLOOKUP($M225,'Loyalty - Effec - 15July'!$B$5:$C$17,2,0)*$O225),120000))),0)</f>
        <v>0</v>
      </c>
      <c r="AA225" s="84">
        <f>ROUND(VLOOKUP($M225,'Loyalty - Effec - 15July'!$B$5:$D$17,3,0)*$O225,0)</f>
        <v>0</v>
      </c>
      <c r="AB225" s="85">
        <f t="shared" si="116"/>
        <v>0</v>
      </c>
      <c r="AC225" s="86">
        <f t="shared" si="117"/>
        <v>0</v>
      </c>
      <c r="AD225" s="87">
        <f t="shared" si="118"/>
        <v>0</v>
      </c>
      <c r="AE225" s="88">
        <f t="shared" si="119"/>
        <v>0</v>
      </c>
      <c r="AF225" s="88">
        <f t="shared" si="120"/>
        <v>0</v>
      </c>
      <c r="AG225" s="49" t="s">
        <v>287</v>
      </c>
      <c r="AH225" s="49" t="s">
        <v>120</v>
      </c>
      <c r="AI225" s="50"/>
      <c r="AJ225" s="46"/>
      <c r="AK225" s="46"/>
      <c r="AL225" s="46"/>
      <c r="AM225" s="51">
        <f>IF($AL225=4,VLOOKUP($AR225,'Loyalty Incentive v1'!$L$3:$Q$15,2,FALSE),
IF($AL225=3,VLOOKUP($AR225,'Loyalty Incentive v1'!$L$3:$Q$15,3,FALSE),
IF($AL225=2,VLOOKUP($AR225,'Loyalty Incentive v1'!$L$3:$Q$15,4,FALSE),
IF($AL225=1,VLOOKUP($AR225,'Loyalty Incentive v1'!$L$3:$Q$15,5,FALSE),
IF($AL225=0,VLOOKUP($AR225,'Loyalty Incentive v1'!$L$3:$Q$15,6,FALSE),0)))))</f>
        <v>0</v>
      </c>
      <c r="AN225" s="51">
        <f>IFERROR(IF(I225&gt;="1",AM225,VLOOKUP(VALUE(I225),'Loyalty - Effec - 15July'!$I$5:$J$16,2,0)*AM225),0)</f>
        <v>0</v>
      </c>
      <c r="AO225" s="51">
        <v>0</v>
      </c>
      <c r="AP225" s="51">
        <f t="shared" si="121"/>
        <v>0</v>
      </c>
      <c r="AQ225" s="46" t="str">
        <f t="shared" si="133"/>
        <v>No</v>
      </c>
      <c r="AR225" s="46" t="str">
        <f t="shared" si="134"/>
        <v>AE5</v>
      </c>
      <c r="AS225" s="46" t="b">
        <f t="shared" si="135"/>
        <v>1</v>
      </c>
      <c r="AT225" s="82">
        <f t="shared" si="136"/>
        <v>0</v>
      </c>
      <c r="AU225" s="82">
        <f t="shared" si="122"/>
        <v>0</v>
      </c>
      <c r="AV225" s="82">
        <f t="shared" si="123"/>
        <v>0</v>
      </c>
      <c r="AW225" s="82">
        <f t="shared" si="124"/>
        <v>0</v>
      </c>
      <c r="AX225" s="85"/>
      <c r="AY225" s="82">
        <f t="shared" si="125"/>
        <v>0</v>
      </c>
      <c r="AZ225" s="82">
        <f t="shared" si="126"/>
        <v>0</v>
      </c>
      <c r="BA225" s="82">
        <f t="shared" si="127"/>
        <v>0</v>
      </c>
      <c r="BB225" s="83">
        <v>0</v>
      </c>
      <c r="BC225" s="83">
        <v>0</v>
      </c>
      <c r="BD225" s="83">
        <v>0</v>
      </c>
      <c r="BE225" s="84">
        <f>ROUND((IF(($AT225&lt;=700000),0,IF(((VLOOKUP($AR225,'Loyalty - Effec - 15July'!$B$5:$C$17,2,0)*$AT225)&lt;=120000),(VLOOKUP($AR225,'Loyalty - Effec - 15July'!$B$5:$C$17,2,0)*$AT225),120000))),0)</f>
        <v>0</v>
      </c>
      <c r="BF225" s="84">
        <f>ROUND(VLOOKUP($AR225,'Loyalty - Effec - 15July'!$B$5:$D$17,3,0)*$AT225,0)</f>
        <v>0</v>
      </c>
      <c r="BG225" s="85">
        <f t="shared" si="128"/>
        <v>0</v>
      </c>
      <c r="BH225" s="81">
        <f t="shared" si="129"/>
        <v>0</v>
      </c>
      <c r="BI225" s="85">
        <f t="shared" si="130"/>
        <v>0</v>
      </c>
      <c r="BJ225" s="85">
        <f t="shared" si="131"/>
        <v>0</v>
      </c>
      <c r="BK225" s="85">
        <f t="shared" si="132"/>
        <v>0</v>
      </c>
      <c r="BL225" s="85">
        <f t="shared" si="137"/>
        <v>0</v>
      </c>
      <c r="BM225" s="85">
        <f t="shared" si="138"/>
        <v>0</v>
      </c>
      <c r="BN225" s="85">
        <f t="shared" si="139"/>
        <v>0</v>
      </c>
      <c r="BO225" s="52" t="s">
        <v>85</v>
      </c>
      <c r="BP225" s="46"/>
      <c r="BQ225" s="46"/>
      <c r="BR225" s="47">
        <f t="shared" si="143"/>
        <v>0</v>
      </c>
      <c r="BU225" s="47">
        <f t="shared" si="141"/>
        <v>0</v>
      </c>
      <c r="BV225" s="53" t="s">
        <v>489</v>
      </c>
      <c r="BW225" s="53" t="s">
        <v>932</v>
      </c>
      <c r="BX225" s="53" t="s">
        <v>711</v>
      </c>
      <c r="BY225" s="53"/>
      <c r="BZ225" s="53"/>
    </row>
    <row r="226" spans="1:78">
      <c r="A226" s="42" t="s">
        <v>490</v>
      </c>
      <c r="B226" s="28" t="s">
        <v>79</v>
      </c>
      <c r="C226" s="28" t="s">
        <v>80</v>
      </c>
      <c r="D226" s="28" t="s">
        <v>932</v>
      </c>
      <c r="E226" s="43" t="s">
        <v>82</v>
      </c>
      <c r="F226" s="28" t="s">
        <v>901</v>
      </c>
      <c r="G226" s="44" t="s">
        <v>712</v>
      </c>
      <c r="H226" s="45">
        <v>44866</v>
      </c>
      <c r="I226" s="46" t="s">
        <v>1000</v>
      </c>
      <c r="J226" s="28">
        <v>7</v>
      </c>
      <c r="K226" s="28" t="s">
        <v>413</v>
      </c>
      <c r="L226" s="28" t="s">
        <v>140</v>
      </c>
      <c r="M226" s="28" t="s">
        <v>1</v>
      </c>
      <c r="N226" s="28" t="str">
        <f t="shared" si="109"/>
        <v>AE3</v>
      </c>
      <c r="O226" s="81"/>
      <c r="P226" s="81">
        <f t="shared" si="110"/>
        <v>0</v>
      </c>
      <c r="Q226" s="81">
        <f t="shared" si="111"/>
        <v>0</v>
      </c>
      <c r="R226" s="81">
        <f t="shared" si="112"/>
        <v>0</v>
      </c>
      <c r="S226" s="81"/>
      <c r="T226" s="82">
        <f t="shared" si="113"/>
        <v>0</v>
      </c>
      <c r="U226" s="82">
        <f t="shared" si="114"/>
        <v>0</v>
      </c>
      <c r="V226" s="82">
        <f t="shared" si="115"/>
        <v>0</v>
      </c>
      <c r="W226" s="83">
        <v>0</v>
      </c>
      <c r="X226" s="83">
        <v>0</v>
      </c>
      <c r="Y226" s="83">
        <v>0</v>
      </c>
      <c r="Z226" s="84">
        <f>ROUND((IF(($O226&lt;=700000),0,IF(((VLOOKUP($M226,'Loyalty - Effec - 15July'!$B$5:$C$17,2,0)*$O226)&lt;=120000),(VLOOKUP($M226,'Loyalty - Effec - 15July'!$B$5:$C$17,2,0)*$O226),120000))),0)</f>
        <v>0</v>
      </c>
      <c r="AA226" s="84">
        <f>ROUND(VLOOKUP($M226,'Loyalty - Effec - 15July'!$B$5:$D$17,3,0)*$O226,0)</f>
        <v>0</v>
      </c>
      <c r="AB226" s="85">
        <f t="shared" si="116"/>
        <v>0</v>
      </c>
      <c r="AC226" s="86">
        <f t="shared" si="117"/>
        <v>0</v>
      </c>
      <c r="AD226" s="87">
        <f t="shared" si="118"/>
        <v>0</v>
      </c>
      <c r="AE226" s="88">
        <f t="shared" si="119"/>
        <v>0</v>
      </c>
      <c r="AF226" s="88">
        <f t="shared" si="120"/>
        <v>0</v>
      </c>
      <c r="AG226" s="49" t="s">
        <v>228</v>
      </c>
      <c r="AH226" s="49" t="s">
        <v>126</v>
      </c>
      <c r="AI226" s="50"/>
      <c r="AJ226" s="46"/>
      <c r="AK226" s="46"/>
      <c r="AL226" s="46"/>
      <c r="AM226" s="51">
        <f>IF($AL226=4,VLOOKUP($AR226,'Loyalty Incentive v1'!$L$3:$Q$15,2,FALSE),
IF($AL226=3,VLOOKUP($AR226,'Loyalty Incentive v1'!$L$3:$Q$15,3,FALSE),
IF($AL226=2,VLOOKUP($AR226,'Loyalty Incentive v1'!$L$3:$Q$15,4,FALSE),
IF($AL226=1,VLOOKUP($AR226,'Loyalty Incentive v1'!$L$3:$Q$15,5,FALSE),
IF($AL226=0,VLOOKUP($AR226,'Loyalty Incentive v1'!$L$3:$Q$15,6,FALSE),0)))))</f>
        <v>0</v>
      </c>
      <c r="AN226" s="51">
        <f>IFERROR(IF(I226&gt;="1",AM226,VLOOKUP(VALUE(I226),'Loyalty - Effec - 15July'!$I$5:$J$16,2,0)*AM226),0)</f>
        <v>0</v>
      </c>
      <c r="AO226" s="51">
        <v>0</v>
      </c>
      <c r="AP226" s="51">
        <f t="shared" si="121"/>
        <v>0</v>
      </c>
      <c r="AQ226" s="46" t="str">
        <f t="shared" si="133"/>
        <v>No</v>
      </c>
      <c r="AR226" s="46" t="str">
        <f t="shared" si="134"/>
        <v>AE3</v>
      </c>
      <c r="AS226" s="46" t="b">
        <f t="shared" si="135"/>
        <v>1</v>
      </c>
      <c r="AT226" s="82">
        <f t="shared" si="136"/>
        <v>0</v>
      </c>
      <c r="AU226" s="82">
        <f t="shared" si="122"/>
        <v>0</v>
      </c>
      <c r="AV226" s="82">
        <f t="shared" si="123"/>
        <v>0</v>
      </c>
      <c r="AW226" s="82">
        <f t="shared" si="124"/>
        <v>0</v>
      </c>
      <c r="AX226" s="85"/>
      <c r="AY226" s="82">
        <f t="shared" si="125"/>
        <v>0</v>
      </c>
      <c r="AZ226" s="82">
        <f t="shared" si="126"/>
        <v>0</v>
      </c>
      <c r="BA226" s="82">
        <f t="shared" si="127"/>
        <v>0</v>
      </c>
      <c r="BB226" s="83">
        <v>0</v>
      </c>
      <c r="BC226" s="83">
        <v>0</v>
      </c>
      <c r="BD226" s="83">
        <v>0</v>
      </c>
      <c r="BE226" s="84">
        <f>ROUND((IF(($AT226&lt;=700000),0,IF(((VLOOKUP($AR226,'Loyalty - Effec - 15July'!$B$5:$C$17,2,0)*$AT226)&lt;=120000),(VLOOKUP($AR226,'Loyalty - Effec - 15July'!$B$5:$C$17,2,0)*$AT226),120000))),0)</f>
        <v>0</v>
      </c>
      <c r="BF226" s="84">
        <f>ROUND(VLOOKUP($AR226,'Loyalty - Effec - 15July'!$B$5:$D$17,3,0)*$AT226,0)</f>
        <v>0</v>
      </c>
      <c r="BG226" s="85">
        <f t="shared" si="128"/>
        <v>0</v>
      </c>
      <c r="BH226" s="81">
        <f t="shared" si="129"/>
        <v>0</v>
      </c>
      <c r="BI226" s="85">
        <f t="shared" si="130"/>
        <v>0</v>
      </c>
      <c r="BJ226" s="85">
        <f t="shared" si="131"/>
        <v>0</v>
      </c>
      <c r="BK226" s="85">
        <f t="shared" si="132"/>
        <v>0</v>
      </c>
      <c r="BL226" s="85">
        <f t="shared" si="137"/>
        <v>0</v>
      </c>
      <c r="BM226" s="85">
        <f t="shared" si="138"/>
        <v>0</v>
      </c>
      <c r="BN226" s="85">
        <f t="shared" si="139"/>
        <v>0</v>
      </c>
      <c r="BO226" s="52" t="s">
        <v>85</v>
      </c>
      <c r="BP226" s="46"/>
      <c r="BQ226" s="46"/>
      <c r="BR226" s="47">
        <f t="shared" si="143"/>
        <v>0</v>
      </c>
      <c r="BU226" s="47">
        <f t="shared" si="141"/>
        <v>0</v>
      </c>
      <c r="BV226" s="53" t="s">
        <v>490</v>
      </c>
      <c r="BW226" s="53" t="s">
        <v>932</v>
      </c>
      <c r="BX226" s="53" t="s">
        <v>712</v>
      </c>
      <c r="BY226" s="53"/>
      <c r="BZ226" s="53"/>
    </row>
    <row r="227" spans="1:78">
      <c r="A227" s="42" t="s">
        <v>491</v>
      </c>
      <c r="B227" s="28" t="s">
        <v>79</v>
      </c>
      <c r="C227" s="28" t="s">
        <v>80</v>
      </c>
      <c r="D227" s="28" t="s">
        <v>932</v>
      </c>
      <c r="E227" s="43" t="s">
        <v>82</v>
      </c>
      <c r="F227" s="28" t="s">
        <v>901</v>
      </c>
      <c r="G227" s="44" t="s">
        <v>713</v>
      </c>
      <c r="H227" s="45">
        <v>44872</v>
      </c>
      <c r="I227" s="46" t="s">
        <v>1001</v>
      </c>
      <c r="J227" s="28">
        <v>5</v>
      </c>
      <c r="K227" s="28" t="s">
        <v>93</v>
      </c>
      <c r="L227" s="28" t="s">
        <v>873</v>
      </c>
      <c r="M227" s="28" t="s">
        <v>2</v>
      </c>
      <c r="N227" s="28" t="str">
        <f t="shared" si="109"/>
        <v>AE4</v>
      </c>
      <c r="O227" s="81"/>
      <c r="P227" s="81">
        <f t="shared" si="110"/>
        <v>0</v>
      </c>
      <c r="Q227" s="81">
        <f t="shared" si="111"/>
        <v>0</v>
      </c>
      <c r="R227" s="81">
        <f t="shared" si="112"/>
        <v>0</v>
      </c>
      <c r="S227" s="81"/>
      <c r="T227" s="82">
        <f t="shared" si="113"/>
        <v>0</v>
      </c>
      <c r="U227" s="82">
        <f t="shared" si="114"/>
        <v>0</v>
      </c>
      <c r="V227" s="82">
        <f t="shared" si="115"/>
        <v>0</v>
      </c>
      <c r="W227" s="83">
        <v>0</v>
      </c>
      <c r="X227" s="83">
        <v>0</v>
      </c>
      <c r="Y227" s="83">
        <v>0</v>
      </c>
      <c r="Z227" s="84">
        <f>ROUND((IF(($O227&lt;=700000),0,IF(((VLOOKUP($M227,'Loyalty - Effec - 15July'!$B$5:$C$17,2,0)*$O227)&lt;=120000),(VLOOKUP($M227,'Loyalty - Effec - 15July'!$B$5:$C$17,2,0)*$O227),120000))),0)</f>
        <v>0</v>
      </c>
      <c r="AA227" s="84">
        <f>ROUND(VLOOKUP($M227,'Loyalty - Effec - 15July'!$B$5:$D$17,3,0)*$O227,0)</f>
        <v>0</v>
      </c>
      <c r="AB227" s="85">
        <f t="shared" si="116"/>
        <v>0</v>
      </c>
      <c r="AC227" s="86">
        <f t="shared" si="117"/>
        <v>0</v>
      </c>
      <c r="AD227" s="87">
        <f t="shared" si="118"/>
        <v>0</v>
      </c>
      <c r="AE227" s="88">
        <f t="shared" si="119"/>
        <v>0</v>
      </c>
      <c r="AF227" s="88">
        <f t="shared" si="120"/>
        <v>0</v>
      </c>
      <c r="AG227" s="49" t="s">
        <v>212</v>
      </c>
      <c r="AH227" s="49" t="s">
        <v>928</v>
      </c>
      <c r="AI227" s="50"/>
      <c r="AJ227" s="46"/>
      <c r="AK227" s="46"/>
      <c r="AL227" s="46"/>
      <c r="AM227" s="51">
        <f>IF($AL227=4,VLOOKUP($AR227,'Loyalty Incentive v1'!$L$3:$Q$15,2,FALSE),
IF($AL227=3,VLOOKUP($AR227,'Loyalty Incentive v1'!$L$3:$Q$15,3,FALSE),
IF($AL227=2,VLOOKUP($AR227,'Loyalty Incentive v1'!$L$3:$Q$15,4,FALSE),
IF($AL227=1,VLOOKUP($AR227,'Loyalty Incentive v1'!$L$3:$Q$15,5,FALSE),
IF($AL227=0,VLOOKUP($AR227,'Loyalty Incentive v1'!$L$3:$Q$15,6,FALSE),0)))))</f>
        <v>0</v>
      </c>
      <c r="AN227" s="51">
        <f>IFERROR(IF(I227&gt;="1",AM227,VLOOKUP(VALUE(I227),'Loyalty - Effec - 15July'!$I$5:$J$16,2,0)*AM227),0)</f>
        <v>0</v>
      </c>
      <c r="AO227" s="51">
        <v>0</v>
      </c>
      <c r="AP227" s="51">
        <f t="shared" si="121"/>
        <v>0</v>
      </c>
      <c r="AQ227" s="46" t="str">
        <f t="shared" si="133"/>
        <v>No</v>
      </c>
      <c r="AR227" s="46" t="str">
        <f t="shared" si="134"/>
        <v>AE4</v>
      </c>
      <c r="AS227" s="46" t="b">
        <f t="shared" si="135"/>
        <v>1</v>
      </c>
      <c r="AT227" s="82">
        <f t="shared" si="136"/>
        <v>0</v>
      </c>
      <c r="AU227" s="82">
        <f t="shared" si="122"/>
        <v>0</v>
      </c>
      <c r="AV227" s="82">
        <f t="shared" si="123"/>
        <v>0</v>
      </c>
      <c r="AW227" s="82">
        <f t="shared" si="124"/>
        <v>0</v>
      </c>
      <c r="AX227" s="85"/>
      <c r="AY227" s="82">
        <f t="shared" si="125"/>
        <v>0</v>
      </c>
      <c r="AZ227" s="82">
        <f t="shared" si="126"/>
        <v>0</v>
      </c>
      <c r="BA227" s="82">
        <f t="shared" si="127"/>
        <v>0</v>
      </c>
      <c r="BB227" s="83">
        <v>0</v>
      </c>
      <c r="BC227" s="83">
        <v>0</v>
      </c>
      <c r="BD227" s="83">
        <v>0</v>
      </c>
      <c r="BE227" s="84">
        <f>ROUND((IF(($AT227&lt;=700000),0,IF(((VLOOKUP($AR227,'Loyalty - Effec - 15July'!$B$5:$C$17,2,0)*$AT227)&lt;=120000),(VLOOKUP($AR227,'Loyalty - Effec - 15July'!$B$5:$C$17,2,0)*$AT227),120000))),0)</f>
        <v>0</v>
      </c>
      <c r="BF227" s="84">
        <f>ROUND(VLOOKUP($AR227,'Loyalty - Effec - 15July'!$B$5:$D$17,3,0)*$AT227,0)</f>
        <v>0</v>
      </c>
      <c r="BG227" s="85">
        <f t="shared" si="128"/>
        <v>0</v>
      </c>
      <c r="BH227" s="81">
        <f t="shared" si="129"/>
        <v>0</v>
      </c>
      <c r="BI227" s="85">
        <f t="shared" si="130"/>
        <v>0</v>
      </c>
      <c r="BJ227" s="85">
        <f t="shared" si="131"/>
        <v>0</v>
      </c>
      <c r="BK227" s="85">
        <f t="shared" si="132"/>
        <v>0</v>
      </c>
      <c r="BL227" s="85">
        <f t="shared" si="137"/>
        <v>0</v>
      </c>
      <c r="BM227" s="85">
        <f t="shared" si="138"/>
        <v>0</v>
      </c>
      <c r="BN227" s="85">
        <f t="shared" si="139"/>
        <v>0</v>
      </c>
      <c r="BO227" s="52" t="s">
        <v>85</v>
      </c>
      <c r="BP227" s="46"/>
      <c r="BQ227" s="46"/>
      <c r="BR227" s="47">
        <f t="shared" si="143"/>
        <v>0</v>
      </c>
      <c r="BU227" s="47">
        <f t="shared" si="141"/>
        <v>0</v>
      </c>
      <c r="BV227" s="53" t="s">
        <v>491</v>
      </c>
      <c r="BW227" s="53" t="s">
        <v>932</v>
      </c>
      <c r="BX227" s="53" t="s">
        <v>713</v>
      </c>
      <c r="BY227" s="53"/>
      <c r="BZ227" s="53"/>
    </row>
    <row r="228" spans="1:78">
      <c r="A228" s="42" t="s">
        <v>492</v>
      </c>
      <c r="B228" s="28" t="s">
        <v>79</v>
      </c>
      <c r="C228" s="28" t="s">
        <v>80</v>
      </c>
      <c r="D228" s="28" t="s">
        <v>932</v>
      </c>
      <c r="E228" s="43" t="s">
        <v>82</v>
      </c>
      <c r="F228" s="28" t="s">
        <v>901</v>
      </c>
      <c r="G228" s="44" t="s">
        <v>714</v>
      </c>
      <c r="H228" s="45">
        <v>44872</v>
      </c>
      <c r="I228" s="46" t="s">
        <v>1001</v>
      </c>
      <c r="J228" s="28">
        <v>5</v>
      </c>
      <c r="K228" s="28" t="s">
        <v>93</v>
      </c>
      <c r="L228" s="28" t="s">
        <v>94</v>
      </c>
      <c r="M228" s="28" t="s">
        <v>2</v>
      </c>
      <c r="N228" s="28" t="str">
        <f t="shared" si="109"/>
        <v>AE4</v>
      </c>
      <c r="O228" s="81"/>
      <c r="P228" s="81">
        <f t="shared" si="110"/>
        <v>0</v>
      </c>
      <c r="Q228" s="81">
        <f t="shared" si="111"/>
        <v>0</v>
      </c>
      <c r="R228" s="81">
        <f t="shared" si="112"/>
        <v>0</v>
      </c>
      <c r="S228" s="81"/>
      <c r="T228" s="82">
        <f t="shared" si="113"/>
        <v>0</v>
      </c>
      <c r="U228" s="82">
        <f t="shared" si="114"/>
        <v>0</v>
      </c>
      <c r="V228" s="82">
        <f t="shared" si="115"/>
        <v>0</v>
      </c>
      <c r="W228" s="83">
        <v>0</v>
      </c>
      <c r="X228" s="83">
        <v>0</v>
      </c>
      <c r="Y228" s="83">
        <v>0</v>
      </c>
      <c r="Z228" s="84">
        <f>ROUND((IF(($O228&lt;=700000),0,IF(((VLOOKUP($M228,'Loyalty - Effec - 15July'!$B$5:$C$17,2,0)*$O228)&lt;=120000),(VLOOKUP($M228,'Loyalty - Effec - 15July'!$B$5:$C$17,2,0)*$O228),120000))),0)</f>
        <v>0</v>
      </c>
      <c r="AA228" s="84">
        <f>ROUND(VLOOKUP($M228,'Loyalty - Effec - 15July'!$B$5:$D$17,3,0)*$O228,0)</f>
        <v>0</v>
      </c>
      <c r="AB228" s="85">
        <f t="shared" si="116"/>
        <v>0</v>
      </c>
      <c r="AC228" s="86">
        <f t="shared" si="117"/>
        <v>0</v>
      </c>
      <c r="AD228" s="87">
        <f t="shared" si="118"/>
        <v>0</v>
      </c>
      <c r="AE228" s="88">
        <f t="shared" si="119"/>
        <v>0</v>
      </c>
      <c r="AF228" s="88">
        <f t="shared" si="120"/>
        <v>0</v>
      </c>
      <c r="AG228" s="49" t="s">
        <v>703</v>
      </c>
      <c r="AH228" s="49" t="s">
        <v>200</v>
      </c>
      <c r="AI228" s="50"/>
      <c r="AJ228" s="46"/>
      <c r="AK228" s="46"/>
      <c r="AL228" s="46"/>
      <c r="AM228" s="51">
        <f>IF($AL228=4,VLOOKUP($AR228,'Loyalty Incentive v1'!$L$3:$Q$15,2,FALSE),
IF($AL228=3,VLOOKUP($AR228,'Loyalty Incentive v1'!$L$3:$Q$15,3,FALSE),
IF($AL228=2,VLOOKUP($AR228,'Loyalty Incentive v1'!$L$3:$Q$15,4,FALSE),
IF($AL228=1,VLOOKUP($AR228,'Loyalty Incentive v1'!$L$3:$Q$15,5,FALSE),
IF($AL228=0,VLOOKUP($AR228,'Loyalty Incentive v1'!$L$3:$Q$15,6,FALSE),0)))))</f>
        <v>0</v>
      </c>
      <c r="AN228" s="51">
        <f>IFERROR(IF(I228&gt;="1",AM228,VLOOKUP(VALUE(I228),'Loyalty - Effec - 15July'!$I$5:$J$16,2,0)*AM228),0)</f>
        <v>0</v>
      </c>
      <c r="AO228" s="51">
        <v>0</v>
      </c>
      <c r="AP228" s="51">
        <f t="shared" si="121"/>
        <v>0</v>
      </c>
      <c r="AQ228" s="46" t="str">
        <f t="shared" si="133"/>
        <v>No</v>
      </c>
      <c r="AR228" s="46" t="str">
        <f t="shared" si="134"/>
        <v>AE4</v>
      </c>
      <c r="AS228" s="46" t="b">
        <f t="shared" si="135"/>
        <v>1</v>
      </c>
      <c r="AT228" s="82">
        <f t="shared" si="136"/>
        <v>0</v>
      </c>
      <c r="AU228" s="82">
        <f t="shared" si="122"/>
        <v>0</v>
      </c>
      <c r="AV228" s="82">
        <f t="shared" si="123"/>
        <v>0</v>
      </c>
      <c r="AW228" s="82">
        <f t="shared" si="124"/>
        <v>0</v>
      </c>
      <c r="AX228" s="85"/>
      <c r="AY228" s="82">
        <f t="shared" si="125"/>
        <v>0</v>
      </c>
      <c r="AZ228" s="82">
        <f t="shared" si="126"/>
        <v>0</v>
      </c>
      <c r="BA228" s="82">
        <f t="shared" si="127"/>
        <v>0</v>
      </c>
      <c r="BB228" s="83">
        <v>0</v>
      </c>
      <c r="BC228" s="83">
        <v>0</v>
      </c>
      <c r="BD228" s="83">
        <v>0</v>
      </c>
      <c r="BE228" s="84">
        <f>ROUND((IF(($AT228&lt;=700000),0,IF(((VLOOKUP($AR228,'Loyalty - Effec - 15July'!$B$5:$C$17,2,0)*$AT228)&lt;=120000),(VLOOKUP($AR228,'Loyalty - Effec - 15July'!$B$5:$C$17,2,0)*$AT228),120000))),0)</f>
        <v>0</v>
      </c>
      <c r="BF228" s="84">
        <f>ROUND(VLOOKUP($AR228,'Loyalty - Effec - 15July'!$B$5:$D$17,3,0)*$AT228,0)</f>
        <v>0</v>
      </c>
      <c r="BG228" s="85">
        <f t="shared" si="128"/>
        <v>0</v>
      </c>
      <c r="BH228" s="81">
        <f t="shared" si="129"/>
        <v>0</v>
      </c>
      <c r="BI228" s="85">
        <f t="shared" si="130"/>
        <v>0</v>
      </c>
      <c r="BJ228" s="85">
        <f t="shared" si="131"/>
        <v>0</v>
      </c>
      <c r="BK228" s="85">
        <f t="shared" si="132"/>
        <v>0</v>
      </c>
      <c r="BL228" s="85">
        <f t="shared" si="137"/>
        <v>0</v>
      </c>
      <c r="BM228" s="85">
        <f t="shared" si="138"/>
        <v>0</v>
      </c>
      <c r="BN228" s="85">
        <f t="shared" si="139"/>
        <v>0</v>
      </c>
      <c r="BO228" s="52" t="s">
        <v>85</v>
      </c>
      <c r="BP228" s="46"/>
      <c r="BQ228" s="46"/>
      <c r="BR228" s="47">
        <f t="shared" si="143"/>
        <v>0</v>
      </c>
      <c r="BU228" s="47">
        <f t="shared" si="141"/>
        <v>0</v>
      </c>
      <c r="BV228" s="53" t="s">
        <v>492</v>
      </c>
      <c r="BW228" s="53" t="s">
        <v>932</v>
      </c>
      <c r="BX228" s="53" t="s">
        <v>714</v>
      </c>
      <c r="BY228" s="53"/>
      <c r="BZ228" s="53"/>
    </row>
    <row r="229" spans="1:78">
      <c r="A229" s="42" t="s">
        <v>493</v>
      </c>
      <c r="B229" s="28" t="s">
        <v>79</v>
      </c>
      <c r="C229" s="28" t="s">
        <v>80</v>
      </c>
      <c r="D229" s="28" t="s">
        <v>932</v>
      </c>
      <c r="E229" s="43" t="s">
        <v>82</v>
      </c>
      <c r="F229" s="28" t="s">
        <v>901</v>
      </c>
      <c r="G229" s="44" t="s">
        <v>715</v>
      </c>
      <c r="H229" s="45">
        <v>44872</v>
      </c>
      <c r="I229" s="46" t="s">
        <v>1001</v>
      </c>
      <c r="J229" s="28">
        <v>3</v>
      </c>
      <c r="K229" s="28" t="s">
        <v>93</v>
      </c>
      <c r="L229" s="28" t="s">
        <v>873</v>
      </c>
      <c r="M229" s="28" t="s">
        <v>3</v>
      </c>
      <c r="N229" s="28" t="str">
        <f t="shared" si="109"/>
        <v>AE5</v>
      </c>
      <c r="O229" s="81"/>
      <c r="P229" s="81">
        <f t="shared" si="110"/>
        <v>0</v>
      </c>
      <c r="Q229" s="81">
        <f t="shared" si="111"/>
        <v>0</v>
      </c>
      <c r="R229" s="81">
        <f t="shared" si="112"/>
        <v>0</v>
      </c>
      <c r="S229" s="81"/>
      <c r="T229" s="82">
        <f t="shared" si="113"/>
        <v>0</v>
      </c>
      <c r="U229" s="82">
        <f t="shared" si="114"/>
        <v>0</v>
      </c>
      <c r="V229" s="82">
        <f t="shared" si="115"/>
        <v>0</v>
      </c>
      <c r="W229" s="83">
        <v>0</v>
      </c>
      <c r="X229" s="83">
        <v>0</v>
      </c>
      <c r="Y229" s="83">
        <v>0</v>
      </c>
      <c r="Z229" s="84">
        <f>ROUND((IF(($O229&lt;=700000),0,IF(((VLOOKUP($M229,'Loyalty - Effec - 15July'!$B$5:$C$17,2,0)*$O229)&lt;=120000),(VLOOKUP($M229,'Loyalty - Effec - 15July'!$B$5:$C$17,2,0)*$O229),120000))),0)</f>
        <v>0</v>
      </c>
      <c r="AA229" s="84">
        <f>ROUND(VLOOKUP($M229,'Loyalty - Effec - 15July'!$B$5:$D$17,3,0)*$O229,0)</f>
        <v>0</v>
      </c>
      <c r="AB229" s="85">
        <f t="shared" si="116"/>
        <v>0</v>
      </c>
      <c r="AC229" s="86">
        <f t="shared" si="117"/>
        <v>0</v>
      </c>
      <c r="AD229" s="87">
        <f t="shared" si="118"/>
        <v>0</v>
      </c>
      <c r="AE229" s="88">
        <f t="shared" si="119"/>
        <v>0</v>
      </c>
      <c r="AF229" s="88">
        <f t="shared" si="120"/>
        <v>0</v>
      </c>
      <c r="AG229" s="49" t="s">
        <v>916</v>
      </c>
      <c r="AH229" s="49" t="s">
        <v>909</v>
      </c>
      <c r="AI229" s="50"/>
      <c r="AJ229" s="46"/>
      <c r="AK229" s="46"/>
      <c r="AL229" s="46"/>
      <c r="AM229" s="51">
        <f>IF($AL229=4,VLOOKUP($AR229,'Loyalty Incentive v1'!$L$3:$Q$15,2,FALSE),
IF($AL229=3,VLOOKUP($AR229,'Loyalty Incentive v1'!$L$3:$Q$15,3,FALSE),
IF($AL229=2,VLOOKUP($AR229,'Loyalty Incentive v1'!$L$3:$Q$15,4,FALSE),
IF($AL229=1,VLOOKUP($AR229,'Loyalty Incentive v1'!$L$3:$Q$15,5,FALSE),
IF($AL229=0,VLOOKUP($AR229,'Loyalty Incentive v1'!$L$3:$Q$15,6,FALSE),0)))))</f>
        <v>0</v>
      </c>
      <c r="AN229" s="51">
        <f>IFERROR(IF(I229&gt;="1",AM229,VLOOKUP(VALUE(I229),'Loyalty - Effec - 15July'!$I$5:$J$16,2,0)*AM229),0)</f>
        <v>0</v>
      </c>
      <c r="AO229" s="51">
        <v>0</v>
      </c>
      <c r="AP229" s="51">
        <f t="shared" si="121"/>
        <v>0</v>
      </c>
      <c r="AQ229" s="46" t="str">
        <f t="shared" si="133"/>
        <v>No</v>
      </c>
      <c r="AR229" s="46" t="str">
        <f t="shared" si="134"/>
        <v>AE5</v>
      </c>
      <c r="AS229" s="46" t="b">
        <f t="shared" si="135"/>
        <v>1</v>
      </c>
      <c r="AT229" s="82">
        <f t="shared" si="136"/>
        <v>0</v>
      </c>
      <c r="AU229" s="82">
        <f t="shared" si="122"/>
        <v>0</v>
      </c>
      <c r="AV229" s="82">
        <f t="shared" si="123"/>
        <v>0</v>
      </c>
      <c r="AW229" s="82">
        <f t="shared" si="124"/>
        <v>0</v>
      </c>
      <c r="AX229" s="85"/>
      <c r="AY229" s="82">
        <f t="shared" si="125"/>
        <v>0</v>
      </c>
      <c r="AZ229" s="82">
        <f t="shared" si="126"/>
        <v>0</v>
      </c>
      <c r="BA229" s="82">
        <f t="shared" si="127"/>
        <v>0</v>
      </c>
      <c r="BB229" s="83">
        <v>0</v>
      </c>
      <c r="BC229" s="83">
        <v>0</v>
      </c>
      <c r="BD229" s="83">
        <v>0</v>
      </c>
      <c r="BE229" s="84">
        <f>ROUND((IF(($AT229&lt;=700000),0,IF(((VLOOKUP($AR229,'Loyalty - Effec - 15July'!$B$5:$C$17,2,0)*$AT229)&lt;=120000),(VLOOKUP($AR229,'Loyalty - Effec - 15July'!$B$5:$C$17,2,0)*$AT229),120000))),0)</f>
        <v>0</v>
      </c>
      <c r="BF229" s="84">
        <f>ROUND(VLOOKUP($AR229,'Loyalty - Effec - 15July'!$B$5:$D$17,3,0)*$AT229,0)</f>
        <v>0</v>
      </c>
      <c r="BG229" s="85">
        <f t="shared" si="128"/>
        <v>0</v>
      </c>
      <c r="BH229" s="81">
        <f t="shared" si="129"/>
        <v>0</v>
      </c>
      <c r="BI229" s="85">
        <f t="shared" si="130"/>
        <v>0</v>
      </c>
      <c r="BJ229" s="85">
        <f t="shared" si="131"/>
        <v>0</v>
      </c>
      <c r="BK229" s="85">
        <f t="shared" si="132"/>
        <v>0</v>
      </c>
      <c r="BL229" s="85">
        <f t="shared" si="137"/>
        <v>0</v>
      </c>
      <c r="BM229" s="85">
        <f t="shared" si="138"/>
        <v>0</v>
      </c>
      <c r="BN229" s="85">
        <f t="shared" si="139"/>
        <v>0</v>
      </c>
      <c r="BO229" s="52" t="s">
        <v>85</v>
      </c>
      <c r="BP229" s="46"/>
      <c r="BQ229" s="46"/>
      <c r="BR229" s="47">
        <f t="shared" si="143"/>
        <v>0</v>
      </c>
      <c r="BU229" s="47">
        <f t="shared" si="141"/>
        <v>0</v>
      </c>
      <c r="BV229" s="53" t="s">
        <v>493</v>
      </c>
      <c r="BW229" s="53" t="s">
        <v>932</v>
      </c>
      <c r="BX229" s="53" t="s">
        <v>715</v>
      </c>
      <c r="BY229" s="53"/>
      <c r="BZ229" s="53"/>
    </row>
    <row r="230" spans="1:78">
      <c r="A230" s="42" t="s">
        <v>494</v>
      </c>
      <c r="B230" s="28" t="s">
        <v>79</v>
      </c>
      <c r="C230" s="28" t="s">
        <v>80</v>
      </c>
      <c r="D230" s="28" t="s">
        <v>932</v>
      </c>
      <c r="E230" s="43" t="s">
        <v>82</v>
      </c>
      <c r="F230" s="28" t="s">
        <v>901</v>
      </c>
      <c r="G230" s="44" t="s">
        <v>716</v>
      </c>
      <c r="H230" s="45">
        <v>44879</v>
      </c>
      <c r="I230" s="46" t="s">
        <v>1001</v>
      </c>
      <c r="J230" s="28">
        <v>3</v>
      </c>
      <c r="K230" s="28" t="s">
        <v>413</v>
      </c>
      <c r="L230" s="28" t="s">
        <v>880</v>
      </c>
      <c r="M230" s="28" t="s">
        <v>1</v>
      </c>
      <c r="N230" s="28" t="str">
        <f t="shared" si="109"/>
        <v>AE3</v>
      </c>
      <c r="O230" s="81"/>
      <c r="P230" s="81">
        <f t="shared" si="110"/>
        <v>0</v>
      </c>
      <c r="Q230" s="81">
        <f t="shared" si="111"/>
        <v>0</v>
      </c>
      <c r="R230" s="81">
        <f t="shared" si="112"/>
        <v>0</v>
      </c>
      <c r="S230" s="81"/>
      <c r="T230" s="82">
        <f t="shared" si="113"/>
        <v>0</v>
      </c>
      <c r="U230" s="82">
        <f t="shared" si="114"/>
        <v>0</v>
      </c>
      <c r="V230" s="82">
        <f t="shared" si="115"/>
        <v>0</v>
      </c>
      <c r="W230" s="83">
        <v>0</v>
      </c>
      <c r="X230" s="83">
        <v>0</v>
      </c>
      <c r="Y230" s="83">
        <v>0</v>
      </c>
      <c r="Z230" s="84">
        <f>ROUND((IF(($O230&lt;=700000),0,IF(((VLOOKUP($M230,'Loyalty - Effec - 15July'!$B$5:$C$17,2,0)*$O230)&lt;=120000),(VLOOKUP($M230,'Loyalty - Effec - 15July'!$B$5:$C$17,2,0)*$O230),120000))),0)</f>
        <v>0</v>
      </c>
      <c r="AA230" s="84">
        <f>ROUND(VLOOKUP($M230,'Loyalty - Effec - 15July'!$B$5:$D$17,3,0)*$O230,0)</f>
        <v>0</v>
      </c>
      <c r="AB230" s="85">
        <f t="shared" si="116"/>
        <v>0</v>
      </c>
      <c r="AC230" s="86">
        <f t="shared" si="117"/>
        <v>0</v>
      </c>
      <c r="AD230" s="87">
        <f t="shared" si="118"/>
        <v>0</v>
      </c>
      <c r="AE230" s="88">
        <f t="shared" si="119"/>
        <v>0</v>
      </c>
      <c r="AF230" s="88">
        <f t="shared" si="120"/>
        <v>0</v>
      </c>
      <c r="AG230" s="49" t="s">
        <v>653</v>
      </c>
      <c r="AH230" s="49" t="s">
        <v>126</v>
      </c>
      <c r="AI230" s="50"/>
      <c r="AJ230" s="46"/>
      <c r="AK230" s="46"/>
      <c r="AL230" s="46"/>
      <c r="AM230" s="51">
        <f>IF($AL230=4,VLOOKUP($AR230,'Loyalty Incentive v1'!$L$3:$Q$15,2,FALSE),
IF($AL230=3,VLOOKUP($AR230,'Loyalty Incentive v1'!$L$3:$Q$15,3,FALSE),
IF($AL230=2,VLOOKUP($AR230,'Loyalty Incentive v1'!$L$3:$Q$15,4,FALSE),
IF($AL230=1,VLOOKUP($AR230,'Loyalty Incentive v1'!$L$3:$Q$15,5,FALSE),
IF($AL230=0,VLOOKUP($AR230,'Loyalty Incentive v1'!$L$3:$Q$15,6,FALSE),0)))))</f>
        <v>0</v>
      </c>
      <c r="AN230" s="51">
        <f>IFERROR(IF(I230&gt;="1",AM230,VLOOKUP(VALUE(I230),'Loyalty - Effec - 15July'!$I$5:$J$16,2,0)*AM230),0)</f>
        <v>0</v>
      </c>
      <c r="AO230" s="51">
        <v>0</v>
      </c>
      <c r="AP230" s="51">
        <f t="shared" si="121"/>
        <v>0</v>
      </c>
      <c r="AQ230" s="46" t="str">
        <f t="shared" si="133"/>
        <v>No</v>
      </c>
      <c r="AR230" s="46" t="str">
        <f t="shared" si="134"/>
        <v>AE3</v>
      </c>
      <c r="AS230" s="46" t="b">
        <f t="shared" si="135"/>
        <v>1</v>
      </c>
      <c r="AT230" s="82">
        <f t="shared" si="136"/>
        <v>0</v>
      </c>
      <c r="AU230" s="82">
        <f t="shared" si="122"/>
        <v>0</v>
      </c>
      <c r="AV230" s="82">
        <f t="shared" si="123"/>
        <v>0</v>
      </c>
      <c r="AW230" s="82">
        <f t="shared" si="124"/>
        <v>0</v>
      </c>
      <c r="AX230" s="85"/>
      <c r="AY230" s="82">
        <f t="shared" si="125"/>
        <v>0</v>
      </c>
      <c r="AZ230" s="82">
        <f t="shared" si="126"/>
        <v>0</v>
      </c>
      <c r="BA230" s="82">
        <f t="shared" si="127"/>
        <v>0</v>
      </c>
      <c r="BB230" s="83">
        <v>0</v>
      </c>
      <c r="BC230" s="83">
        <v>0</v>
      </c>
      <c r="BD230" s="83">
        <v>0</v>
      </c>
      <c r="BE230" s="84">
        <f>ROUND((IF(($AT230&lt;=700000),0,IF(((VLOOKUP($AR230,'Loyalty - Effec - 15July'!$B$5:$C$17,2,0)*$AT230)&lt;=120000),(VLOOKUP($AR230,'Loyalty - Effec - 15July'!$B$5:$C$17,2,0)*$AT230),120000))),0)</f>
        <v>0</v>
      </c>
      <c r="BF230" s="84">
        <f>ROUND(VLOOKUP($AR230,'Loyalty - Effec - 15July'!$B$5:$D$17,3,0)*$AT230,0)</f>
        <v>0</v>
      </c>
      <c r="BG230" s="85">
        <f t="shared" si="128"/>
        <v>0</v>
      </c>
      <c r="BH230" s="81">
        <f t="shared" si="129"/>
        <v>0</v>
      </c>
      <c r="BI230" s="85">
        <f t="shared" si="130"/>
        <v>0</v>
      </c>
      <c r="BJ230" s="85">
        <f t="shared" si="131"/>
        <v>0</v>
      </c>
      <c r="BK230" s="85">
        <f t="shared" si="132"/>
        <v>0</v>
      </c>
      <c r="BL230" s="85">
        <f t="shared" si="137"/>
        <v>0</v>
      </c>
      <c r="BM230" s="85">
        <f t="shared" si="138"/>
        <v>0</v>
      </c>
      <c r="BN230" s="85">
        <f t="shared" si="139"/>
        <v>0</v>
      </c>
      <c r="BO230" s="52" t="s">
        <v>85</v>
      </c>
      <c r="BP230" s="46"/>
      <c r="BQ230" s="46"/>
      <c r="BR230" s="47">
        <f t="shared" si="143"/>
        <v>0</v>
      </c>
      <c r="BU230" s="47">
        <f t="shared" si="141"/>
        <v>0</v>
      </c>
      <c r="BV230" s="53" t="s">
        <v>494</v>
      </c>
      <c r="BW230" s="53" t="s">
        <v>932</v>
      </c>
      <c r="BX230" s="53" t="s">
        <v>716</v>
      </c>
      <c r="BY230" s="53"/>
      <c r="BZ230" s="53"/>
    </row>
    <row r="231" spans="1:78">
      <c r="A231" s="42" t="s">
        <v>495</v>
      </c>
      <c r="B231" s="28" t="s">
        <v>79</v>
      </c>
      <c r="C231" s="28" t="s">
        <v>80</v>
      </c>
      <c r="D231" s="28" t="s">
        <v>932</v>
      </c>
      <c r="E231" s="43" t="s">
        <v>184</v>
      </c>
      <c r="F231" s="28" t="s">
        <v>902</v>
      </c>
      <c r="G231" s="44" t="s">
        <v>717</v>
      </c>
      <c r="H231" s="45">
        <v>44879</v>
      </c>
      <c r="I231" s="46" t="s">
        <v>1001</v>
      </c>
      <c r="J231" s="28">
        <v>0</v>
      </c>
      <c r="K231" s="28" t="s">
        <v>413</v>
      </c>
      <c r="L231" s="28" t="s">
        <v>880</v>
      </c>
      <c r="M231" s="28" t="s">
        <v>2</v>
      </c>
      <c r="N231" s="28" t="str">
        <f t="shared" si="109"/>
        <v>AE4</v>
      </c>
      <c r="O231" s="81"/>
      <c r="P231" s="81">
        <f t="shared" si="110"/>
        <v>0</v>
      </c>
      <c r="Q231" s="81">
        <f t="shared" si="111"/>
        <v>0</v>
      </c>
      <c r="R231" s="81">
        <f t="shared" si="112"/>
        <v>0</v>
      </c>
      <c r="S231" s="81"/>
      <c r="T231" s="82">
        <f t="shared" si="113"/>
        <v>0</v>
      </c>
      <c r="U231" s="82">
        <f t="shared" si="114"/>
        <v>0</v>
      </c>
      <c r="V231" s="82">
        <f t="shared" si="115"/>
        <v>0</v>
      </c>
      <c r="W231" s="83">
        <v>0</v>
      </c>
      <c r="X231" s="83">
        <v>0</v>
      </c>
      <c r="Y231" s="83">
        <v>0</v>
      </c>
      <c r="Z231" s="84">
        <f>ROUND((IF(($O231&lt;=700000),0,IF(((VLOOKUP($M231,'Loyalty - Effec - 15July'!$B$5:$C$17,2,0)*$O231)&lt;=120000),(VLOOKUP($M231,'Loyalty - Effec - 15July'!$B$5:$C$17,2,0)*$O231),120000))),0)</f>
        <v>0</v>
      </c>
      <c r="AA231" s="84">
        <f>ROUND(VLOOKUP($M231,'Loyalty - Effec - 15July'!$B$5:$D$17,3,0)*$O231,0)</f>
        <v>0</v>
      </c>
      <c r="AB231" s="85">
        <f t="shared" si="116"/>
        <v>0</v>
      </c>
      <c r="AC231" s="86">
        <f t="shared" si="117"/>
        <v>0</v>
      </c>
      <c r="AD231" s="87">
        <f t="shared" si="118"/>
        <v>0</v>
      </c>
      <c r="AE231" s="88">
        <f t="shared" si="119"/>
        <v>0</v>
      </c>
      <c r="AF231" s="88">
        <f t="shared" si="120"/>
        <v>0</v>
      </c>
      <c r="AG231" s="49" t="s">
        <v>90</v>
      </c>
      <c r="AH231" s="49" t="s">
        <v>200</v>
      </c>
      <c r="AI231" s="50"/>
      <c r="AJ231" s="46"/>
      <c r="AK231" s="46"/>
      <c r="AL231" s="46"/>
      <c r="AM231" s="51">
        <f>IF($AL231=4,VLOOKUP($AR231,'Loyalty Incentive v1'!$L$3:$Q$15,2,FALSE),
IF($AL231=3,VLOOKUP($AR231,'Loyalty Incentive v1'!$L$3:$Q$15,3,FALSE),
IF($AL231=2,VLOOKUP($AR231,'Loyalty Incentive v1'!$L$3:$Q$15,4,FALSE),
IF($AL231=1,VLOOKUP($AR231,'Loyalty Incentive v1'!$L$3:$Q$15,5,FALSE),
IF($AL231=0,VLOOKUP($AR231,'Loyalty Incentive v1'!$L$3:$Q$15,6,FALSE),0)))))</f>
        <v>0</v>
      </c>
      <c r="AN231" s="51">
        <f>IFERROR(IF(I231&gt;="1",AM231,VLOOKUP(VALUE(I231),'Loyalty - Effec - 15July'!$I$5:$J$16,2,0)*AM231),0)</f>
        <v>0</v>
      </c>
      <c r="AO231" s="51">
        <v>0</v>
      </c>
      <c r="AP231" s="51">
        <f t="shared" si="121"/>
        <v>0</v>
      </c>
      <c r="AQ231" s="46" t="str">
        <f t="shared" si="133"/>
        <v>No</v>
      </c>
      <c r="AR231" s="46" t="str">
        <f t="shared" si="134"/>
        <v>AE4</v>
      </c>
      <c r="AS231" s="46" t="b">
        <f t="shared" si="135"/>
        <v>1</v>
      </c>
      <c r="AT231" s="82">
        <f t="shared" si="136"/>
        <v>0</v>
      </c>
      <c r="AU231" s="82">
        <f t="shared" si="122"/>
        <v>0</v>
      </c>
      <c r="AV231" s="82">
        <f t="shared" si="123"/>
        <v>0</v>
      </c>
      <c r="AW231" s="82">
        <f t="shared" si="124"/>
        <v>0</v>
      </c>
      <c r="AX231" s="85"/>
      <c r="AY231" s="82">
        <f t="shared" si="125"/>
        <v>0</v>
      </c>
      <c r="AZ231" s="82">
        <f t="shared" si="126"/>
        <v>0</v>
      </c>
      <c r="BA231" s="82">
        <f t="shared" si="127"/>
        <v>0</v>
      </c>
      <c r="BB231" s="83">
        <v>0</v>
      </c>
      <c r="BC231" s="83">
        <v>0</v>
      </c>
      <c r="BD231" s="83">
        <v>0</v>
      </c>
      <c r="BE231" s="84">
        <f>ROUND((IF(($AT231&lt;=700000),0,IF(((VLOOKUP($AR231,'Loyalty - Effec - 15July'!$B$5:$C$17,2,0)*$AT231)&lt;=120000),(VLOOKUP($AR231,'Loyalty - Effec - 15July'!$B$5:$C$17,2,0)*$AT231),120000))),0)</f>
        <v>0</v>
      </c>
      <c r="BF231" s="84">
        <f>ROUND(VLOOKUP($AR231,'Loyalty - Effec - 15July'!$B$5:$D$17,3,0)*$AT231,0)</f>
        <v>0</v>
      </c>
      <c r="BG231" s="85">
        <f t="shared" si="128"/>
        <v>0</v>
      </c>
      <c r="BH231" s="81">
        <f t="shared" si="129"/>
        <v>0</v>
      </c>
      <c r="BI231" s="85">
        <f t="shared" si="130"/>
        <v>0</v>
      </c>
      <c r="BJ231" s="85">
        <f t="shared" si="131"/>
        <v>0</v>
      </c>
      <c r="BK231" s="85">
        <f t="shared" si="132"/>
        <v>0</v>
      </c>
      <c r="BL231" s="85">
        <f t="shared" si="137"/>
        <v>0</v>
      </c>
      <c r="BM231" s="85">
        <f t="shared" si="138"/>
        <v>0</v>
      </c>
      <c r="BN231" s="85">
        <f t="shared" si="139"/>
        <v>0</v>
      </c>
      <c r="BO231" s="52" t="s">
        <v>85</v>
      </c>
      <c r="BP231" s="46"/>
      <c r="BQ231" s="46"/>
      <c r="BR231" s="47">
        <f t="shared" si="143"/>
        <v>0</v>
      </c>
      <c r="BU231" s="47">
        <f t="shared" si="141"/>
        <v>0</v>
      </c>
      <c r="BV231" s="53" t="s">
        <v>495</v>
      </c>
      <c r="BW231" s="53" t="s">
        <v>932</v>
      </c>
      <c r="BX231" s="53" t="s">
        <v>717</v>
      </c>
      <c r="BY231" s="53"/>
      <c r="BZ231" s="53"/>
    </row>
    <row r="232" spans="1:78">
      <c r="A232" s="42" t="s">
        <v>496</v>
      </c>
      <c r="B232" s="28" t="s">
        <v>79</v>
      </c>
      <c r="C232" s="28" t="s">
        <v>80</v>
      </c>
      <c r="D232" s="28" t="s">
        <v>932</v>
      </c>
      <c r="E232" s="43" t="s">
        <v>184</v>
      </c>
      <c r="F232" s="28" t="s">
        <v>902</v>
      </c>
      <c r="G232" s="44" t="s">
        <v>718</v>
      </c>
      <c r="H232" s="45">
        <v>44879</v>
      </c>
      <c r="I232" s="46" t="s">
        <v>1001</v>
      </c>
      <c r="J232" s="28">
        <v>0</v>
      </c>
      <c r="K232" s="28" t="s">
        <v>413</v>
      </c>
      <c r="L232" s="28" t="s">
        <v>140</v>
      </c>
      <c r="M232" s="28" t="s">
        <v>1</v>
      </c>
      <c r="N232" s="28" t="str">
        <f t="shared" si="109"/>
        <v>AE3</v>
      </c>
      <c r="O232" s="81"/>
      <c r="P232" s="81">
        <f t="shared" si="110"/>
        <v>0</v>
      </c>
      <c r="Q232" s="81">
        <f t="shared" si="111"/>
        <v>0</v>
      </c>
      <c r="R232" s="81">
        <f t="shared" si="112"/>
        <v>0</v>
      </c>
      <c r="S232" s="81"/>
      <c r="T232" s="82">
        <f t="shared" si="113"/>
        <v>0</v>
      </c>
      <c r="U232" s="82">
        <f t="shared" si="114"/>
        <v>0</v>
      </c>
      <c r="V232" s="82">
        <f t="shared" si="115"/>
        <v>0</v>
      </c>
      <c r="W232" s="83">
        <v>0</v>
      </c>
      <c r="X232" s="83">
        <v>0</v>
      </c>
      <c r="Y232" s="83">
        <v>0</v>
      </c>
      <c r="Z232" s="84">
        <f>ROUND((IF(($O232&lt;=700000),0,IF(((VLOOKUP($M232,'Loyalty - Effec - 15July'!$B$5:$C$17,2,0)*$O232)&lt;=120000),(VLOOKUP($M232,'Loyalty - Effec - 15July'!$B$5:$C$17,2,0)*$O232),120000))),0)</f>
        <v>0</v>
      </c>
      <c r="AA232" s="84">
        <f>ROUND(VLOOKUP($M232,'Loyalty - Effec - 15July'!$B$5:$D$17,3,0)*$O232,0)</f>
        <v>0</v>
      </c>
      <c r="AB232" s="85">
        <f t="shared" si="116"/>
        <v>0</v>
      </c>
      <c r="AC232" s="86">
        <f t="shared" si="117"/>
        <v>0</v>
      </c>
      <c r="AD232" s="87">
        <f t="shared" si="118"/>
        <v>0</v>
      </c>
      <c r="AE232" s="88">
        <f t="shared" si="119"/>
        <v>0</v>
      </c>
      <c r="AF232" s="88">
        <f t="shared" si="120"/>
        <v>0</v>
      </c>
      <c r="AG232" s="49" t="s">
        <v>919</v>
      </c>
      <c r="AH232" s="49" t="s">
        <v>120</v>
      </c>
      <c r="AI232" s="50"/>
      <c r="AJ232" s="46"/>
      <c r="AK232" s="46"/>
      <c r="AL232" s="46"/>
      <c r="AM232" s="51">
        <f>IF($AL232=4,VLOOKUP($AR232,'Loyalty Incentive v1'!$L$3:$Q$15,2,FALSE),
IF($AL232=3,VLOOKUP($AR232,'Loyalty Incentive v1'!$L$3:$Q$15,3,FALSE),
IF($AL232=2,VLOOKUP($AR232,'Loyalty Incentive v1'!$L$3:$Q$15,4,FALSE),
IF($AL232=1,VLOOKUP($AR232,'Loyalty Incentive v1'!$L$3:$Q$15,5,FALSE),
IF($AL232=0,VLOOKUP($AR232,'Loyalty Incentive v1'!$L$3:$Q$15,6,FALSE),0)))))</f>
        <v>0</v>
      </c>
      <c r="AN232" s="51">
        <f>IFERROR(IF(I232&gt;="1",AM232,VLOOKUP(VALUE(I232),'Loyalty - Effec - 15July'!$I$5:$J$16,2,0)*AM232),0)</f>
        <v>0</v>
      </c>
      <c r="AO232" s="51">
        <v>0</v>
      </c>
      <c r="AP232" s="51">
        <f t="shared" si="121"/>
        <v>0</v>
      </c>
      <c r="AQ232" s="46" t="str">
        <f t="shared" si="133"/>
        <v>No</v>
      </c>
      <c r="AR232" s="46" t="str">
        <f t="shared" si="134"/>
        <v>AE3</v>
      </c>
      <c r="AS232" s="46" t="b">
        <f t="shared" si="135"/>
        <v>1</v>
      </c>
      <c r="AT232" s="82">
        <f t="shared" si="136"/>
        <v>0</v>
      </c>
      <c r="AU232" s="82">
        <f t="shared" si="122"/>
        <v>0</v>
      </c>
      <c r="AV232" s="82">
        <f t="shared" si="123"/>
        <v>0</v>
      </c>
      <c r="AW232" s="82">
        <f t="shared" si="124"/>
        <v>0</v>
      </c>
      <c r="AX232" s="85"/>
      <c r="AY232" s="82">
        <f t="shared" si="125"/>
        <v>0</v>
      </c>
      <c r="AZ232" s="82">
        <f t="shared" si="126"/>
        <v>0</v>
      </c>
      <c r="BA232" s="82">
        <f t="shared" si="127"/>
        <v>0</v>
      </c>
      <c r="BB232" s="83">
        <v>0</v>
      </c>
      <c r="BC232" s="83">
        <v>0</v>
      </c>
      <c r="BD232" s="83">
        <v>0</v>
      </c>
      <c r="BE232" s="84">
        <f>ROUND((IF(($AT232&lt;=700000),0,IF(((VLOOKUP($AR232,'Loyalty - Effec - 15July'!$B$5:$C$17,2,0)*$AT232)&lt;=120000),(VLOOKUP($AR232,'Loyalty - Effec - 15July'!$B$5:$C$17,2,0)*$AT232),120000))),0)</f>
        <v>0</v>
      </c>
      <c r="BF232" s="84">
        <f>ROUND(VLOOKUP($AR232,'Loyalty - Effec - 15July'!$B$5:$D$17,3,0)*$AT232,0)</f>
        <v>0</v>
      </c>
      <c r="BG232" s="85">
        <f t="shared" si="128"/>
        <v>0</v>
      </c>
      <c r="BH232" s="81">
        <f t="shared" si="129"/>
        <v>0</v>
      </c>
      <c r="BI232" s="85">
        <f t="shared" si="130"/>
        <v>0</v>
      </c>
      <c r="BJ232" s="85">
        <f t="shared" si="131"/>
        <v>0</v>
      </c>
      <c r="BK232" s="85">
        <f t="shared" si="132"/>
        <v>0</v>
      </c>
      <c r="BL232" s="85">
        <f t="shared" si="137"/>
        <v>0</v>
      </c>
      <c r="BM232" s="85">
        <f t="shared" si="138"/>
        <v>0</v>
      </c>
      <c r="BN232" s="85">
        <f t="shared" si="139"/>
        <v>0</v>
      </c>
      <c r="BO232" s="52" t="s">
        <v>85</v>
      </c>
      <c r="BP232" s="46"/>
      <c r="BQ232" s="46"/>
      <c r="BR232" s="47">
        <f t="shared" si="143"/>
        <v>0</v>
      </c>
      <c r="BU232" s="47">
        <f t="shared" si="141"/>
        <v>0</v>
      </c>
      <c r="BV232" s="53" t="s">
        <v>496</v>
      </c>
      <c r="BW232" s="53" t="s">
        <v>932</v>
      </c>
      <c r="BX232" s="53" t="s">
        <v>718</v>
      </c>
      <c r="BY232" s="53"/>
      <c r="BZ232" s="53"/>
    </row>
    <row r="233" spans="1:78">
      <c r="A233" s="42" t="s">
        <v>497</v>
      </c>
      <c r="B233" s="28" t="s">
        <v>79</v>
      </c>
      <c r="C233" s="28" t="s">
        <v>80</v>
      </c>
      <c r="D233" s="28" t="s">
        <v>932</v>
      </c>
      <c r="E233" s="43" t="s">
        <v>184</v>
      </c>
      <c r="F233" s="28" t="s">
        <v>902</v>
      </c>
      <c r="G233" s="44" t="s">
        <v>719</v>
      </c>
      <c r="H233" s="45">
        <v>44879</v>
      </c>
      <c r="I233" s="46" t="s">
        <v>1001</v>
      </c>
      <c r="J233" s="28">
        <v>0</v>
      </c>
      <c r="K233" s="28" t="s">
        <v>93</v>
      </c>
      <c r="L233" s="28" t="s">
        <v>873</v>
      </c>
      <c r="M233" s="28" t="s">
        <v>2</v>
      </c>
      <c r="N233" s="28" t="str">
        <f t="shared" si="109"/>
        <v>AE4</v>
      </c>
      <c r="O233" s="81"/>
      <c r="P233" s="81">
        <f t="shared" si="110"/>
        <v>0</v>
      </c>
      <c r="Q233" s="81">
        <f t="shared" si="111"/>
        <v>0</v>
      </c>
      <c r="R233" s="81">
        <f t="shared" si="112"/>
        <v>0</v>
      </c>
      <c r="S233" s="81"/>
      <c r="T233" s="82">
        <f t="shared" si="113"/>
        <v>0</v>
      </c>
      <c r="U233" s="82">
        <f t="shared" si="114"/>
        <v>0</v>
      </c>
      <c r="V233" s="82">
        <f t="shared" si="115"/>
        <v>0</v>
      </c>
      <c r="W233" s="83">
        <v>0</v>
      </c>
      <c r="X233" s="83">
        <v>0</v>
      </c>
      <c r="Y233" s="83">
        <v>0</v>
      </c>
      <c r="Z233" s="84">
        <f>ROUND((IF(($O233&lt;=700000),0,IF(((VLOOKUP($M233,'Loyalty - Effec - 15July'!$B$5:$C$17,2,0)*$O233)&lt;=120000),(VLOOKUP($M233,'Loyalty - Effec - 15July'!$B$5:$C$17,2,0)*$O233),120000))),0)</f>
        <v>0</v>
      </c>
      <c r="AA233" s="84">
        <f>ROUND(VLOOKUP($M233,'Loyalty - Effec - 15July'!$B$5:$D$17,3,0)*$O233,0)</f>
        <v>0</v>
      </c>
      <c r="AB233" s="85">
        <f t="shared" si="116"/>
        <v>0</v>
      </c>
      <c r="AC233" s="86">
        <f t="shared" si="117"/>
        <v>0</v>
      </c>
      <c r="AD233" s="87">
        <f t="shared" si="118"/>
        <v>0</v>
      </c>
      <c r="AE233" s="88">
        <f t="shared" si="119"/>
        <v>0</v>
      </c>
      <c r="AF233" s="88">
        <f t="shared" si="120"/>
        <v>0</v>
      </c>
      <c r="AG233" s="49" t="s">
        <v>198</v>
      </c>
      <c r="AH233" s="49" t="s">
        <v>909</v>
      </c>
      <c r="AI233" s="50"/>
      <c r="AJ233" s="46"/>
      <c r="AK233" s="46"/>
      <c r="AL233" s="46"/>
      <c r="AM233" s="51">
        <f>IF($AL233=4,VLOOKUP($AR233,'Loyalty Incentive v1'!$L$3:$Q$15,2,FALSE),
IF($AL233=3,VLOOKUP($AR233,'Loyalty Incentive v1'!$L$3:$Q$15,3,FALSE),
IF($AL233=2,VLOOKUP($AR233,'Loyalty Incentive v1'!$L$3:$Q$15,4,FALSE),
IF($AL233=1,VLOOKUP($AR233,'Loyalty Incentive v1'!$L$3:$Q$15,5,FALSE),
IF($AL233=0,VLOOKUP($AR233,'Loyalty Incentive v1'!$L$3:$Q$15,6,FALSE),0)))))</f>
        <v>0</v>
      </c>
      <c r="AN233" s="51">
        <f>IFERROR(IF(I233&gt;="1",AM233,VLOOKUP(VALUE(I233),'Loyalty - Effec - 15July'!$I$5:$J$16,2,0)*AM233),0)</f>
        <v>0</v>
      </c>
      <c r="AO233" s="51">
        <v>0</v>
      </c>
      <c r="AP233" s="51">
        <f t="shared" si="121"/>
        <v>0</v>
      </c>
      <c r="AQ233" s="46" t="str">
        <f t="shared" si="133"/>
        <v>No</v>
      </c>
      <c r="AR233" s="46" t="str">
        <f t="shared" si="134"/>
        <v>AE4</v>
      </c>
      <c r="AS233" s="46" t="b">
        <f t="shared" si="135"/>
        <v>1</v>
      </c>
      <c r="AT233" s="82">
        <f t="shared" si="136"/>
        <v>0</v>
      </c>
      <c r="AU233" s="82">
        <f t="shared" si="122"/>
        <v>0</v>
      </c>
      <c r="AV233" s="82">
        <f t="shared" si="123"/>
        <v>0</v>
      </c>
      <c r="AW233" s="82">
        <f t="shared" si="124"/>
        <v>0</v>
      </c>
      <c r="AX233" s="85"/>
      <c r="AY233" s="82">
        <f t="shared" si="125"/>
        <v>0</v>
      </c>
      <c r="AZ233" s="82">
        <f t="shared" si="126"/>
        <v>0</v>
      </c>
      <c r="BA233" s="82">
        <f t="shared" si="127"/>
        <v>0</v>
      </c>
      <c r="BB233" s="83">
        <v>0</v>
      </c>
      <c r="BC233" s="83">
        <v>0</v>
      </c>
      <c r="BD233" s="83">
        <v>0</v>
      </c>
      <c r="BE233" s="84">
        <f>ROUND((IF(($AT233&lt;=700000),0,IF(((VLOOKUP($AR233,'Loyalty - Effec - 15July'!$B$5:$C$17,2,0)*$AT233)&lt;=120000),(VLOOKUP($AR233,'Loyalty - Effec - 15July'!$B$5:$C$17,2,0)*$AT233),120000))),0)</f>
        <v>0</v>
      </c>
      <c r="BF233" s="84">
        <f>ROUND(VLOOKUP($AR233,'Loyalty - Effec - 15July'!$B$5:$D$17,3,0)*$AT233,0)</f>
        <v>0</v>
      </c>
      <c r="BG233" s="85">
        <f t="shared" si="128"/>
        <v>0</v>
      </c>
      <c r="BH233" s="81">
        <f t="shared" si="129"/>
        <v>0</v>
      </c>
      <c r="BI233" s="85">
        <f t="shared" si="130"/>
        <v>0</v>
      </c>
      <c r="BJ233" s="85">
        <f t="shared" si="131"/>
        <v>0</v>
      </c>
      <c r="BK233" s="85">
        <f t="shared" si="132"/>
        <v>0</v>
      </c>
      <c r="BL233" s="85">
        <f t="shared" si="137"/>
        <v>0</v>
      </c>
      <c r="BM233" s="85">
        <f t="shared" si="138"/>
        <v>0</v>
      </c>
      <c r="BN233" s="85">
        <f t="shared" si="139"/>
        <v>0</v>
      </c>
      <c r="BO233" s="52" t="s">
        <v>85</v>
      </c>
      <c r="BP233" s="46"/>
      <c r="BQ233" s="46"/>
      <c r="BR233" s="47">
        <f t="shared" si="143"/>
        <v>0</v>
      </c>
      <c r="BU233" s="47">
        <f t="shared" si="141"/>
        <v>0</v>
      </c>
      <c r="BV233" s="53" t="s">
        <v>497</v>
      </c>
      <c r="BW233" s="53" t="s">
        <v>932</v>
      </c>
      <c r="BX233" s="53" t="s">
        <v>719</v>
      </c>
      <c r="BY233" s="53"/>
      <c r="BZ233" s="53"/>
    </row>
    <row r="234" spans="1:78">
      <c r="A234" s="42" t="s">
        <v>498</v>
      </c>
      <c r="B234" s="28" t="s">
        <v>79</v>
      </c>
      <c r="C234" s="28" t="s">
        <v>80</v>
      </c>
      <c r="D234" s="28" t="s">
        <v>932</v>
      </c>
      <c r="E234" s="43" t="s">
        <v>184</v>
      </c>
      <c r="F234" s="28" t="s">
        <v>902</v>
      </c>
      <c r="G234" s="44" t="s">
        <v>720</v>
      </c>
      <c r="H234" s="45">
        <v>44879</v>
      </c>
      <c r="I234" s="46" t="s">
        <v>1001</v>
      </c>
      <c r="J234" s="28">
        <v>0</v>
      </c>
      <c r="K234" s="28" t="s">
        <v>93</v>
      </c>
      <c r="L234" s="28" t="s">
        <v>873</v>
      </c>
      <c r="M234" s="28" t="s">
        <v>3</v>
      </c>
      <c r="N234" s="28" t="str">
        <f t="shared" si="109"/>
        <v>AE5</v>
      </c>
      <c r="O234" s="81"/>
      <c r="P234" s="81">
        <f t="shared" si="110"/>
        <v>0</v>
      </c>
      <c r="Q234" s="81">
        <f t="shared" si="111"/>
        <v>0</v>
      </c>
      <c r="R234" s="81">
        <f t="shared" si="112"/>
        <v>0</v>
      </c>
      <c r="S234" s="81"/>
      <c r="T234" s="82">
        <f t="shared" si="113"/>
        <v>0</v>
      </c>
      <c r="U234" s="82">
        <f t="shared" si="114"/>
        <v>0</v>
      </c>
      <c r="V234" s="82">
        <f t="shared" si="115"/>
        <v>0</v>
      </c>
      <c r="W234" s="83">
        <v>0</v>
      </c>
      <c r="X234" s="83">
        <v>0</v>
      </c>
      <c r="Y234" s="83">
        <v>0</v>
      </c>
      <c r="Z234" s="84">
        <f>ROUND((IF(($O234&lt;=700000),0,IF(((VLOOKUP($M234,'Loyalty - Effec - 15July'!$B$5:$C$17,2,0)*$O234)&lt;=120000),(VLOOKUP($M234,'Loyalty - Effec - 15July'!$B$5:$C$17,2,0)*$O234),120000))),0)</f>
        <v>0</v>
      </c>
      <c r="AA234" s="84">
        <f>ROUND(VLOOKUP($M234,'Loyalty - Effec - 15July'!$B$5:$D$17,3,0)*$O234,0)</f>
        <v>0</v>
      </c>
      <c r="AB234" s="85">
        <f t="shared" si="116"/>
        <v>0</v>
      </c>
      <c r="AC234" s="86">
        <f t="shared" si="117"/>
        <v>0</v>
      </c>
      <c r="AD234" s="87">
        <f t="shared" si="118"/>
        <v>0</v>
      </c>
      <c r="AE234" s="88">
        <f t="shared" si="119"/>
        <v>0</v>
      </c>
      <c r="AF234" s="88">
        <f t="shared" si="120"/>
        <v>0</v>
      </c>
      <c r="AG234" s="49" t="s">
        <v>212</v>
      </c>
      <c r="AH234" s="49" t="s">
        <v>928</v>
      </c>
      <c r="AI234" s="50"/>
      <c r="AJ234" s="46"/>
      <c r="AK234" s="46"/>
      <c r="AL234" s="46"/>
      <c r="AM234" s="51">
        <f>IF($AL234=4,VLOOKUP($AR234,'Loyalty Incentive v1'!$L$3:$Q$15,2,FALSE),
IF($AL234=3,VLOOKUP($AR234,'Loyalty Incentive v1'!$L$3:$Q$15,3,FALSE),
IF($AL234=2,VLOOKUP($AR234,'Loyalty Incentive v1'!$L$3:$Q$15,4,FALSE),
IF($AL234=1,VLOOKUP($AR234,'Loyalty Incentive v1'!$L$3:$Q$15,5,FALSE),
IF($AL234=0,VLOOKUP($AR234,'Loyalty Incentive v1'!$L$3:$Q$15,6,FALSE),0)))))</f>
        <v>0</v>
      </c>
      <c r="AN234" s="51">
        <f>IFERROR(IF(I234&gt;="1",AM234,VLOOKUP(VALUE(I234),'Loyalty - Effec - 15July'!$I$5:$J$16,2,0)*AM234),0)</f>
        <v>0</v>
      </c>
      <c r="AO234" s="51">
        <v>0</v>
      </c>
      <c r="AP234" s="51">
        <f t="shared" si="121"/>
        <v>0</v>
      </c>
      <c r="AQ234" s="46" t="str">
        <f t="shared" si="133"/>
        <v>No</v>
      </c>
      <c r="AR234" s="46" t="str">
        <f t="shared" si="134"/>
        <v>AE5</v>
      </c>
      <c r="AS234" s="46" t="b">
        <f t="shared" si="135"/>
        <v>1</v>
      </c>
      <c r="AT234" s="82">
        <f t="shared" si="136"/>
        <v>0</v>
      </c>
      <c r="AU234" s="82">
        <f t="shared" si="122"/>
        <v>0</v>
      </c>
      <c r="AV234" s="82">
        <f t="shared" si="123"/>
        <v>0</v>
      </c>
      <c r="AW234" s="82">
        <f t="shared" si="124"/>
        <v>0</v>
      </c>
      <c r="AX234" s="85"/>
      <c r="AY234" s="82">
        <f t="shared" si="125"/>
        <v>0</v>
      </c>
      <c r="AZ234" s="82">
        <f t="shared" si="126"/>
        <v>0</v>
      </c>
      <c r="BA234" s="82">
        <f t="shared" si="127"/>
        <v>0</v>
      </c>
      <c r="BB234" s="83">
        <v>0</v>
      </c>
      <c r="BC234" s="83">
        <v>0</v>
      </c>
      <c r="BD234" s="83">
        <v>0</v>
      </c>
      <c r="BE234" s="84">
        <f>ROUND((IF(($AT234&lt;=700000),0,IF(((VLOOKUP($AR234,'Loyalty - Effec - 15July'!$B$5:$C$17,2,0)*$AT234)&lt;=120000),(VLOOKUP($AR234,'Loyalty - Effec - 15July'!$B$5:$C$17,2,0)*$AT234),120000))),0)</f>
        <v>0</v>
      </c>
      <c r="BF234" s="84">
        <f>ROUND(VLOOKUP($AR234,'Loyalty - Effec - 15July'!$B$5:$D$17,3,0)*$AT234,0)</f>
        <v>0</v>
      </c>
      <c r="BG234" s="85">
        <f t="shared" si="128"/>
        <v>0</v>
      </c>
      <c r="BH234" s="81">
        <f t="shared" si="129"/>
        <v>0</v>
      </c>
      <c r="BI234" s="85">
        <f t="shared" si="130"/>
        <v>0</v>
      </c>
      <c r="BJ234" s="85">
        <f t="shared" si="131"/>
        <v>0</v>
      </c>
      <c r="BK234" s="85">
        <f t="shared" si="132"/>
        <v>0</v>
      </c>
      <c r="BL234" s="85">
        <f t="shared" si="137"/>
        <v>0</v>
      </c>
      <c r="BM234" s="85">
        <f t="shared" si="138"/>
        <v>0</v>
      </c>
      <c r="BN234" s="85">
        <f t="shared" si="139"/>
        <v>0</v>
      </c>
      <c r="BO234" s="52" t="s">
        <v>85</v>
      </c>
      <c r="BP234" s="46"/>
      <c r="BQ234" s="46"/>
      <c r="BR234" s="47">
        <f t="shared" si="143"/>
        <v>0</v>
      </c>
      <c r="BU234" s="47">
        <f t="shared" si="141"/>
        <v>0</v>
      </c>
      <c r="BV234" s="53" t="s">
        <v>498</v>
      </c>
      <c r="BW234" s="53" t="s">
        <v>932</v>
      </c>
      <c r="BX234" s="53" t="s">
        <v>720</v>
      </c>
      <c r="BY234" s="53"/>
      <c r="BZ234" s="53"/>
    </row>
    <row r="235" spans="1:78">
      <c r="A235" s="42" t="s">
        <v>499</v>
      </c>
      <c r="B235" s="28" t="s">
        <v>79</v>
      </c>
      <c r="C235" s="28" t="s">
        <v>80</v>
      </c>
      <c r="D235" s="28" t="s">
        <v>932</v>
      </c>
      <c r="E235" s="43" t="s">
        <v>82</v>
      </c>
      <c r="F235" s="28" t="s">
        <v>901</v>
      </c>
      <c r="G235" s="44" t="s">
        <v>721</v>
      </c>
      <c r="H235" s="45">
        <v>44879</v>
      </c>
      <c r="I235" s="46" t="s">
        <v>1001</v>
      </c>
      <c r="J235" s="28">
        <v>9</v>
      </c>
      <c r="K235" s="28" t="s">
        <v>396</v>
      </c>
      <c r="L235" s="28" t="s">
        <v>155</v>
      </c>
      <c r="M235" s="28" t="s">
        <v>9</v>
      </c>
      <c r="N235" s="28" t="str">
        <f t="shared" si="109"/>
        <v>AE1</v>
      </c>
      <c r="O235" s="81"/>
      <c r="P235" s="81">
        <f t="shared" si="110"/>
        <v>0</v>
      </c>
      <c r="Q235" s="81">
        <f t="shared" si="111"/>
        <v>0</v>
      </c>
      <c r="R235" s="81">
        <f t="shared" si="112"/>
        <v>0</v>
      </c>
      <c r="S235" s="81"/>
      <c r="T235" s="82">
        <f t="shared" si="113"/>
        <v>0</v>
      </c>
      <c r="U235" s="82">
        <f t="shared" si="114"/>
        <v>0</v>
      </c>
      <c r="V235" s="82">
        <f t="shared" si="115"/>
        <v>0</v>
      </c>
      <c r="W235" s="83">
        <v>0</v>
      </c>
      <c r="X235" s="83">
        <v>0</v>
      </c>
      <c r="Y235" s="83">
        <v>0</v>
      </c>
      <c r="Z235" s="84">
        <f>ROUND((IF(($O235&lt;=700000),0,IF(((VLOOKUP($M235,'Loyalty - Effec - 15July'!$B$5:$C$17,2,0)*$O235)&lt;=120000),(VLOOKUP($M235,'Loyalty - Effec - 15July'!$B$5:$C$17,2,0)*$O235),120000))),0)</f>
        <v>0</v>
      </c>
      <c r="AA235" s="84">
        <f>ROUND(VLOOKUP($M235,'Loyalty - Effec - 15July'!$B$5:$D$17,3,0)*$O235,0)</f>
        <v>0</v>
      </c>
      <c r="AB235" s="85">
        <f t="shared" si="116"/>
        <v>0</v>
      </c>
      <c r="AC235" s="86">
        <f t="shared" si="117"/>
        <v>0</v>
      </c>
      <c r="AD235" s="87">
        <f t="shared" si="118"/>
        <v>0</v>
      </c>
      <c r="AE235" s="88">
        <f t="shared" si="119"/>
        <v>0</v>
      </c>
      <c r="AF235" s="88">
        <f t="shared" si="120"/>
        <v>0</v>
      </c>
      <c r="AG235" s="49" t="s">
        <v>400</v>
      </c>
      <c r="AH235" s="49" t="s">
        <v>928</v>
      </c>
      <c r="AI235" s="50"/>
      <c r="AJ235" s="46"/>
      <c r="AK235" s="46"/>
      <c r="AL235" s="46"/>
      <c r="AM235" s="51">
        <f>IF($AL235=4,VLOOKUP($AR235,'Loyalty Incentive v1'!$L$3:$Q$15,2,FALSE),
IF($AL235=3,VLOOKUP($AR235,'Loyalty Incentive v1'!$L$3:$Q$15,3,FALSE),
IF($AL235=2,VLOOKUP($AR235,'Loyalty Incentive v1'!$L$3:$Q$15,4,FALSE),
IF($AL235=1,VLOOKUP($AR235,'Loyalty Incentive v1'!$L$3:$Q$15,5,FALSE),
IF($AL235=0,VLOOKUP($AR235,'Loyalty Incentive v1'!$L$3:$Q$15,6,FALSE),0)))))</f>
        <v>0</v>
      </c>
      <c r="AN235" s="51">
        <f>IFERROR(IF(I235&gt;="1",AM235,VLOOKUP(VALUE(I235),'Loyalty - Effec - 15July'!$I$5:$J$16,2,0)*AM235),0)</f>
        <v>0</v>
      </c>
      <c r="AO235" s="51">
        <v>0</v>
      </c>
      <c r="AP235" s="51">
        <f t="shared" si="121"/>
        <v>0</v>
      </c>
      <c r="AQ235" s="46" t="str">
        <f t="shared" si="133"/>
        <v>No</v>
      </c>
      <c r="AR235" s="46" t="str">
        <f t="shared" si="134"/>
        <v>AE1</v>
      </c>
      <c r="AS235" s="46" t="b">
        <f t="shared" si="135"/>
        <v>1</v>
      </c>
      <c r="AT235" s="82">
        <f t="shared" si="136"/>
        <v>0</v>
      </c>
      <c r="AU235" s="82">
        <f t="shared" si="122"/>
        <v>0</v>
      </c>
      <c r="AV235" s="82">
        <f t="shared" si="123"/>
        <v>0</v>
      </c>
      <c r="AW235" s="82">
        <f t="shared" si="124"/>
        <v>0</v>
      </c>
      <c r="AX235" s="85"/>
      <c r="AY235" s="82">
        <f t="shared" si="125"/>
        <v>0</v>
      </c>
      <c r="AZ235" s="82">
        <f t="shared" si="126"/>
        <v>0</v>
      </c>
      <c r="BA235" s="82">
        <f t="shared" si="127"/>
        <v>0</v>
      </c>
      <c r="BB235" s="83">
        <v>0</v>
      </c>
      <c r="BC235" s="83">
        <v>0</v>
      </c>
      <c r="BD235" s="83">
        <v>0</v>
      </c>
      <c r="BE235" s="84">
        <f>ROUND((IF(($AT235&lt;=700000),0,IF(((VLOOKUP($AR235,'Loyalty - Effec - 15July'!$B$5:$C$17,2,0)*$AT235)&lt;=120000),(VLOOKUP($AR235,'Loyalty - Effec - 15July'!$B$5:$C$17,2,0)*$AT235),120000))),0)</f>
        <v>0</v>
      </c>
      <c r="BF235" s="84">
        <f>ROUND(VLOOKUP($AR235,'Loyalty - Effec - 15July'!$B$5:$D$17,3,0)*$AT235,0)</f>
        <v>0</v>
      </c>
      <c r="BG235" s="85">
        <f t="shared" si="128"/>
        <v>0</v>
      </c>
      <c r="BH235" s="81">
        <f t="shared" si="129"/>
        <v>0</v>
      </c>
      <c r="BI235" s="85">
        <f t="shared" si="130"/>
        <v>0</v>
      </c>
      <c r="BJ235" s="85">
        <f t="shared" si="131"/>
        <v>0</v>
      </c>
      <c r="BK235" s="85">
        <f t="shared" si="132"/>
        <v>0</v>
      </c>
      <c r="BL235" s="85">
        <f t="shared" si="137"/>
        <v>0</v>
      </c>
      <c r="BM235" s="85">
        <f t="shared" si="138"/>
        <v>0</v>
      </c>
      <c r="BN235" s="85">
        <f t="shared" si="139"/>
        <v>0</v>
      </c>
      <c r="BO235" s="52" t="s">
        <v>85</v>
      </c>
      <c r="BP235" s="46"/>
      <c r="BQ235" s="46"/>
      <c r="BR235" s="47">
        <f t="shared" si="143"/>
        <v>0</v>
      </c>
      <c r="BU235" s="47">
        <f t="shared" si="141"/>
        <v>0</v>
      </c>
      <c r="BV235" s="53" t="s">
        <v>499</v>
      </c>
      <c r="BW235" s="53" t="s">
        <v>932</v>
      </c>
      <c r="BX235" s="53" t="s">
        <v>721</v>
      </c>
      <c r="BY235" s="53"/>
      <c r="BZ235" s="53"/>
    </row>
    <row r="236" spans="1:78">
      <c r="A236" s="42" t="s">
        <v>500</v>
      </c>
      <c r="B236" s="28" t="s">
        <v>79</v>
      </c>
      <c r="C236" s="28" t="s">
        <v>80</v>
      </c>
      <c r="D236" s="28" t="s">
        <v>932</v>
      </c>
      <c r="E236" s="43" t="s">
        <v>82</v>
      </c>
      <c r="F236" s="28" t="s">
        <v>901</v>
      </c>
      <c r="G236" s="44" t="s">
        <v>722</v>
      </c>
      <c r="H236" s="45">
        <v>44879</v>
      </c>
      <c r="I236" s="46" t="s">
        <v>1001</v>
      </c>
      <c r="J236" s="28">
        <v>7.2</v>
      </c>
      <c r="K236" s="28" t="s">
        <v>396</v>
      </c>
      <c r="L236" s="28" t="s">
        <v>880</v>
      </c>
      <c r="M236" s="28" t="s">
        <v>9</v>
      </c>
      <c r="N236" s="28" t="str">
        <f t="shared" si="109"/>
        <v>AE1</v>
      </c>
      <c r="O236" s="81"/>
      <c r="P236" s="81">
        <f t="shared" si="110"/>
        <v>0</v>
      </c>
      <c r="Q236" s="81">
        <f t="shared" si="111"/>
        <v>0</v>
      </c>
      <c r="R236" s="81">
        <f t="shared" si="112"/>
        <v>0</v>
      </c>
      <c r="S236" s="81"/>
      <c r="T236" s="82">
        <f t="shared" si="113"/>
        <v>0</v>
      </c>
      <c r="U236" s="82">
        <f t="shared" si="114"/>
        <v>0</v>
      </c>
      <c r="V236" s="82">
        <f t="shared" si="115"/>
        <v>0</v>
      </c>
      <c r="W236" s="83">
        <v>0</v>
      </c>
      <c r="X236" s="83">
        <v>0</v>
      </c>
      <c r="Y236" s="83">
        <v>0</v>
      </c>
      <c r="Z236" s="84">
        <f>ROUND((IF(($O236&lt;=700000),0,IF(((VLOOKUP($M236,'Loyalty - Effec - 15July'!$B$5:$C$17,2,0)*$O236)&lt;=120000),(VLOOKUP($M236,'Loyalty - Effec - 15July'!$B$5:$C$17,2,0)*$O236),120000))),0)</f>
        <v>0</v>
      </c>
      <c r="AA236" s="84">
        <f>ROUND(VLOOKUP($M236,'Loyalty - Effec - 15July'!$B$5:$D$17,3,0)*$O236,0)</f>
        <v>0</v>
      </c>
      <c r="AB236" s="85">
        <f t="shared" si="116"/>
        <v>0</v>
      </c>
      <c r="AC236" s="86">
        <f t="shared" si="117"/>
        <v>0</v>
      </c>
      <c r="AD236" s="87">
        <f t="shared" si="118"/>
        <v>0</v>
      </c>
      <c r="AE236" s="88">
        <f t="shared" si="119"/>
        <v>0</v>
      </c>
      <c r="AF236" s="88">
        <f t="shared" si="120"/>
        <v>0</v>
      </c>
      <c r="AG236" s="49" t="s">
        <v>190</v>
      </c>
      <c r="AH236" s="49" t="s">
        <v>909</v>
      </c>
      <c r="AI236" s="50"/>
      <c r="AJ236" s="46"/>
      <c r="AK236" s="46"/>
      <c r="AL236" s="46"/>
      <c r="AM236" s="51">
        <f>IF($AL236=4,VLOOKUP($AR236,'Loyalty Incentive v1'!$L$3:$Q$15,2,FALSE),
IF($AL236=3,VLOOKUP($AR236,'Loyalty Incentive v1'!$L$3:$Q$15,3,FALSE),
IF($AL236=2,VLOOKUP($AR236,'Loyalty Incentive v1'!$L$3:$Q$15,4,FALSE),
IF($AL236=1,VLOOKUP($AR236,'Loyalty Incentive v1'!$L$3:$Q$15,5,FALSE),
IF($AL236=0,VLOOKUP($AR236,'Loyalty Incentive v1'!$L$3:$Q$15,6,FALSE),0)))))</f>
        <v>0</v>
      </c>
      <c r="AN236" s="51">
        <f>IFERROR(IF(I236&gt;="1",AM236,VLOOKUP(VALUE(I236),'Loyalty - Effec - 15July'!$I$5:$J$16,2,0)*AM236),0)</f>
        <v>0</v>
      </c>
      <c r="AO236" s="51">
        <v>0</v>
      </c>
      <c r="AP236" s="51">
        <f t="shared" si="121"/>
        <v>0</v>
      </c>
      <c r="AQ236" s="46" t="str">
        <f t="shared" si="133"/>
        <v>No</v>
      </c>
      <c r="AR236" s="46" t="str">
        <f t="shared" si="134"/>
        <v>AE1</v>
      </c>
      <c r="AS236" s="46" t="b">
        <f t="shared" si="135"/>
        <v>1</v>
      </c>
      <c r="AT236" s="82">
        <f t="shared" si="136"/>
        <v>0</v>
      </c>
      <c r="AU236" s="82">
        <f t="shared" si="122"/>
        <v>0</v>
      </c>
      <c r="AV236" s="82">
        <f t="shared" si="123"/>
        <v>0</v>
      </c>
      <c r="AW236" s="82">
        <f t="shared" si="124"/>
        <v>0</v>
      </c>
      <c r="AX236" s="85"/>
      <c r="AY236" s="82">
        <f t="shared" si="125"/>
        <v>0</v>
      </c>
      <c r="AZ236" s="82">
        <f t="shared" si="126"/>
        <v>0</v>
      </c>
      <c r="BA236" s="82">
        <f t="shared" si="127"/>
        <v>0</v>
      </c>
      <c r="BB236" s="83">
        <v>0</v>
      </c>
      <c r="BC236" s="83">
        <v>0</v>
      </c>
      <c r="BD236" s="83">
        <v>0</v>
      </c>
      <c r="BE236" s="84">
        <f>ROUND((IF(($AT236&lt;=700000),0,IF(((VLOOKUP($AR236,'Loyalty - Effec - 15July'!$B$5:$C$17,2,0)*$AT236)&lt;=120000),(VLOOKUP($AR236,'Loyalty - Effec - 15July'!$B$5:$C$17,2,0)*$AT236),120000))),0)</f>
        <v>0</v>
      </c>
      <c r="BF236" s="84">
        <f>ROUND(VLOOKUP($AR236,'Loyalty - Effec - 15July'!$B$5:$D$17,3,0)*$AT236,0)</f>
        <v>0</v>
      </c>
      <c r="BG236" s="85">
        <f t="shared" si="128"/>
        <v>0</v>
      </c>
      <c r="BH236" s="81">
        <f t="shared" si="129"/>
        <v>0</v>
      </c>
      <c r="BI236" s="85">
        <f t="shared" si="130"/>
        <v>0</v>
      </c>
      <c r="BJ236" s="85">
        <f t="shared" si="131"/>
        <v>0</v>
      </c>
      <c r="BK236" s="85">
        <f t="shared" si="132"/>
        <v>0</v>
      </c>
      <c r="BL236" s="85">
        <f t="shared" si="137"/>
        <v>0</v>
      </c>
      <c r="BM236" s="85">
        <f t="shared" si="138"/>
        <v>0</v>
      </c>
      <c r="BN236" s="85">
        <f t="shared" si="139"/>
        <v>0</v>
      </c>
      <c r="BO236" s="52" t="s">
        <v>85</v>
      </c>
      <c r="BP236" s="46"/>
      <c r="BQ236" s="46"/>
      <c r="BR236" s="47">
        <f t="shared" si="143"/>
        <v>0</v>
      </c>
      <c r="BU236" s="47">
        <f t="shared" si="141"/>
        <v>0</v>
      </c>
      <c r="BV236" s="53" t="s">
        <v>500</v>
      </c>
      <c r="BW236" s="53" t="s">
        <v>932</v>
      </c>
      <c r="BX236" s="53" t="s">
        <v>722</v>
      </c>
      <c r="BY236" s="53"/>
      <c r="BZ236" s="53"/>
    </row>
    <row r="237" spans="1:78">
      <c r="A237" s="42" t="s">
        <v>501</v>
      </c>
      <c r="B237" s="28" t="s">
        <v>79</v>
      </c>
      <c r="C237" s="28" t="s">
        <v>80</v>
      </c>
      <c r="D237" s="28" t="s">
        <v>932</v>
      </c>
      <c r="E237" s="43" t="s">
        <v>184</v>
      </c>
      <c r="F237" s="28" t="s">
        <v>901</v>
      </c>
      <c r="G237" s="44" t="s">
        <v>723</v>
      </c>
      <c r="H237" s="45">
        <v>44879</v>
      </c>
      <c r="I237" s="46" t="s">
        <v>1001</v>
      </c>
      <c r="J237" s="28">
        <v>0</v>
      </c>
      <c r="K237" s="28" t="s">
        <v>413</v>
      </c>
      <c r="L237" s="28" t="s">
        <v>880</v>
      </c>
      <c r="M237" s="28" t="s">
        <v>9</v>
      </c>
      <c r="N237" s="28" t="str">
        <f t="shared" si="109"/>
        <v>AE1</v>
      </c>
      <c r="O237" s="81"/>
      <c r="P237" s="81">
        <f t="shared" si="110"/>
        <v>0</v>
      </c>
      <c r="Q237" s="81">
        <f t="shared" si="111"/>
        <v>0</v>
      </c>
      <c r="R237" s="81">
        <f t="shared" si="112"/>
        <v>0</v>
      </c>
      <c r="S237" s="81"/>
      <c r="T237" s="82">
        <f t="shared" si="113"/>
        <v>0</v>
      </c>
      <c r="U237" s="82">
        <f t="shared" si="114"/>
        <v>0</v>
      </c>
      <c r="V237" s="82">
        <f t="shared" si="115"/>
        <v>0</v>
      </c>
      <c r="W237" s="83">
        <v>0</v>
      </c>
      <c r="X237" s="83">
        <v>0</v>
      </c>
      <c r="Y237" s="83">
        <v>0</v>
      </c>
      <c r="Z237" s="84">
        <f>ROUND((IF(($O237&lt;=700000),0,IF(((VLOOKUP($M237,'Loyalty - Effec - 15July'!$B$5:$C$17,2,0)*$O237)&lt;=120000),(VLOOKUP($M237,'Loyalty - Effec - 15July'!$B$5:$C$17,2,0)*$O237),120000))),0)</f>
        <v>0</v>
      </c>
      <c r="AA237" s="84">
        <f>ROUND(VLOOKUP($M237,'Loyalty - Effec - 15July'!$B$5:$D$17,3,0)*$O237,0)</f>
        <v>0</v>
      </c>
      <c r="AB237" s="85">
        <f t="shared" si="116"/>
        <v>0</v>
      </c>
      <c r="AC237" s="86">
        <f t="shared" si="117"/>
        <v>0</v>
      </c>
      <c r="AD237" s="87">
        <f t="shared" si="118"/>
        <v>0</v>
      </c>
      <c r="AE237" s="88">
        <f t="shared" si="119"/>
        <v>0</v>
      </c>
      <c r="AF237" s="88">
        <f t="shared" si="120"/>
        <v>0</v>
      </c>
      <c r="AG237" s="49" t="s">
        <v>921</v>
      </c>
      <c r="AH237" s="49" t="s">
        <v>120</v>
      </c>
      <c r="AI237" s="50"/>
      <c r="AJ237" s="46"/>
      <c r="AK237" s="46"/>
      <c r="AL237" s="46"/>
      <c r="AM237" s="51">
        <f>IF($AL237=4,VLOOKUP($AR237,'Loyalty Incentive v1'!$L$3:$Q$15,2,FALSE),
IF($AL237=3,VLOOKUP($AR237,'Loyalty Incentive v1'!$L$3:$Q$15,3,FALSE),
IF($AL237=2,VLOOKUP($AR237,'Loyalty Incentive v1'!$L$3:$Q$15,4,FALSE),
IF($AL237=1,VLOOKUP($AR237,'Loyalty Incentive v1'!$L$3:$Q$15,5,FALSE),
IF($AL237=0,VLOOKUP($AR237,'Loyalty Incentive v1'!$L$3:$Q$15,6,FALSE),0)))))</f>
        <v>0</v>
      </c>
      <c r="AN237" s="51">
        <f>IFERROR(IF(I237&gt;="1",AM237,VLOOKUP(VALUE(I237),'Loyalty - Effec - 15July'!$I$5:$J$16,2,0)*AM237),0)</f>
        <v>0</v>
      </c>
      <c r="AO237" s="51">
        <v>0</v>
      </c>
      <c r="AP237" s="51">
        <f t="shared" si="121"/>
        <v>0</v>
      </c>
      <c r="AQ237" s="46" t="str">
        <f t="shared" si="133"/>
        <v>No</v>
      </c>
      <c r="AR237" s="46" t="str">
        <f t="shared" si="134"/>
        <v>AE1</v>
      </c>
      <c r="AS237" s="46" t="b">
        <f t="shared" si="135"/>
        <v>1</v>
      </c>
      <c r="AT237" s="82">
        <f t="shared" si="136"/>
        <v>0</v>
      </c>
      <c r="AU237" s="82">
        <f t="shared" si="122"/>
        <v>0</v>
      </c>
      <c r="AV237" s="82">
        <f t="shared" si="123"/>
        <v>0</v>
      </c>
      <c r="AW237" s="82">
        <f t="shared" si="124"/>
        <v>0</v>
      </c>
      <c r="AX237" s="85"/>
      <c r="AY237" s="82">
        <f t="shared" si="125"/>
        <v>0</v>
      </c>
      <c r="AZ237" s="82">
        <f t="shared" si="126"/>
        <v>0</v>
      </c>
      <c r="BA237" s="82">
        <f t="shared" si="127"/>
        <v>0</v>
      </c>
      <c r="BB237" s="83">
        <v>0</v>
      </c>
      <c r="BC237" s="83">
        <v>0</v>
      </c>
      <c r="BD237" s="83">
        <v>0</v>
      </c>
      <c r="BE237" s="84">
        <f>ROUND((IF(($AT237&lt;=700000),0,IF(((VLOOKUP($AR237,'Loyalty - Effec - 15July'!$B$5:$C$17,2,0)*$AT237)&lt;=120000),(VLOOKUP($AR237,'Loyalty - Effec - 15July'!$B$5:$C$17,2,0)*$AT237),120000))),0)</f>
        <v>0</v>
      </c>
      <c r="BF237" s="84">
        <f>ROUND(VLOOKUP($AR237,'Loyalty - Effec - 15July'!$B$5:$D$17,3,0)*$AT237,0)</f>
        <v>0</v>
      </c>
      <c r="BG237" s="85">
        <f t="shared" si="128"/>
        <v>0</v>
      </c>
      <c r="BH237" s="81">
        <f t="shared" si="129"/>
        <v>0</v>
      </c>
      <c r="BI237" s="85">
        <f t="shared" si="130"/>
        <v>0</v>
      </c>
      <c r="BJ237" s="85">
        <f t="shared" si="131"/>
        <v>0</v>
      </c>
      <c r="BK237" s="85">
        <f t="shared" si="132"/>
        <v>0</v>
      </c>
      <c r="BL237" s="85">
        <f t="shared" si="137"/>
        <v>0</v>
      </c>
      <c r="BM237" s="85">
        <f t="shared" si="138"/>
        <v>0</v>
      </c>
      <c r="BN237" s="85">
        <f t="shared" si="139"/>
        <v>0</v>
      </c>
      <c r="BO237" s="52" t="s">
        <v>85</v>
      </c>
      <c r="BP237" s="46"/>
      <c r="BQ237" s="46"/>
      <c r="BR237" s="47">
        <f t="shared" ref="BR237:BR267" si="144">BG237-AB237</f>
        <v>0</v>
      </c>
      <c r="BU237" s="47">
        <f t="shared" si="141"/>
        <v>0</v>
      </c>
      <c r="BV237" s="53" t="s">
        <v>501</v>
      </c>
      <c r="BW237" s="53" t="s">
        <v>932</v>
      </c>
      <c r="BX237" s="53" t="s">
        <v>723</v>
      </c>
      <c r="BY237" s="53"/>
      <c r="BZ237" s="53"/>
    </row>
    <row r="238" spans="1:78">
      <c r="A238" s="42" t="s">
        <v>502</v>
      </c>
      <c r="B238" s="28" t="s">
        <v>79</v>
      </c>
      <c r="C238" s="28" t="s">
        <v>80</v>
      </c>
      <c r="D238" s="28" t="s">
        <v>932</v>
      </c>
      <c r="E238" s="43" t="s">
        <v>184</v>
      </c>
      <c r="F238" s="28" t="s">
        <v>901</v>
      </c>
      <c r="G238" s="44" t="s">
        <v>724</v>
      </c>
      <c r="H238" s="45">
        <v>44879</v>
      </c>
      <c r="I238" s="46" t="s">
        <v>1001</v>
      </c>
      <c r="J238" s="28">
        <v>0</v>
      </c>
      <c r="K238" s="28" t="s">
        <v>413</v>
      </c>
      <c r="L238" s="28" t="s">
        <v>880</v>
      </c>
      <c r="M238" s="28" t="s">
        <v>9</v>
      </c>
      <c r="N238" s="28" t="str">
        <f t="shared" si="109"/>
        <v>AE1</v>
      </c>
      <c r="O238" s="81"/>
      <c r="P238" s="81">
        <f t="shared" si="110"/>
        <v>0</v>
      </c>
      <c r="Q238" s="81">
        <f t="shared" si="111"/>
        <v>0</v>
      </c>
      <c r="R238" s="81">
        <f t="shared" si="112"/>
        <v>0</v>
      </c>
      <c r="S238" s="81"/>
      <c r="T238" s="82">
        <f t="shared" si="113"/>
        <v>0</v>
      </c>
      <c r="U238" s="82">
        <f t="shared" si="114"/>
        <v>0</v>
      </c>
      <c r="V238" s="82">
        <f t="shared" si="115"/>
        <v>0</v>
      </c>
      <c r="W238" s="83">
        <v>0</v>
      </c>
      <c r="X238" s="83">
        <v>0</v>
      </c>
      <c r="Y238" s="83">
        <v>0</v>
      </c>
      <c r="Z238" s="84">
        <f>ROUND((IF(($O238&lt;=700000),0,IF(((VLOOKUP($M238,'Loyalty - Effec - 15July'!$B$5:$C$17,2,0)*$O238)&lt;=120000),(VLOOKUP($M238,'Loyalty - Effec - 15July'!$B$5:$C$17,2,0)*$O238),120000))),0)</f>
        <v>0</v>
      </c>
      <c r="AA238" s="84">
        <f>ROUND(VLOOKUP($M238,'Loyalty - Effec - 15July'!$B$5:$D$17,3,0)*$O238,0)</f>
        <v>0</v>
      </c>
      <c r="AB238" s="85">
        <f t="shared" si="116"/>
        <v>0</v>
      </c>
      <c r="AC238" s="86">
        <f t="shared" si="117"/>
        <v>0</v>
      </c>
      <c r="AD238" s="87">
        <f t="shared" si="118"/>
        <v>0</v>
      </c>
      <c r="AE238" s="88">
        <f t="shared" si="119"/>
        <v>0</v>
      </c>
      <c r="AF238" s="88">
        <f t="shared" si="120"/>
        <v>0</v>
      </c>
      <c r="AG238" s="49" t="s">
        <v>311</v>
      </c>
      <c r="AH238" s="49" t="s">
        <v>811</v>
      </c>
      <c r="AI238" s="50"/>
      <c r="AJ238" s="46"/>
      <c r="AK238" s="46"/>
      <c r="AL238" s="46"/>
      <c r="AM238" s="51">
        <f>IF($AL238=4,VLOOKUP($AR238,'Loyalty Incentive v1'!$L$3:$Q$15,2,FALSE),
IF($AL238=3,VLOOKUP($AR238,'Loyalty Incentive v1'!$L$3:$Q$15,3,FALSE),
IF($AL238=2,VLOOKUP($AR238,'Loyalty Incentive v1'!$L$3:$Q$15,4,FALSE),
IF($AL238=1,VLOOKUP($AR238,'Loyalty Incentive v1'!$L$3:$Q$15,5,FALSE),
IF($AL238=0,VLOOKUP($AR238,'Loyalty Incentive v1'!$L$3:$Q$15,6,FALSE),0)))))</f>
        <v>0</v>
      </c>
      <c r="AN238" s="51">
        <f>IFERROR(IF(I238&gt;="1",AM238,VLOOKUP(VALUE(I238),'Loyalty - Effec - 15July'!$I$5:$J$16,2,0)*AM238),0)</f>
        <v>0</v>
      </c>
      <c r="AO238" s="51">
        <v>0</v>
      </c>
      <c r="AP238" s="51">
        <f t="shared" si="121"/>
        <v>0</v>
      </c>
      <c r="AQ238" s="46" t="str">
        <f t="shared" si="133"/>
        <v>No</v>
      </c>
      <c r="AR238" s="46" t="str">
        <f t="shared" si="134"/>
        <v>AE1</v>
      </c>
      <c r="AS238" s="46" t="b">
        <f t="shared" si="135"/>
        <v>1</v>
      </c>
      <c r="AT238" s="82">
        <f t="shared" si="136"/>
        <v>0</v>
      </c>
      <c r="AU238" s="82">
        <f t="shared" si="122"/>
        <v>0</v>
      </c>
      <c r="AV238" s="82">
        <f t="shared" si="123"/>
        <v>0</v>
      </c>
      <c r="AW238" s="82">
        <f t="shared" si="124"/>
        <v>0</v>
      </c>
      <c r="AX238" s="85"/>
      <c r="AY238" s="82">
        <f t="shared" si="125"/>
        <v>0</v>
      </c>
      <c r="AZ238" s="82">
        <f t="shared" si="126"/>
        <v>0</v>
      </c>
      <c r="BA238" s="82">
        <f t="shared" si="127"/>
        <v>0</v>
      </c>
      <c r="BB238" s="83">
        <v>0</v>
      </c>
      <c r="BC238" s="83">
        <v>0</v>
      </c>
      <c r="BD238" s="83">
        <v>0</v>
      </c>
      <c r="BE238" s="84">
        <f>ROUND((IF(($AT238&lt;=700000),0,IF(((VLOOKUP($AR238,'Loyalty - Effec - 15July'!$B$5:$C$17,2,0)*$AT238)&lt;=120000),(VLOOKUP($AR238,'Loyalty - Effec - 15July'!$B$5:$C$17,2,0)*$AT238),120000))),0)</f>
        <v>0</v>
      </c>
      <c r="BF238" s="84">
        <f>ROUND(VLOOKUP($AR238,'Loyalty - Effec - 15July'!$B$5:$D$17,3,0)*$AT238,0)</f>
        <v>0</v>
      </c>
      <c r="BG238" s="85">
        <f t="shared" si="128"/>
        <v>0</v>
      </c>
      <c r="BH238" s="81">
        <f t="shared" si="129"/>
        <v>0</v>
      </c>
      <c r="BI238" s="85">
        <f t="shared" si="130"/>
        <v>0</v>
      </c>
      <c r="BJ238" s="85">
        <f t="shared" si="131"/>
        <v>0</v>
      </c>
      <c r="BK238" s="85">
        <f t="shared" si="132"/>
        <v>0</v>
      </c>
      <c r="BL238" s="85">
        <f t="shared" si="137"/>
        <v>0</v>
      </c>
      <c r="BM238" s="85">
        <f t="shared" si="138"/>
        <v>0</v>
      </c>
      <c r="BN238" s="85">
        <f t="shared" si="139"/>
        <v>0</v>
      </c>
      <c r="BO238" s="52" t="s">
        <v>85</v>
      </c>
      <c r="BP238" s="46"/>
      <c r="BQ238" s="46"/>
      <c r="BR238" s="47">
        <f t="shared" si="144"/>
        <v>0</v>
      </c>
      <c r="BU238" s="47">
        <f t="shared" si="141"/>
        <v>0</v>
      </c>
      <c r="BV238" s="53" t="s">
        <v>502</v>
      </c>
      <c r="BW238" s="53" t="s">
        <v>932</v>
      </c>
      <c r="BX238" s="53" t="s">
        <v>724</v>
      </c>
      <c r="BY238" s="53"/>
      <c r="BZ238" s="53"/>
    </row>
    <row r="239" spans="1:78">
      <c r="A239" s="42" t="s">
        <v>503</v>
      </c>
      <c r="B239" s="28" t="s">
        <v>79</v>
      </c>
      <c r="C239" s="28" t="s">
        <v>80</v>
      </c>
      <c r="D239" s="28" t="s">
        <v>932</v>
      </c>
      <c r="E239" s="43" t="s">
        <v>184</v>
      </c>
      <c r="F239" s="28" t="s">
        <v>901</v>
      </c>
      <c r="G239" s="44" t="s">
        <v>725</v>
      </c>
      <c r="H239" s="45">
        <v>44879</v>
      </c>
      <c r="I239" s="46" t="s">
        <v>1001</v>
      </c>
      <c r="J239" s="28">
        <v>0</v>
      </c>
      <c r="K239" s="28" t="s">
        <v>413</v>
      </c>
      <c r="L239" s="28" t="s">
        <v>880</v>
      </c>
      <c r="M239" s="28" t="s">
        <v>9</v>
      </c>
      <c r="N239" s="28" t="str">
        <f t="shared" si="109"/>
        <v>AE1</v>
      </c>
      <c r="O239" s="81"/>
      <c r="P239" s="81">
        <f t="shared" si="110"/>
        <v>0</v>
      </c>
      <c r="Q239" s="81">
        <f t="shared" si="111"/>
        <v>0</v>
      </c>
      <c r="R239" s="81">
        <f t="shared" si="112"/>
        <v>0</v>
      </c>
      <c r="S239" s="81"/>
      <c r="T239" s="82">
        <f t="shared" si="113"/>
        <v>0</v>
      </c>
      <c r="U239" s="82">
        <f t="shared" si="114"/>
        <v>0</v>
      </c>
      <c r="V239" s="82">
        <f t="shared" si="115"/>
        <v>0</v>
      </c>
      <c r="W239" s="83">
        <v>0</v>
      </c>
      <c r="X239" s="83">
        <v>0</v>
      </c>
      <c r="Y239" s="83">
        <v>0</v>
      </c>
      <c r="Z239" s="84">
        <f>ROUND((IF(($O239&lt;=700000),0,IF(((VLOOKUP($M239,'Loyalty - Effec - 15July'!$B$5:$C$17,2,0)*$O239)&lt;=120000),(VLOOKUP($M239,'Loyalty - Effec - 15July'!$B$5:$C$17,2,0)*$O239),120000))),0)</f>
        <v>0</v>
      </c>
      <c r="AA239" s="84">
        <f>ROUND(VLOOKUP($M239,'Loyalty - Effec - 15July'!$B$5:$D$17,3,0)*$O239,0)</f>
        <v>0</v>
      </c>
      <c r="AB239" s="85">
        <f t="shared" si="116"/>
        <v>0</v>
      </c>
      <c r="AC239" s="86">
        <f t="shared" si="117"/>
        <v>0</v>
      </c>
      <c r="AD239" s="87">
        <f t="shared" si="118"/>
        <v>0</v>
      </c>
      <c r="AE239" s="88">
        <f t="shared" si="119"/>
        <v>0</v>
      </c>
      <c r="AF239" s="88">
        <f t="shared" si="120"/>
        <v>0</v>
      </c>
      <c r="AG239" s="49" t="s">
        <v>921</v>
      </c>
      <c r="AH239" s="49" t="s">
        <v>120</v>
      </c>
      <c r="AI239" s="50"/>
      <c r="AJ239" s="46"/>
      <c r="AK239" s="46"/>
      <c r="AL239" s="46"/>
      <c r="AM239" s="51">
        <f>IF($AL239=4,VLOOKUP($AR239,'Loyalty Incentive v1'!$L$3:$Q$15,2,FALSE),
IF($AL239=3,VLOOKUP($AR239,'Loyalty Incentive v1'!$L$3:$Q$15,3,FALSE),
IF($AL239=2,VLOOKUP($AR239,'Loyalty Incentive v1'!$L$3:$Q$15,4,FALSE),
IF($AL239=1,VLOOKUP($AR239,'Loyalty Incentive v1'!$L$3:$Q$15,5,FALSE),
IF($AL239=0,VLOOKUP($AR239,'Loyalty Incentive v1'!$L$3:$Q$15,6,FALSE),0)))))</f>
        <v>0</v>
      </c>
      <c r="AN239" s="51">
        <f>IFERROR(IF(I239&gt;="1",AM239,VLOOKUP(VALUE(I239),'Loyalty - Effec - 15July'!$I$5:$J$16,2,0)*AM239),0)</f>
        <v>0</v>
      </c>
      <c r="AO239" s="51">
        <v>0</v>
      </c>
      <c r="AP239" s="51">
        <f t="shared" si="121"/>
        <v>0</v>
      </c>
      <c r="AQ239" s="46" t="str">
        <f t="shared" si="133"/>
        <v>No</v>
      </c>
      <c r="AR239" s="46" t="str">
        <f t="shared" si="134"/>
        <v>AE1</v>
      </c>
      <c r="AS239" s="46" t="b">
        <f t="shared" si="135"/>
        <v>1</v>
      </c>
      <c r="AT239" s="82">
        <f t="shared" si="136"/>
        <v>0</v>
      </c>
      <c r="AU239" s="82">
        <f t="shared" si="122"/>
        <v>0</v>
      </c>
      <c r="AV239" s="82">
        <f t="shared" si="123"/>
        <v>0</v>
      </c>
      <c r="AW239" s="82">
        <f t="shared" si="124"/>
        <v>0</v>
      </c>
      <c r="AX239" s="85"/>
      <c r="AY239" s="82">
        <f t="shared" si="125"/>
        <v>0</v>
      </c>
      <c r="AZ239" s="82">
        <f t="shared" si="126"/>
        <v>0</v>
      </c>
      <c r="BA239" s="82">
        <f t="shared" si="127"/>
        <v>0</v>
      </c>
      <c r="BB239" s="83">
        <v>0</v>
      </c>
      <c r="BC239" s="83">
        <v>0</v>
      </c>
      <c r="BD239" s="83">
        <v>0</v>
      </c>
      <c r="BE239" s="84">
        <f>ROUND((IF(($AT239&lt;=700000),0,IF(((VLOOKUP($AR239,'Loyalty - Effec - 15July'!$B$5:$C$17,2,0)*$AT239)&lt;=120000),(VLOOKUP($AR239,'Loyalty - Effec - 15July'!$B$5:$C$17,2,0)*$AT239),120000))),0)</f>
        <v>0</v>
      </c>
      <c r="BF239" s="84">
        <f>ROUND(VLOOKUP($AR239,'Loyalty - Effec - 15July'!$B$5:$D$17,3,0)*$AT239,0)</f>
        <v>0</v>
      </c>
      <c r="BG239" s="85">
        <f t="shared" si="128"/>
        <v>0</v>
      </c>
      <c r="BH239" s="81">
        <f t="shared" si="129"/>
        <v>0</v>
      </c>
      <c r="BI239" s="85">
        <f t="shared" si="130"/>
        <v>0</v>
      </c>
      <c r="BJ239" s="85">
        <f t="shared" si="131"/>
        <v>0</v>
      </c>
      <c r="BK239" s="85">
        <f t="shared" si="132"/>
        <v>0</v>
      </c>
      <c r="BL239" s="85">
        <f t="shared" si="137"/>
        <v>0</v>
      </c>
      <c r="BM239" s="85">
        <f t="shared" si="138"/>
        <v>0</v>
      </c>
      <c r="BN239" s="85">
        <f t="shared" si="139"/>
        <v>0</v>
      </c>
      <c r="BO239" s="52" t="s">
        <v>85</v>
      </c>
      <c r="BP239" s="46"/>
      <c r="BQ239" s="46"/>
      <c r="BR239" s="47">
        <f t="shared" si="144"/>
        <v>0</v>
      </c>
      <c r="BU239" s="47">
        <f t="shared" si="141"/>
        <v>0</v>
      </c>
      <c r="BV239" s="53" t="s">
        <v>503</v>
      </c>
      <c r="BW239" s="53" t="s">
        <v>932</v>
      </c>
      <c r="BX239" s="53" t="s">
        <v>725</v>
      </c>
      <c r="BY239" s="53"/>
      <c r="BZ239" s="53"/>
    </row>
    <row r="240" spans="1:78">
      <c r="A240" s="42" t="s">
        <v>504</v>
      </c>
      <c r="B240" s="28" t="s">
        <v>79</v>
      </c>
      <c r="C240" s="28" t="s">
        <v>80</v>
      </c>
      <c r="D240" s="28" t="s">
        <v>932</v>
      </c>
      <c r="E240" s="43" t="s">
        <v>184</v>
      </c>
      <c r="F240" s="28" t="s">
        <v>901</v>
      </c>
      <c r="G240" s="44" t="s">
        <v>726</v>
      </c>
      <c r="H240" s="45">
        <v>44879</v>
      </c>
      <c r="I240" s="46" t="s">
        <v>1001</v>
      </c>
      <c r="J240" s="28">
        <v>0</v>
      </c>
      <c r="K240" s="28" t="s">
        <v>413</v>
      </c>
      <c r="L240" s="28" t="s">
        <v>880</v>
      </c>
      <c r="M240" s="28" t="s">
        <v>9</v>
      </c>
      <c r="N240" s="28" t="str">
        <f t="shared" si="109"/>
        <v>AE1</v>
      </c>
      <c r="O240" s="81"/>
      <c r="P240" s="81">
        <f t="shared" si="110"/>
        <v>0</v>
      </c>
      <c r="Q240" s="81">
        <f t="shared" si="111"/>
        <v>0</v>
      </c>
      <c r="R240" s="81">
        <f t="shared" si="112"/>
        <v>0</v>
      </c>
      <c r="S240" s="81"/>
      <c r="T240" s="82">
        <f t="shared" si="113"/>
        <v>0</v>
      </c>
      <c r="U240" s="82">
        <f t="shared" si="114"/>
        <v>0</v>
      </c>
      <c r="V240" s="82">
        <f t="shared" si="115"/>
        <v>0</v>
      </c>
      <c r="W240" s="83">
        <v>0</v>
      </c>
      <c r="X240" s="83">
        <v>0</v>
      </c>
      <c r="Y240" s="83">
        <v>0</v>
      </c>
      <c r="Z240" s="84">
        <f>ROUND((IF(($O240&lt;=700000),0,IF(((VLOOKUP($M240,'Loyalty - Effec - 15July'!$B$5:$C$17,2,0)*$O240)&lt;=120000),(VLOOKUP($M240,'Loyalty - Effec - 15July'!$B$5:$C$17,2,0)*$O240),120000))),0)</f>
        <v>0</v>
      </c>
      <c r="AA240" s="84">
        <f>ROUND(VLOOKUP($M240,'Loyalty - Effec - 15July'!$B$5:$D$17,3,0)*$O240,0)</f>
        <v>0</v>
      </c>
      <c r="AB240" s="85">
        <f t="shared" si="116"/>
        <v>0</v>
      </c>
      <c r="AC240" s="86">
        <f t="shared" si="117"/>
        <v>0</v>
      </c>
      <c r="AD240" s="87">
        <f t="shared" si="118"/>
        <v>0</v>
      </c>
      <c r="AE240" s="88">
        <f t="shared" si="119"/>
        <v>0</v>
      </c>
      <c r="AF240" s="88">
        <f t="shared" si="120"/>
        <v>0</v>
      </c>
      <c r="AG240" s="49" t="s">
        <v>190</v>
      </c>
      <c r="AH240" s="49" t="s">
        <v>909</v>
      </c>
      <c r="AI240" s="50"/>
      <c r="AJ240" s="46"/>
      <c r="AK240" s="46"/>
      <c r="AL240" s="46"/>
      <c r="AM240" s="51">
        <f>IF($AL240=4,VLOOKUP($AR240,'Loyalty Incentive v1'!$L$3:$Q$15,2,FALSE),
IF($AL240=3,VLOOKUP($AR240,'Loyalty Incentive v1'!$L$3:$Q$15,3,FALSE),
IF($AL240=2,VLOOKUP($AR240,'Loyalty Incentive v1'!$L$3:$Q$15,4,FALSE),
IF($AL240=1,VLOOKUP($AR240,'Loyalty Incentive v1'!$L$3:$Q$15,5,FALSE),
IF($AL240=0,VLOOKUP($AR240,'Loyalty Incentive v1'!$L$3:$Q$15,6,FALSE),0)))))</f>
        <v>0</v>
      </c>
      <c r="AN240" s="51">
        <f>IFERROR(IF(I240&gt;="1",AM240,VLOOKUP(VALUE(I240),'Loyalty - Effec - 15July'!$I$5:$J$16,2,0)*AM240),0)</f>
        <v>0</v>
      </c>
      <c r="AO240" s="51">
        <v>0</v>
      </c>
      <c r="AP240" s="51">
        <f t="shared" si="121"/>
        <v>0</v>
      </c>
      <c r="AQ240" s="46" t="str">
        <f t="shared" si="133"/>
        <v>No</v>
      </c>
      <c r="AR240" s="46" t="str">
        <f t="shared" si="134"/>
        <v>AE1</v>
      </c>
      <c r="AS240" s="46" t="b">
        <f t="shared" si="135"/>
        <v>1</v>
      </c>
      <c r="AT240" s="82">
        <f t="shared" si="136"/>
        <v>0</v>
      </c>
      <c r="AU240" s="82">
        <f t="shared" si="122"/>
        <v>0</v>
      </c>
      <c r="AV240" s="82">
        <f t="shared" si="123"/>
        <v>0</v>
      </c>
      <c r="AW240" s="82">
        <f t="shared" si="124"/>
        <v>0</v>
      </c>
      <c r="AX240" s="85"/>
      <c r="AY240" s="82">
        <f t="shared" si="125"/>
        <v>0</v>
      </c>
      <c r="AZ240" s="82">
        <f t="shared" si="126"/>
        <v>0</v>
      </c>
      <c r="BA240" s="82">
        <f t="shared" si="127"/>
        <v>0</v>
      </c>
      <c r="BB240" s="83">
        <v>0</v>
      </c>
      <c r="BC240" s="83">
        <v>0</v>
      </c>
      <c r="BD240" s="83">
        <v>0</v>
      </c>
      <c r="BE240" s="84">
        <f>ROUND((IF(($AT240&lt;=700000),0,IF(((VLOOKUP($AR240,'Loyalty - Effec - 15July'!$B$5:$C$17,2,0)*$AT240)&lt;=120000),(VLOOKUP($AR240,'Loyalty - Effec - 15July'!$B$5:$C$17,2,0)*$AT240),120000))),0)</f>
        <v>0</v>
      </c>
      <c r="BF240" s="84">
        <f>ROUND(VLOOKUP($AR240,'Loyalty - Effec - 15July'!$B$5:$D$17,3,0)*$AT240,0)</f>
        <v>0</v>
      </c>
      <c r="BG240" s="85">
        <f t="shared" si="128"/>
        <v>0</v>
      </c>
      <c r="BH240" s="81">
        <f t="shared" si="129"/>
        <v>0</v>
      </c>
      <c r="BI240" s="85">
        <f t="shared" si="130"/>
        <v>0</v>
      </c>
      <c r="BJ240" s="85">
        <f t="shared" si="131"/>
        <v>0</v>
      </c>
      <c r="BK240" s="85">
        <f t="shared" si="132"/>
        <v>0</v>
      </c>
      <c r="BL240" s="85">
        <f t="shared" si="137"/>
        <v>0</v>
      </c>
      <c r="BM240" s="85">
        <f t="shared" si="138"/>
        <v>0</v>
      </c>
      <c r="BN240" s="85">
        <f t="shared" si="139"/>
        <v>0</v>
      </c>
      <c r="BO240" s="52" t="s">
        <v>85</v>
      </c>
      <c r="BP240" s="46"/>
      <c r="BQ240" s="46"/>
      <c r="BR240" s="47">
        <f t="shared" si="144"/>
        <v>0</v>
      </c>
      <c r="BU240" s="47">
        <f t="shared" si="141"/>
        <v>0</v>
      </c>
      <c r="BV240" s="53" t="s">
        <v>504</v>
      </c>
      <c r="BW240" s="53" t="s">
        <v>932</v>
      </c>
      <c r="BX240" s="53" t="s">
        <v>726</v>
      </c>
      <c r="BY240" s="53"/>
      <c r="BZ240" s="53"/>
    </row>
    <row r="241" spans="1:78">
      <c r="A241" s="42" t="s">
        <v>505</v>
      </c>
      <c r="B241" s="28" t="s">
        <v>79</v>
      </c>
      <c r="C241" s="28" t="s">
        <v>80</v>
      </c>
      <c r="D241" s="28" t="s">
        <v>932</v>
      </c>
      <c r="E241" s="43" t="s">
        <v>184</v>
      </c>
      <c r="F241" s="28" t="s">
        <v>901</v>
      </c>
      <c r="G241" s="44" t="s">
        <v>727</v>
      </c>
      <c r="H241" s="45">
        <v>44879</v>
      </c>
      <c r="I241" s="46" t="s">
        <v>1001</v>
      </c>
      <c r="J241" s="28">
        <v>0</v>
      </c>
      <c r="K241" s="28" t="s">
        <v>396</v>
      </c>
      <c r="L241" s="28" t="s">
        <v>155</v>
      </c>
      <c r="M241" s="28" t="s">
        <v>9</v>
      </c>
      <c r="N241" s="28" t="str">
        <f t="shared" si="109"/>
        <v>AE1</v>
      </c>
      <c r="O241" s="81"/>
      <c r="P241" s="81">
        <f t="shared" si="110"/>
        <v>0</v>
      </c>
      <c r="Q241" s="81">
        <f t="shared" si="111"/>
        <v>0</v>
      </c>
      <c r="R241" s="81">
        <f t="shared" si="112"/>
        <v>0</v>
      </c>
      <c r="S241" s="81"/>
      <c r="T241" s="82">
        <f t="shared" si="113"/>
        <v>0</v>
      </c>
      <c r="U241" s="82">
        <f t="shared" si="114"/>
        <v>0</v>
      </c>
      <c r="V241" s="82">
        <f t="shared" si="115"/>
        <v>0</v>
      </c>
      <c r="W241" s="83">
        <v>0</v>
      </c>
      <c r="X241" s="83">
        <v>0</v>
      </c>
      <c r="Y241" s="83">
        <v>0</v>
      </c>
      <c r="Z241" s="84">
        <f>ROUND((IF(($O241&lt;=700000),0,IF(((VLOOKUP($M241,'Loyalty - Effec - 15July'!$B$5:$C$17,2,0)*$O241)&lt;=120000),(VLOOKUP($M241,'Loyalty - Effec - 15July'!$B$5:$C$17,2,0)*$O241),120000))),0)</f>
        <v>0</v>
      </c>
      <c r="AA241" s="84">
        <f>ROUND(VLOOKUP($M241,'Loyalty - Effec - 15July'!$B$5:$D$17,3,0)*$O241,0)</f>
        <v>0</v>
      </c>
      <c r="AB241" s="85">
        <f t="shared" si="116"/>
        <v>0</v>
      </c>
      <c r="AC241" s="86">
        <f t="shared" si="117"/>
        <v>0</v>
      </c>
      <c r="AD241" s="87">
        <f t="shared" si="118"/>
        <v>0</v>
      </c>
      <c r="AE241" s="88">
        <f t="shared" si="119"/>
        <v>0</v>
      </c>
      <c r="AF241" s="88">
        <f t="shared" si="120"/>
        <v>0</v>
      </c>
      <c r="AG241" s="49" t="s">
        <v>157</v>
      </c>
      <c r="AH241" s="49" t="s">
        <v>120</v>
      </c>
      <c r="AI241" s="50"/>
      <c r="AJ241" s="46"/>
      <c r="AK241" s="46"/>
      <c r="AL241" s="46"/>
      <c r="AM241" s="51">
        <f>IF($AL241=4,VLOOKUP($AR241,'Loyalty Incentive v1'!$L$3:$Q$15,2,FALSE),
IF($AL241=3,VLOOKUP($AR241,'Loyalty Incentive v1'!$L$3:$Q$15,3,FALSE),
IF($AL241=2,VLOOKUP($AR241,'Loyalty Incentive v1'!$L$3:$Q$15,4,FALSE),
IF($AL241=1,VLOOKUP($AR241,'Loyalty Incentive v1'!$L$3:$Q$15,5,FALSE),
IF($AL241=0,VLOOKUP($AR241,'Loyalty Incentive v1'!$L$3:$Q$15,6,FALSE),0)))))</f>
        <v>0</v>
      </c>
      <c r="AN241" s="51">
        <f>IFERROR(IF(I241&gt;="1",AM241,VLOOKUP(VALUE(I241),'Loyalty - Effec - 15July'!$I$5:$J$16,2,0)*AM241),0)</f>
        <v>0</v>
      </c>
      <c r="AO241" s="51">
        <v>0</v>
      </c>
      <c r="AP241" s="51">
        <f t="shared" si="121"/>
        <v>0</v>
      </c>
      <c r="AQ241" s="46" t="str">
        <f t="shared" si="133"/>
        <v>No</v>
      </c>
      <c r="AR241" s="46" t="str">
        <f t="shared" si="134"/>
        <v>AE1</v>
      </c>
      <c r="AS241" s="46" t="b">
        <f t="shared" si="135"/>
        <v>1</v>
      </c>
      <c r="AT241" s="82">
        <f t="shared" si="136"/>
        <v>0</v>
      </c>
      <c r="AU241" s="82">
        <f t="shared" si="122"/>
        <v>0</v>
      </c>
      <c r="AV241" s="82">
        <f t="shared" si="123"/>
        <v>0</v>
      </c>
      <c r="AW241" s="82">
        <f t="shared" si="124"/>
        <v>0</v>
      </c>
      <c r="AX241" s="85"/>
      <c r="AY241" s="82">
        <f t="shared" si="125"/>
        <v>0</v>
      </c>
      <c r="AZ241" s="82">
        <f t="shared" si="126"/>
        <v>0</v>
      </c>
      <c r="BA241" s="82">
        <f t="shared" si="127"/>
        <v>0</v>
      </c>
      <c r="BB241" s="83">
        <v>0</v>
      </c>
      <c r="BC241" s="83">
        <v>0</v>
      </c>
      <c r="BD241" s="83">
        <v>0</v>
      </c>
      <c r="BE241" s="84">
        <f>ROUND((IF(($AT241&lt;=700000),0,IF(((VLOOKUP($AR241,'Loyalty - Effec - 15July'!$B$5:$C$17,2,0)*$AT241)&lt;=120000),(VLOOKUP($AR241,'Loyalty - Effec - 15July'!$B$5:$C$17,2,0)*$AT241),120000))),0)</f>
        <v>0</v>
      </c>
      <c r="BF241" s="84">
        <f>ROUND(VLOOKUP($AR241,'Loyalty - Effec - 15July'!$B$5:$D$17,3,0)*$AT241,0)</f>
        <v>0</v>
      </c>
      <c r="BG241" s="85">
        <f t="shared" si="128"/>
        <v>0</v>
      </c>
      <c r="BH241" s="81">
        <f t="shared" si="129"/>
        <v>0</v>
      </c>
      <c r="BI241" s="85">
        <f t="shared" si="130"/>
        <v>0</v>
      </c>
      <c r="BJ241" s="85">
        <f t="shared" si="131"/>
        <v>0</v>
      </c>
      <c r="BK241" s="85">
        <f t="shared" si="132"/>
        <v>0</v>
      </c>
      <c r="BL241" s="85">
        <f t="shared" si="137"/>
        <v>0</v>
      </c>
      <c r="BM241" s="85">
        <f t="shared" si="138"/>
        <v>0</v>
      </c>
      <c r="BN241" s="85">
        <f t="shared" si="139"/>
        <v>0</v>
      </c>
      <c r="BO241" s="52" t="s">
        <v>85</v>
      </c>
      <c r="BP241" s="46"/>
      <c r="BQ241" s="46"/>
      <c r="BR241" s="47">
        <f t="shared" si="144"/>
        <v>0</v>
      </c>
      <c r="BU241" s="47">
        <f t="shared" si="141"/>
        <v>0</v>
      </c>
      <c r="BV241" s="53" t="s">
        <v>505</v>
      </c>
      <c r="BW241" s="53" t="s">
        <v>932</v>
      </c>
      <c r="BX241" s="53" t="s">
        <v>727</v>
      </c>
      <c r="BY241" s="53"/>
      <c r="BZ241" s="53"/>
    </row>
    <row r="242" spans="1:78">
      <c r="A242" s="42" t="s">
        <v>506</v>
      </c>
      <c r="B242" s="28" t="s">
        <v>79</v>
      </c>
      <c r="C242" s="28" t="s">
        <v>80</v>
      </c>
      <c r="D242" s="28" t="s">
        <v>932</v>
      </c>
      <c r="E242" s="43" t="s">
        <v>184</v>
      </c>
      <c r="F242" s="28" t="s">
        <v>901</v>
      </c>
      <c r="G242" s="44" t="s">
        <v>728</v>
      </c>
      <c r="H242" s="45">
        <v>44886</v>
      </c>
      <c r="I242" s="46" t="s">
        <v>1001</v>
      </c>
      <c r="J242" s="28">
        <v>0</v>
      </c>
      <c r="K242" s="28" t="s">
        <v>93</v>
      </c>
      <c r="L242" s="28" t="s">
        <v>873</v>
      </c>
      <c r="M242" s="28" t="s">
        <v>2</v>
      </c>
      <c r="N242" s="28" t="str">
        <f t="shared" ref="N242:N301" si="145">M242</f>
        <v>AE4</v>
      </c>
      <c r="O242" s="81"/>
      <c r="P242" s="81">
        <f t="shared" ref="P242:P301" si="146">CEILING(ROUND(($O242*50%),2),10)</f>
        <v>0</v>
      </c>
      <c r="Q242" s="81">
        <f t="shared" ref="Q242:Q301" si="147">ROUND((P242*25%),2)</f>
        <v>0</v>
      </c>
      <c r="R242" s="81">
        <f t="shared" ref="R242:R301" si="148">ROUND((P242*10%),2)</f>
        <v>0</v>
      </c>
      <c r="S242" s="81"/>
      <c r="T242" s="82">
        <f t="shared" ref="T242:T301" si="149">SUM(P242:S242)</f>
        <v>0</v>
      </c>
      <c r="U242" s="82">
        <f t="shared" ref="U242:U301" si="150">ROUND(IF(($T242-$Q242)&lt;=180000,($T242-$Q242)*12%,(180000*12%)),2)</f>
        <v>0</v>
      </c>
      <c r="V242" s="82">
        <f t="shared" ref="V242:V301" si="151">ROUND(IF(($T242&lt;=252000),($T242*3.25%),0),2)</f>
        <v>0</v>
      </c>
      <c r="W242" s="83">
        <v>0</v>
      </c>
      <c r="X242" s="83">
        <v>0</v>
      </c>
      <c r="Y242" s="83">
        <v>0</v>
      </c>
      <c r="Z242" s="84">
        <f>ROUND((IF(($O242&lt;=700000),0,IF(((VLOOKUP($M242,'Loyalty - Effec - 15July'!$B$5:$C$17,2,0)*$O242)&lt;=120000),(VLOOKUP($M242,'Loyalty - Effec - 15July'!$B$5:$C$17,2,0)*$O242),120000))),0)</f>
        <v>0</v>
      </c>
      <c r="AA242" s="84">
        <f>ROUND(VLOOKUP($M242,'Loyalty - Effec - 15July'!$B$5:$D$17,3,0)*$O242,0)</f>
        <v>0</v>
      </c>
      <c r="AB242" s="85">
        <f t="shared" ref="AB242:AB301" si="152">SUM(T242:AA242)</f>
        <v>0</v>
      </c>
      <c r="AC242" s="86">
        <f t="shared" ref="AC242:AC301" si="153">ROUND(IF(($T242&lt;=252000),($T242*0.75%),0),2)</f>
        <v>0</v>
      </c>
      <c r="AD242" s="87">
        <f t="shared" ref="AD242:AD301" si="154">O242-AB242</f>
        <v>0</v>
      </c>
      <c r="AE242" s="88">
        <f t="shared" ref="AE242:AE301" si="155">(T242+Z242)-(U242+AC242)</f>
        <v>0</v>
      </c>
      <c r="AF242" s="88">
        <f t="shared" ref="AF242:AF301" si="156">AE242/12</f>
        <v>0</v>
      </c>
      <c r="AG242" s="49" t="s">
        <v>206</v>
      </c>
      <c r="AH242" s="49" t="s">
        <v>126</v>
      </c>
      <c r="AI242" s="50"/>
      <c r="AJ242" s="46"/>
      <c r="AK242" s="46"/>
      <c r="AL242" s="46"/>
      <c r="AM242" s="51">
        <f>IF($AL242=4,VLOOKUP($AR242,'Loyalty Incentive v1'!$L$3:$Q$15,2,FALSE),
IF($AL242=3,VLOOKUP($AR242,'Loyalty Incentive v1'!$L$3:$Q$15,3,FALSE),
IF($AL242=2,VLOOKUP($AR242,'Loyalty Incentive v1'!$L$3:$Q$15,4,FALSE),
IF($AL242=1,VLOOKUP($AR242,'Loyalty Incentive v1'!$L$3:$Q$15,5,FALSE),
IF($AL242=0,VLOOKUP($AR242,'Loyalty Incentive v1'!$L$3:$Q$15,6,FALSE),0)))))</f>
        <v>0</v>
      </c>
      <c r="AN242" s="51">
        <f>IFERROR(IF(I242&gt;="1",AM242,VLOOKUP(VALUE(I242),'Loyalty - Effec - 15July'!$I$5:$J$16,2,0)*AM242),0)</f>
        <v>0</v>
      </c>
      <c r="AO242" s="51">
        <v>0</v>
      </c>
      <c r="AP242" s="51">
        <f t="shared" ref="AP242:AP301" si="157">AN242+AO242</f>
        <v>0</v>
      </c>
      <c r="AQ242" s="46" t="str">
        <f t="shared" si="133"/>
        <v>No</v>
      </c>
      <c r="AR242" s="46" t="str">
        <f t="shared" si="134"/>
        <v>AE4</v>
      </c>
      <c r="AS242" s="46" t="b">
        <f t="shared" si="135"/>
        <v>1</v>
      </c>
      <c r="AT242" s="82">
        <f t="shared" si="136"/>
        <v>0</v>
      </c>
      <c r="AU242" s="82">
        <f t="shared" ref="AU242:AU301" si="158">ROUND(AT242*$AU$3,0)</f>
        <v>0</v>
      </c>
      <c r="AV242" s="82">
        <f t="shared" ref="AV242:AV301" si="159">ROUND(AU242*$AV$3,0)</f>
        <v>0</v>
      </c>
      <c r="AW242" s="82">
        <f t="shared" ref="AW242:AW301" si="160">ROUND(AU242*$AW$3,0)</f>
        <v>0</v>
      </c>
      <c r="AX242" s="85"/>
      <c r="AY242" s="82">
        <f t="shared" ref="AY242:AY301" si="161">SUM(AU242:AX242)</f>
        <v>0</v>
      </c>
      <c r="AZ242" s="82">
        <f t="shared" ref="AZ242:AZ301" si="162">ROUND(IF((AY242-AV242)&gt;180000,21600,(AY242-AV242)*12%),0)</f>
        <v>0</v>
      </c>
      <c r="BA242" s="82">
        <f t="shared" ref="BA242:BA301" si="163">ROUND(IF(AY242&lt;252001,AY242*0.0325,0),0)</f>
        <v>0</v>
      </c>
      <c r="BB242" s="83">
        <v>0</v>
      </c>
      <c r="BC242" s="83">
        <v>0</v>
      </c>
      <c r="BD242" s="83">
        <v>0</v>
      </c>
      <c r="BE242" s="84">
        <f>ROUND((IF(($AT242&lt;=700000),0,IF(((VLOOKUP($AR242,'Loyalty - Effec - 15July'!$B$5:$C$17,2,0)*$AT242)&lt;=120000),(VLOOKUP($AR242,'Loyalty - Effec - 15July'!$B$5:$C$17,2,0)*$AT242),120000))),0)</f>
        <v>0</v>
      </c>
      <c r="BF242" s="84">
        <f>ROUND(VLOOKUP($AR242,'Loyalty - Effec - 15July'!$B$5:$D$17,3,0)*$AT242,0)</f>
        <v>0</v>
      </c>
      <c r="BG242" s="85">
        <f t="shared" ref="BG242:BG301" si="164">SUM(AY242:BF242)</f>
        <v>0</v>
      </c>
      <c r="BH242" s="81">
        <f t="shared" ref="BH242:BH301" si="165">ROUND(IF(AY242&lt;252001,AY242*0.0075,0),0)</f>
        <v>0</v>
      </c>
      <c r="BI242" s="85">
        <f t="shared" ref="BI242:BI305" si="166">AT242-BG242</f>
        <v>0</v>
      </c>
      <c r="BJ242" s="85">
        <f t="shared" ref="BJ242:BJ301" si="167">(AY242+BE242)-(AZ242+BH242)</f>
        <v>0</v>
      </c>
      <c r="BK242" s="85">
        <f t="shared" ref="BK242:BK301" si="168">BJ242/12</f>
        <v>0</v>
      </c>
      <c r="BL242" s="85">
        <f t="shared" si="137"/>
        <v>0</v>
      </c>
      <c r="BM242" s="85">
        <f t="shared" si="138"/>
        <v>0</v>
      </c>
      <c r="BN242" s="85">
        <f t="shared" si="139"/>
        <v>0</v>
      </c>
      <c r="BO242" s="52" t="s">
        <v>85</v>
      </c>
      <c r="BP242" s="46"/>
      <c r="BQ242" s="46"/>
      <c r="BR242" s="47">
        <f t="shared" si="144"/>
        <v>0</v>
      </c>
      <c r="BU242" s="47">
        <f t="shared" si="141"/>
        <v>0</v>
      </c>
      <c r="BV242" s="53" t="s">
        <v>506</v>
      </c>
      <c r="BW242" s="53" t="s">
        <v>932</v>
      </c>
      <c r="BX242" s="53" t="s">
        <v>728</v>
      </c>
      <c r="BY242" s="53"/>
      <c r="BZ242" s="53"/>
    </row>
    <row r="243" spans="1:78">
      <c r="A243" s="42" t="s">
        <v>507</v>
      </c>
      <c r="B243" s="28" t="s">
        <v>79</v>
      </c>
      <c r="C243" s="28" t="s">
        <v>80</v>
      </c>
      <c r="D243" s="28" t="s">
        <v>932</v>
      </c>
      <c r="E243" s="43" t="s">
        <v>184</v>
      </c>
      <c r="F243" s="28" t="s">
        <v>901</v>
      </c>
      <c r="G243" s="44" t="s">
        <v>729</v>
      </c>
      <c r="H243" s="45">
        <v>44886</v>
      </c>
      <c r="I243" s="46" t="s">
        <v>1001</v>
      </c>
      <c r="J243" s="28">
        <v>0</v>
      </c>
      <c r="K243" s="28" t="s">
        <v>93</v>
      </c>
      <c r="L243" s="28" t="s">
        <v>873</v>
      </c>
      <c r="M243" s="28" t="s">
        <v>2</v>
      </c>
      <c r="N243" s="28" t="str">
        <f t="shared" si="145"/>
        <v>AE4</v>
      </c>
      <c r="O243" s="81"/>
      <c r="P243" s="81">
        <f t="shared" si="146"/>
        <v>0</v>
      </c>
      <c r="Q243" s="81">
        <f t="shared" si="147"/>
        <v>0</v>
      </c>
      <c r="R243" s="81">
        <f t="shared" si="148"/>
        <v>0</v>
      </c>
      <c r="S243" s="81"/>
      <c r="T243" s="82">
        <f t="shared" si="149"/>
        <v>0</v>
      </c>
      <c r="U243" s="82">
        <f t="shared" si="150"/>
        <v>0</v>
      </c>
      <c r="V243" s="82">
        <f t="shared" si="151"/>
        <v>0</v>
      </c>
      <c r="W243" s="83">
        <v>0</v>
      </c>
      <c r="X243" s="83">
        <v>0</v>
      </c>
      <c r="Y243" s="83">
        <v>0</v>
      </c>
      <c r="Z243" s="84">
        <f>ROUND((IF(($O243&lt;=700000),0,IF(((VLOOKUP($M243,'Loyalty - Effec - 15July'!$B$5:$C$17,2,0)*$O243)&lt;=120000),(VLOOKUP($M243,'Loyalty - Effec - 15July'!$B$5:$C$17,2,0)*$O243),120000))),0)</f>
        <v>0</v>
      </c>
      <c r="AA243" s="84">
        <f>ROUND(VLOOKUP($M243,'Loyalty - Effec - 15July'!$B$5:$D$17,3,0)*$O243,0)</f>
        <v>0</v>
      </c>
      <c r="AB243" s="85">
        <f t="shared" si="152"/>
        <v>0</v>
      </c>
      <c r="AC243" s="86">
        <f t="shared" si="153"/>
        <v>0</v>
      </c>
      <c r="AD243" s="87">
        <f t="shared" si="154"/>
        <v>0</v>
      </c>
      <c r="AE243" s="88">
        <f t="shared" si="155"/>
        <v>0</v>
      </c>
      <c r="AF243" s="88">
        <f t="shared" si="156"/>
        <v>0</v>
      </c>
      <c r="AG243" s="49" t="s">
        <v>703</v>
      </c>
      <c r="AH243" s="49" t="s">
        <v>200</v>
      </c>
      <c r="AI243" s="50"/>
      <c r="AJ243" s="46"/>
      <c r="AK243" s="46"/>
      <c r="AL243" s="46"/>
      <c r="AM243" s="51">
        <f>IF($AL243=4,VLOOKUP($AR243,'Loyalty Incentive v1'!$L$3:$Q$15,2,FALSE),
IF($AL243=3,VLOOKUP($AR243,'Loyalty Incentive v1'!$L$3:$Q$15,3,FALSE),
IF($AL243=2,VLOOKUP($AR243,'Loyalty Incentive v1'!$L$3:$Q$15,4,FALSE),
IF($AL243=1,VLOOKUP($AR243,'Loyalty Incentive v1'!$L$3:$Q$15,5,FALSE),
IF($AL243=0,VLOOKUP($AR243,'Loyalty Incentive v1'!$L$3:$Q$15,6,FALSE),0)))))</f>
        <v>0</v>
      </c>
      <c r="AN243" s="51">
        <f>IFERROR(IF(I243&gt;="1",AM243,VLOOKUP(VALUE(I243),'Loyalty - Effec - 15July'!$I$5:$J$16,2,0)*AM243),0)</f>
        <v>0</v>
      </c>
      <c r="AO243" s="51">
        <v>0</v>
      </c>
      <c r="AP243" s="51">
        <f t="shared" si="157"/>
        <v>0</v>
      </c>
      <c r="AQ243" s="46" t="str">
        <f t="shared" si="133"/>
        <v>No</v>
      </c>
      <c r="AR243" s="46" t="str">
        <f t="shared" si="134"/>
        <v>AE4</v>
      </c>
      <c r="AS243" s="46" t="b">
        <f t="shared" si="135"/>
        <v>1</v>
      </c>
      <c r="AT243" s="82">
        <f t="shared" si="136"/>
        <v>0</v>
      </c>
      <c r="AU243" s="82">
        <f t="shared" si="158"/>
        <v>0</v>
      </c>
      <c r="AV243" s="82">
        <f t="shared" si="159"/>
        <v>0</v>
      </c>
      <c r="AW243" s="82">
        <f t="shared" si="160"/>
        <v>0</v>
      </c>
      <c r="AX243" s="85"/>
      <c r="AY243" s="82">
        <f t="shared" si="161"/>
        <v>0</v>
      </c>
      <c r="AZ243" s="82">
        <f t="shared" si="162"/>
        <v>0</v>
      </c>
      <c r="BA243" s="82">
        <f t="shared" si="163"/>
        <v>0</v>
      </c>
      <c r="BB243" s="83">
        <v>0</v>
      </c>
      <c r="BC243" s="83">
        <v>0</v>
      </c>
      <c r="BD243" s="83">
        <v>0</v>
      </c>
      <c r="BE243" s="84">
        <f>ROUND((IF(($AT243&lt;=700000),0,IF(((VLOOKUP($AR243,'Loyalty - Effec - 15July'!$B$5:$C$17,2,0)*$AT243)&lt;=120000),(VLOOKUP($AR243,'Loyalty - Effec - 15July'!$B$5:$C$17,2,0)*$AT243),120000))),0)</f>
        <v>0</v>
      </c>
      <c r="BF243" s="84">
        <f>ROUND(VLOOKUP($AR243,'Loyalty - Effec - 15July'!$B$5:$D$17,3,0)*$AT243,0)</f>
        <v>0</v>
      </c>
      <c r="BG243" s="85">
        <f t="shared" si="164"/>
        <v>0</v>
      </c>
      <c r="BH243" s="81">
        <f t="shared" si="165"/>
        <v>0</v>
      </c>
      <c r="BI243" s="85">
        <f t="shared" si="166"/>
        <v>0</v>
      </c>
      <c r="BJ243" s="85">
        <f t="shared" si="167"/>
        <v>0</v>
      </c>
      <c r="BK243" s="85">
        <f t="shared" si="168"/>
        <v>0</v>
      </c>
      <c r="BL243" s="85">
        <f t="shared" si="137"/>
        <v>0</v>
      </c>
      <c r="BM243" s="85">
        <f t="shared" si="138"/>
        <v>0</v>
      </c>
      <c r="BN243" s="85">
        <f t="shared" si="139"/>
        <v>0</v>
      </c>
      <c r="BO243" s="52" t="s">
        <v>85</v>
      </c>
      <c r="BP243" s="46"/>
      <c r="BQ243" s="46"/>
      <c r="BR243" s="47">
        <f t="shared" si="144"/>
        <v>0</v>
      </c>
      <c r="BU243" s="47">
        <f t="shared" si="141"/>
        <v>0</v>
      </c>
      <c r="BV243" s="53" t="s">
        <v>507</v>
      </c>
      <c r="BW243" s="53" t="s">
        <v>932</v>
      </c>
      <c r="BX243" s="53" t="s">
        <v>729</v>
      </c>
      <c r="BY243" s="53"/>
      <c r="BZ243" s="53"/>
    </row>
    <row r="244" spans="1:78">
      <c r="A244" s="42" t="s">
        <v>508</v>
      </c>
      <c r="B244" s="28" t="s">
        <v>79</v>
      </c>
      <c r="C244" s="28" t="s">
        <v>80</v>
      </c>
      <c r="D244" s="28" t="s">
        <v>932</v>
      </c>
      <c r="E244" s="43" t="s">
        <v>184</v>
      </c>
      <c r="F244" s="28" t="s">
        <v>901</v>
      </c>
      <c r="G244" s="44" t="s">
        <v>730</v>
      </c>
      <c r="H244" s="45">
        <v>44900</v>
      </c>
      <c r="I244" s="46" t="s">
        <v>1002</v>
      </c>
      <c r="J244" s="28">
        <v>0</v>
      </c>
      <c r="K244" s="28" t="s">
        <v>413</v>
      </c>
      <c r="L244" s="28" t="s">
        <v>140</v>
      </c>
      <c r="M244" s="28" t="s">
        <v>0</v>
      </c>
      <c r="N244" s="28" t="str">
        <f t="shared" si="145"/>
        <v>AE2</v>
      </c>
      <c r="O244" s="81"/>
      <c r="P244" s="81">
        <f t="shared" si="146"/>
        <v>0</v>
      </c>
      <c r="Q244" s="81">
        <f t="shared" si="147"/>
        <v>0</v>
      </c>
      <c r="R244" s="81">
        <f t="shared" si="148"/>
        <v>0</v>
      </c>
      <c r="S244" s="81"/>
      <c r="T244" s="82">
        <f t="shared" si="149"/>
        <v>0</v>
      </c>
      <c r="U244" s="82">
        <f t="shared" si="150"/>
        <v>0</v>
      </c>
      <c r="V244" s="82">
        <f t="shared" si="151"/>
        <v>0</v>
      </c>
      <c r="W244" s="83">
        <v>0</v>
      </c>
      <c r="X244" s="83">
        <v>0</v>
      </c>
      <c r="Y244" s="83">
        <v>0</v>
      </c>
      <c r="Z244" s="84">
        <f>ROUND((IF(($O244&lt;=700000),0,IF(((VLOOKUP($M244,'Loyalty - Effec - 15July'!$B$5:$C$17,2,0)*$O244)&lt;=120000),(VLOOKUP($M244,'Loyalty - Effec - 15July'!$B$5:$C$17,2,0)*$O244),120000))),0)</f>
        <v>0</v>
      </c>
      <c r="AA244" s="84">
        <f>ROUND(VLOOKUP($M244,'Loyalty - Effec - 15July'!$B$5:$D$17,3,0)*$O244,0)</f>
        <v>0</v>
      </c>
      <c r="AB244" s="85">
        <f t="shared" si="152"/>
        <v>0</v>
      </c>
      <c r="AC244" s="86">
        <f t="shared" si="153"/>
        <v>0</v>
      </c>
      <c r="AD244" s="87">
        <f t="shared" si="154"/>
        <v>0</v>
      </c>
      <c r="AE244" s="88">
        <f t="shared" si="155"/>
        <v>0</v>
      </c>
      <c r="AF244" s="88">
        <f t="shared" si="156"/>
        <v>0</v>
      </c>
      <c r="AG244" s="49" t="s">
        <v>176</v>
      </c>
      <c r="AH244" s="49" t="s">
        <v>200</v>
      </c>
      <c r="AI244" s="50"/>
      <c r="AJ244" s="46"/>
      <c r="AK244" s="46"/>
      <c r="AL244" s="46"/>
      <c r="AM244" s="51">
        <f>IF($AL244=4,VLOOKUP($AR244,'Loyalty Incentive v1'!$L$3:$Q$15,2,FALSE),
IF($AL244=3,VLOOKUP($AR244,'Loyalty Incentive v1'!$L$3:$Q$15,3,FALSE),
IF($AL244=2,VLOOKUP($AR244,'Loyalty Incentive v1'!$L$3:$Q$15,4,FALSE),
IF($AL244=1,VLOOKUP($AR244,'Loyalty Incentive v1'!$L$3:$Q$15,5,FALSE),
IF($AL244=0,VLOOKUP($AR244,'Loyalty Incentive v1'!$L$3:$Q$15,6,FALSE),0)))))</f>
        <v>0</v>
      </c>
      <c r="AN244" s="51">
        <f>IFERROR(IF(I244&gt;="1",AM244,VLOOKUP(VALUE(I244),'Loyalty - Effec - 15July'!$I$5:$J$16,2,0)*AM244),0)</f>
        <v>0</v>
      </c>
      <c r="AO244" s="51">
        <v>0</v>
      </c>
      <c r="AP244" s="51">
        <f t="shared" si="157"/>
        <v>0</v>
      </c>
      <c r="AQ244" s="46" t="str">
        <f t="shared" si="133"/>
        <v>No</v>
      </c>
      <c r="AR244" s="46" t="str">
        <f t="shared" si="134"/>
        <v>AE2</v>
      </c>
      <c r="AS244" s="46" t="b">
        <f t="shared" si="135"/>
        <v>1</v>
      </c>
      <c r="AT244" s="82">
        <f t="shared" si="136"/>
        <v>0</v>
      </c>
      <c r="AU244" s="82">
        <f t="shared" si="158"/>
        <v>0</v>
      </c>
      <c r="AV244" s="82">
        <f t="shared" si="159"/>
        <v>0</v>
      </c>
      <c r="AW244" s="82">
        <f t="shared" si="160"/>
        <v>0</v>
      </c>
      <c r="AX244" s="85"/>
      <c r="AY244" s="82">
        <f t="shared" si="161"/>
        <v>0</v>
      </c>
      <c r="AZ244" s="82">
        <f t="shared" si="162"/>
        <v>0</v>
      </c>
      <c r="BA244" s="82">
        <f t="shared" si="163"/>
        <v>0</v>
      </c>
      <c r="BB244" s="83">
        <v>0</v>
      </c>
      <c r="BC244" s="83">
        <v>0</v>
      </c>
      <c r="BD244" s="83">
        <v>0</v>
      </c>
      <c r="BE244" s="84">
        <f>ROUND((IF(($AT244&lt;=700000),0,IF(((VLOOKUP($AR244,'Loyalty - Effec - 15July'!$B$5:$C$17,2,0)*$AT244)&lt;=120000),(VLOOKUP($AR244,'Loyalty - Effec - 15July'!$B$5:$C$17,2,0)*$AT244),120000))),0)</f>
        <v>0</v>
      </c>
      <c r="BF244" s="84">
        <f>ROUND(VLOOKUP($AR244,'Loyalty - Effec - 15July'!$B$5:$D$17,3,0)*$AT244,0)</f>
        <v>0</v>
      </c>
      <c r="BG244" s="85">
        <f t="shared" si="164"/>
        <v>0</v>
      </c>
      <c r="BH244" s="81">
        <f t="shared" si="165"/>
        <v>0</v>
      </c>
      <c r="BI244" s="85">
        <f t="shared" si="166"/>
        <v>0</v>
      </c>
      <c r="BJ244" s="85">
        <f t="shared" si="167"/>
        <v>0</v>
      </c>
      <c r="BK244" s="85">
        <f t="shared" si="168"/>
        <v>0</v>
      </c>
      <c r="BL244" s="85">
        <f t="shared" si="137"/>
        <v>0</v>
      </c>
      <c r="BM244" s="85">
        <f t="shared" si="138"/>
        <v>0</v>
      </c>
      <c r="BN244" s="85">
        <f t="shared" si="139"/>
        <v>0</v>
      </c>
      <c r="BO244" s="52" t="s">
        <v>85</v>
      </c>
      <c r="BP244" s="46"/>
      <c r="BQ244" s="46"/>
      <c r="BR244" s="47">
        <f t="shared" si="144"/>
        <v>0</v>
      </c>
      <c r="BU244" s="47">
        <f t="shared" si="141"/>
        <v>0</v>
      </c>
      <c r="BV244" s="53" t="s">
        <v>508</v>
      </c>
      <c r="BW244" s="53" t="s">
        <v>932</v>
      </c>
      <c r="BX244" s="53" t="s">
        <v>730</v>
      </c>
      <c r="BY244" s="53"/>
      <c r="BZ244" s="53"/>
    </row>
    <row r="245" spans="1:78">
      <c r="A245" s="42" t="s">
        <v>509</v>
      </c>
      <c r="B245" s="28" t="s">
        <v>79</v>
      </c>
      <c r="C245" s="28" t="s">
        <v>80</v>
      </c>
      <c r="D245" s="28" t="s">
        <v>932</v>
      </c>
      <c r="E245" s="43" t="s">
        <v>82</v>
      </c>
      <c r="F245" s="28" t="s">
        <v>902</v>
      </c>
      <c r="G245" s="44" t="s">
        <v>731</v>
      </c>
      <c r="H245" s="45">
        <v>44907</v>
      </c>
      <c r="I245" s="46" t="s">
        <v>1002</v>
      </c>
      <c r="J245" s="28">
        <v>2</v>
      </c>
      <c r="K245" s="28" t="s">
        <v>93</v>
      </c>
      <c r="L245" s="28" t="s">
        <v>873</v>
      </c>
      <c r="M245" s="28" t="s">
        <v>0</v>
      </c>
      <c r="N245" s="28" t="str">
        <f t="shared" si="145"/>
        <v>AE2</v>
      </c>
      <c r="O245" s="81"/>
      <c r="P245" s="81">
        <f t="shared" si="146"/>
        <v>0</v>
      </c>
      <c r="Q245" s="81">
        <f t="shared" si="147"/>
        <v>0</v>
      </c>
      <c r="R245" s="81">
        <f t="shared" si="148"/>
        <v>0</v>
      </c>
      <c r="S245" s="81"/>
      <c r="T245" s="82">
        <f t="shared" si="149"/>
        <v>0</v>
      </c>
      <c r="U245" s="82">
        <f t="shared" si="150"/>
        <v>0</v>
      </c>
      <c r="V245" s="82">
        <f t="shared" si="151"/>
        <v>0</v>
      </c>
      <c r="W245" s="83">
        <v>0</v>
      </c>
      <c r="X245" s="83">
        <v>0</v>
      </c>
      <c r="Y245" s="83">
        <v>0</v>
      </c>
      <c r="Z245" s="84">
        <f>ROUND((IF(($O245&lt;=700000),0,IF(((VLOOKUP($M245,'Loyalty - Effec - 15July'!$B$5:$C$17,2,0)*$O245)&lt;=120000),(VLOOKUP($M245,'Loyalty - Effec - 15July'!$B$5:$C$17,2,0)*$O245),120000))),0)</f>
        <v>0</v>
      </c>
      <c r="AA245" s="84">
        <f>ROUND(VLOOKUP($M245,'Loyalty - Effec - 15July'!$B$5:$D$17,3,0)*$O245,0)</f>
        <v>0</v>
      </c>
      <c r="AB245" s="85">
        <f t="shared" si="152"/>
        <v>0</v>
      </c>
      <c r="AC245" s="86">
        <f t="shared" si="153"/>
        <v>0</v>
      </c>
      <c r="AD245" s="87">
        <f t="shared" si="154"/>
        <v>0</v>
      </c>
      <c r="AE245" s="88">
        <f t="shared" si="155"/>
        <v>0</v>
      </c>
      <c r="AF245" s="88">
        <f t="shared" si="156"/>
        <v>0</v>
      </c>
      <c r="AG245" s="49" t="s">
        <v>913</v>
      </c>
      <c r="AH245" s="49" t="s">
        <v>909</v>
      </c>
      <c r="AI245" s="50"/>
      <c r="AJ245" s="46"/>
      <c r="AK245" s="46"/>
      <c r="AL245" s="46"/>
      <c r="AM245" s="51">
        <f>IF($AL245=4,VLOOKUP($AR245,'Loyalty Incentive v1'!$L$3:$Q$15,2,FALSE),
IF($AL245=3,VLOOKUP($AR245,'Loyalty Incentive v1'!$L$3:$Q$15,3,FALSE),
IF($AL245=2,VLOOKUP($AR245,'Loyalty Incentive v1'!$L$3:$Q$15,4,FALSE),
IF($AL245=1,VLOOKUP($AR245,'Loyalty Incentive v1'!$L$3:$Q$15,5,FALSE),
IF($AL245=0,VLOOKUP($AR245,'Loyalty Incentive v1'!$L$3:$Q$15,6,FALSE),0)))))</f>
        <v>0</v>
      </c>
      <c r="AN245" s="51">
        <f>IFERROR(IF(I245&gt;="1",AM245,VLOOKUP(VALUE(I245),'Loyalty - Effec - 15July'!$I$5:$J$16,2,0)*AM245),0)</f>
        <v>0</v>
      </c>
      <c r="AO245" s="51">
        <v>0</v>
      </c>
      <c r="AP245" s="51">
        <f t="shared" si="157"/>
        <v>0</v>
      </c>
      <c r="AQ245" s="46" t="str">
        <f t="shared" si="133"/>
        <v>No</v>
      </c>
      <c r="AR245" s="46" t="str">
        <f t="shared" si="134"/>
        <v>AE2</v>
      </c>
      <c r="AS245" s="46" t="b">
        <f t="shared" si="135"/>
        <v>1</v>
      </c>
      <c r="AT245" s="82">
        <f t="shared" si="136"/>
        <v>0</v>
      </c>
      <c r="AU245" s="82">
        <f t="shared" si="158"/>
        <v>0</v>
      </c>
      <c r="AV245" s="82">
        <f t="shared" si="159"/>
        <v>0</v>
      </c>
      <c r="AW245" s="82">
        <f t="shared" si="160"/>
        <v>0</v>
      </c>
      <c r="AX245" s="85"/>
      <c r="AY245" s="82">
        <f t="shared" si="161"/>
        <v>0</v>
      </c>
      <c r="AZ245" s="82">
        <f t="shared" si="162"/>
        <v>0</v>
      </c>
      <c r="BA245" s="82">
        <f t="shared" si="163"/>
        <v>0</v>
      </c>
      <c r="BB245" s="83">
        <v>0</v>
      </c>
      <c r="BC245" s="83">
        <v>0</v>
      </c>
      <c r="BD245" s="83">
        <v>0</v>
      </c>
      <c r="BE245" s="84">
        <f>ROUND((IF(($AT245&lt;=700000),0,IF(((VLOOKUP($AR245,'Loyalty - Effec - 15July'!$B$5:$C$17,2,0)*$AT245)&lt;=120000),(VLOOKUP($AR245,'Loyalty - Effec - 15July'!$B$5:$C$17,2,0)*$AT245),120000))),0)</f>
        <v>0</v>
      </c>
      <c r="BF245" s="84">
        <f>ROUND(VLOOKUP($AR245,'Loyalty - Effec - 15July'!$B$5:$D$17,3,0)*$AT245,0)</f>
        <v>0</v>
      </c>
      <c r="BG245" s="85">
        <f t="shared" si="164"/>
        <v>0</v>
      </c>
      <c r="BH245" s="81">
        <f t="shared" si="165"/>
        <v>0</v>
      </c>
      <c r="BI245" s="85">
        <f t="shared" si="166"/>
        <v>0</v>
      </c>
      <c r="BJ245" s="85">
        <f t="shared" si="167"/>
        <v>0</v>
      </c>
      <c r="BK245" s="85">
        <f t="shared" si="168"/>
        <v>0</v>
      </c>
      <c r="BL245" s="85">
        <f t="shared" si="137"/>
        <v>0</v>
      </c>
      <c r="BM245" s="85">
        <f t="shared" si="138"/>
        <v>0</v>
      </c>
      <c r="BN245" s="85">
        <f t="shared" si="139"/>
        <v>0</v>
      </c>
      <c r="BO245" s="52" t="s">
        <v>85</v>
      </c>
      <c r="BP245" s="46"/>
      <c r="BQ245" s="46"/>
      <c r="BR245" s="47">
        <f t="shared" si="144"/>
        <v>0</v>
      </c>
      <c r="BU245" s="47">
        <f t="shared" si="141"/>
        <v>0</v>
      </c>
      <c r="BV245" s="53" t="s">
        <v>509</v>
      </c>
      <c r="BW245" s="53" t="s">
        <v>932</v>
      </c>
      <c r="BX245" s="53" t="s">
        <v>731</v>
      </c>
      <c r="BY245" s="53"/>
      <c r="BZ245" s="53"/>
    </row>
    <row r="246" spans="1:78">
      <c r="A246" s="42" t="s">
        <v>510</v>
      </c>
      <c r="B246" s="28" t="s">
        <v>79</v>
      </c>
      <c r="C246" s="28" t="s">
        <v>80</v>
      </c>
      <c r="D246" s="28" t="s">
        <v>932</v>
      </c>
      <c r="E246" s="43" t="s">
        <v>82</v>
      </c>
      <c r="F246" s="28" t="s">
        <v>901</v>
      </c>
      <c r="G246" s="44" t="s">
        <v>732</v>
      </c>
      <c r="H246" s="45">
        <v>44907</v>
      </c>
      <c r="I246" s="46" t="s">
        <v>1002</v>
      </c>
      <c r="J246" s="28">
        <v>2</v>
      </c>
      <c r="K246" s="28" t="s">
        <v>93</v>
      </c>
      <c r="L246" s="28" t="s">
        <v>873</v>
      </c>
      <c r="M246" s="28" t="s">
        <v>3</v>
      </c>
      <c r="N246" s="28" t="str">
        <f t="shared" si="145"/>
        <v>AE5</v>
      </c>
      <c r="O246" s="81"/>
      <c r="P246" s="81">
        <f t="shared" si="146"/>
        <v>0</v>
      </c>
      <c r="Q246" s="81">
        <f t="shared" si="147"/>
        <v>0</v>
      </c>
      <c r="R246" s="81">
        <f t="shared" si="148"/>
        <v>0</v>
      </c>
      <c r="S246" s="81"/>
      <c r="T246" s="82">
        <f t="shared" si="149"/>
        <v>0</v>
      </c>
      <c r="U246" s="82">
        <f t="shared" si="150"/>
        <v>0</v>
      </c>
      <c r="V246" s="82">
        <f t="shared" si="151"/>
        <v>0</v>
      </c>
      <c r="W246" s="83">
        <v>0</v>
      </c>
      <c r="X246" s="83">
        <v>0</v>
      </c>
      <c r="Y246" s="83">
        <v>0</v>
      </c>
      <c r="Z246" s="84">
        <f>ROUND((IF(($O246&lt;=700000),0,IF(((VLOOKUP($M246,'Loyalty - Effec - 15July'!$B$5:$C$17,2,0)*$O246)&lt;=120000),(VLOOKUP($M246,'Loyalty - Effec - 15July'!$B$5:$C$17,2,0)*$O246),120000))),0)</f>
        <v>0</v>
      </c>
      <c r="AA246" s="84">
        <f>ROUND(VLOOKUP($M246,'Loyalty - Effec - 15July'!$B$5:$D$17,3,0)*$O246,0)</f>
        <v>0</v>
      </c>
      <c r="AB246" s="85">
        <f t="shared" si="152"/>
        <v>0</v>
      </c>
      <c r="AC246" s="86">
        <f t="shared" si="153"/>
        <v>0</v>
      </c>
      <c r="AD246" s="87">
        <f t="shared" si="154"/>
        <v>0</v>
      </c>
      <c r="AE246" s="88">
        <f t="shared" si="155"/>
        <v>0</v>
      </c>
      <c r="AF246" s="88">
        <f t="shared" si="156"/>
        <v>0</v>
      </c>
      <c r="AG246" s="49" t="s">
        <v>212</v>
      </c>
      <c r="AH246" s="49" t="s">
        <v>928</v>
      </c>
      <c r="AI246" s="50"/>
      <c r="AJ246" s="46"/>
      <c r="AK246" s="46"/>
      <c r="AL246" s="46"/>
      <c r="AM246" s="51">
        <f>IF($AL246=4,VLOOKUP($AR246,'Loyalty Incentive v1'!$L$3:$Q$15,2,FALSE),
IF($AL246=3,VLOOKUP($AR246,'Loyalty Incentive v1'!$L$3:$Q$15,3,FALSE),
IF($AL246=2,VLOOKUP($AR246,'Loyalty Incentive v1'!$L$3:$Q$15,4,FALSE),
IF($AL246=1,VLOOKUP($AR246,'Loyalty Incentive v1'!$L$3:$Q$15,5,FALSE),
IF($AL246=0,VLOOKUP($AR246,'Loyalty Incentive v1'!$L$3:$Q$15,6,FALSE),0)))))</f>
        <v>0</v>
      </c>
      <c r="AN246" s="51">
        <f>IFERROR(IF(I246&gt;="1",AM246,VLOOKUP(VALUE(I246),'Loyalty - Effec - 15July'!$I$5:$J$16,2,0)*AM246),0)</f>
        <v>0</v>
      </c>
      <c r="AO246" s="51">
        <v>0</v>
      </c>
      <c r="AP246" s="51">
        <f t="shared" si="157"/>
        <v>0</v>
      </c>
      <c r="AQ246" s="46" t="str">
        <f t="shared" ref="AQ246:AQ307" si="169">IF((N246=AR246),"No","Yes")</f>
        <v>No</v>
      </c>
      <c r="AR246" s="46" t="str">
        <f t="shared" ref="AR246:AR307" si="170">N246</f>
        <v>AE5</v>
      </c>
      <c r="AS246" s="46" t="b">
        <f t="shared" ref="AS246:AS307" si="171">AR246=M246</f>
        <v>1</v>
      </c>
      <c r="AT246" s="82">
        <f t="shared" si="136"/>
        <v>0</v>
      </c>
      <c r="AU246" s="82">
        <f t="shared" si="158"/>
        <v>0</v>
      </c>
      <c r="AV246" s="82">
        <f t="shared" si="159"/>
        <v>0</v>
      </c>
      <c r="AW246" s="82">
        <f t="shared" si="160"/>
        <v>0</v>
      </c>
      <c r="AX246" s="85"/>
      <c r="AY246" s="82">
        <f t="shared" si="161"/>
        <v>0</v>
      </c>
      <c r="AZ246" s="82">
        <f t="shared" si="162"/>
        <v>0</v>
      </c>
      <c r="BA246" s="82">
        <f t="shared" si="163"/>
        <v>0</v>
      </c>
      <c r="BB246" s="83">
        <v>0</v>
      </c>
      <c r="BC246" s="83">
        <v>0</v>
      </c>
      <c r="BD246" s="83">
        <v>0</v>
      </c>
      <c r="BE246" s="84">
        <f>ROUND((IF(($AT246&lt;=700000),0,IF(((VLOOKUP($AR246,'Loyalty - Effec - 15July'!$B$5:$C$17,2,0)*$AT246)&lt;=120000),(VLOOKUP($AR246,'Loyalty - Effec - 15July'!$B$5:$C$17,2,0)*$AT246),120000))),0)</f>
        <v>0</v>
      </c>
      <c r="BF246" s="84">
        <f>ROUND(VLOOKUP($AR246,'Loyalty - Effec - 15July'!$B$5:$D$17,3,0)*$AT246,0)</f>
        <v>0</v>
      </c>
      <c r="BG246" s="85">
        <f t="shared" si="164"/>
        <v>0</v>
      </c>
      <c r="BH246" s="81">
        <f t="shared" si="165"/>
        <v>0</v>
      </c>
      <c r="BI246" s="85">
        <f t="shared" si="166"/>
        <v>0</v>
      </c>
      <c r="BJ246" s="85">
        <f t="shared" si="167"/>
        <v>0</v>
      </c>
      <c r="BK246" s="85">
        <f t="shared" si="168"/>
        <v>0</v>
      </c>
      <c r="BL246" s="85">
        <f t="shared" ref="BL246:BL307" si="172">BG246-AB246</f>
        <v>0</v>
      </c>
      <c r="BM246" s="85">
        <f t="shared" ref="BM246:BM307" si="173">BK246-AF246</f>
        <v>0</v>
      </c>
      <c r="BN246" s="85">
        <f t="shared" ref="BN246:BN307" si="174">BK246-AF246</f>
        <v>0</v>
      </c>
      <c r="BO246" s="52" t="s">
        <v>85</v>
      </c>
      <c r="BP246" s="46"/>
      <c r="BQ246" s="46"/>
      <c r="BR246" s="47">
        <f t="shared" si="144"/>
        <v>0</v>
      </c>
      <c r="BU246" s="47">
        <f t="shared" si="141"/>
        <v>0</v>
      </c>
      <c r="BV246" s="53" t="s">
        <v>510</v>
      </c>
      <c r="BW246" s="53" t="s">
        <v>932</v>
      </c>
      <c r="BX246" s="53" t="s">
        <v>732</v>
      </c>
      <c r="BY246" s="53"/>
      <c r="BZ246" s="53"/>
    </row>
    <row r="247" spans="1:78" s="65" customFormat="1">
      <c r="A247" s="42" t="s">
        <v>511</v>
      </c>
      <c r="B247" s="28" t="s">
        <v>79</v>
      </c>
      <c r="C247" s="28" t="s">
        <v>80</v>
      </c>
      <c r="D247" s="28" t="s">
        <v>932</v>
      </c>
      <c r="E247" s="43" t="s">
        <v>82</v>
      </c>
      <c r="F247" s="28" t="s">
        <v>902</v>
      </c>
      <c r="G247" s="44" t="s">
        <v>733</v>
      </c>
      <c r="H247" s="45">
        <v>44907</v>
      </c>
      <c r="I247" s="46" t="s">
        <v>1002</v>
      </c>
      <c r="J247" s="28">
        <v>15</v>
      </c>
      <c r="K247" s="28" t="s">
        <v>93</v>
      </c>
      <c r="L247" s="28" t="s">
        <v>873</v>
      </c>
      <c r="M247" s="28" t="s">
        <v>1</v>
      </c>
      <c r="N247" s="28" t="str">
        <f t="shared" si="145"/>
        <v>AE3</v>
      </c>
      <c r="O247" s="81"/>
      <c r="P247" s="81">
        <f t="shared" si="146"/>
        <v>0</v>
      </c>
      <c r="Q247" s="81">
        <f t="shared" si="147"/>
        <v>0</v>
      </c>
      <c r="R247" s="81">
        <f t="shared" si="148"/>
        <v>0</v>
      </c>
      <c r="S247" s="81"/>
      <c r="T247" s="82">
        <f t="shared" si="149"/>
        <v>0</v>
      </c>
      <c r="U247" s="82">
        <f t="shared" si="150"/>
        <v>0</v>
      </c>
      <c r="V247" s="82">
        <f t="shared" si="151"/>
        <v>0</v>
      </c>
      <c r="W247" s="83">
        <v>0</v>
      </c>
      <c r="X247" s="83">
        <v>0</v>
      </c>
      <c r="Y247" s="83">
        <v>0</v>
      </c>
      <c r="Z247" s="84">
        <f>ROUND((IF(($O247&lt;=700000),0,IF(((VLOOKUP($M247,'Loyalty - Effec - 15July'!$B$5:$C$17,2,0)*$O247)&lt;=120000),(VLOOKUP($M247,'Loyalty - Effec - 15July'!$B$5:$C$17,2,0)*$O247),120000))),0)</f>
        <v>0</v>
      </c>
      <c r="AA247" s="84">
        <f>ROUND(VLOOKUP($M247,'Loyalty - Effec - 15July'!$B$5:$D$17,3,0)*$O247,0)</f>
        <v>0</v>
      </c>
      <c r="AB247" s="85">
        <f t="shared" si="152"/>
        <v>0</v>
      </c>
      <c r="AC247" s="86">
        <f t="shared" si="153"/>
        <v>0</v>
      </c>
      <c r="AD247" s="87">
        <f t="shared" si="154"/>
        <v>0</v>
      </c>
      <c r="AE247" s="88">
        <f t="shared" si="155"/>
        <v>0</v>
      </c>
      <c r="AF247" s="88">
        <f t="shared" si="156"/>
        <v>0</v>
      </c>
      <c r="AG247" s="49" t="s">
        <v>278</v>
      </c>
      <c r="AH247" s="49" t="s">
        <v>811</v>
      </c>
      <c r="AI247" s="50"/>
      <c r="AJ247" s="46"/>
      <c r="AK247" s="46"/>
      <c r="AL247" s="46"/>
      <c r="AM247" s="51">
        <f>IF($AL247=4,VLOOKUP($AR247,'Loyalty Incentive v1'!$L$3:$Q$15,2,FALSE),
IF($AL247=3,VLOOKUP($AR247,'Loyalty Incentive v1'!$L$3:$Q$15,3,FALSE),
IF($AL247=2,VLOOKUP($AR247,'Loyalty Incentive v1'!$L$3:$Q$15,4,FALSE),
IF($AL247=1,VLOOKUP($AR247,'Loyalty Incentive v1'!$L$3:$Q$15,5,FALSE),
IF($AL247=0,VLOOKUP($AR247,'Loyalty Incentive v1'!$L$3:$Q$15,6,FALSE),0)))))</f>
        <v>0</v>
      </c>
      <c r="AN247" s="51">
        <f>IFERROR(IF(I247&gt;="1",AM247,VLOOKUP(VALUE(I247),'Loyalty - Effec - 15July'!$I$5:$J$16,2,0)*AM247),0)</f>
        <v>0</v>
      </c>
      <c r="AO247" s="51">
        <v>0</v>
      </c>
      <c r="AP247" s="51">
        <f t="shared" si="157"/>
        <v>0</v>
      </c>
      <c r="AQ247" s="46" t="str">
        <f t="shared" si="169"/>
        <v>No</v>
      </c>
      <c r="AR247" s="46" t="str">
        <f t="shared" si="170"/>
        <v>AE3</v>
      </c>
      <c r="AS247" s="46" t="b">
        <f t="shared" si="171"/>
        <v>1</v>
      </c>
      <c r="AT247" s="82">
        <f t="shared" si="136"/>
        <v>0</v>
      </c>
      <c r="AU247" s="82">
        <f t="shared" si="158"/>
        <v>0</v>
      </c>
      <c r="AV247" s="82">
        <f t="shared" si="159"/>
        <v>0</v>
      </c>
      <c r="AW247" s="82">
        <f t="shared" si="160"/>
        <v>0</v>
      </c>
      <c r="AX247" s="85"/>
      <c r="AY247" s="82">
        <f t="shared" si="161"/>
        <v>0</v>
      </c>
      <c r="AZ247" s="82">
        <f t="shared" si="162"/>
        <v>0</v>
      </c>
      <c r="BA247" s="82">
        <f t="shared" si="163"/>
        <v>0</v>
      </c>
      <c r="BB247" s="83">
        <v>0</v>
      </c>
      <c r="BC247" s="83">
        <v>0</v>
      </c>
      <c r="BD247" s="83">
        <v>0</v>
      </c>
      <c r="BE247" s="84">
        <f>ROUND((IF(($AT247&lt;=700000),0,IF(((VLOOKUP($AR247,'Loyalty - Effec - 15July'!$B$5:$C$17,2,0)*$AT247)&lt;=120000),(VLOOKUP($AR247,'Loyalty - Effec - 15July'!$B$5:$C$17,2,0)*$AT247),120000))),0)</f>
        <v>0</v>
      </c>
      <c r="BF247" s="84">
        <f>ROUND(VLOOKUP($AR247,'Loyalty - Effec - 15July'!$B$5:$D$17,3,0)*$AT247,0)</f>
        <v>0</v>
      </c>
      <c r="BG247" s="85">
        <f t="shared" si="164"/>
        <v>0</v>
      </c>
      <c r="BH247" s="82">
        <f t="shared" si="165"/>
        <v>0</v>
      </c>
      <c r="BI247" s="85">
        <f t="shared" si="166"/>
        <v>0</v>
      </c>
      <c r="BJ247" s="85">
        <f t="shared" si="167"/>
        <v>0</v>
      </c>
      <c r="BK247" s="85">
        <f t="shared" si="168"/>
        <v>0</v>
      </c>
      <c r="BL247" s="85">
        <f t="shared" si="172"/>
        <v>0</v>
      </c>
      <c r="BM247" s="85">
        <f t="shared" si="173"/>
        <v>0</v>
      </c>
      <c r="BN247" s="85">
        <f t="shared" si="174"/>
        <v>0</v>
      </c>
      <c r="BO247" s="52" t="s">
        <v>85</v>
      </c>
      <c r="BP247" s="46"/>
      <c r="BQ247" s="46"/>
      <c r="BR247" s="47">
        <f t="shared" si="144"/>
        <v>0</v>
      </c>
      <c r="BU247" s="47">
        <f t="shared" si="141"/>
        <v>0</v>
      </c>
      <c r="BV247" s="53" t="s">
        <v>511</v>
      </c>
      <c r="BW247" s="53" t="s">
        <v>932</v>
      </c>
      <c r="BX247" s="53" t="s">
        <v>733</v>
      </c>
      <c r="BY247" s="53"/>
      <c r="BZ247" s="53"/>
    </row>
    <row r="248" spans="1:78">
      <c r="A248" s="42" t="s">
        <v>512</v>
      </c>
      <c r="B248" s="28" t="s">
        <v>79</v>
      </c>
      <c r="C248" s="28" t="s">
        <v>80</v>
      </c>
      <c r="D248" s="28" t="s">
        <v>932</v>
      </c>
      <c r="E248" s="43" t="s">
        <v>184</v>
      </c>
      <c r="F248" s="28" t="s">
        <v>901</v>
      </c>
      <c r="G248" s="44" t="s">
        <v>734</v>
      </c>
      <c r="H248" s="45">
        <v>44907</v>
      </c>
      <c r="I248" s="46" t="s">
        <v>1002</v>
      </c>
      <c r="J248" s="28">
        <v>0</v>
      </c>
      <c r="K248" s="28" t="s">
        <v>396</v>
      </c>
      <c r="L248" s="28" t="s">
        <v>155</v>
      </c>
      <c r="M248" s="28" t="s">
        <v>0</v>
      </c>
      <c r="N248" s="28" t="str">
        <f t="shared" si="145"/>
        <v>AE2</v>
      </c>
      <c r="O248" s="81"/>
      <c r="P248" s="81">
        <f t="shared" si="146"/>
        <v>0</v>
      </c>
      <c r="Q248" s="81">
        <f t="shared" si="147"/>
        <v>0</v>
      </c>
      <c r="R248" s="81">
        <f t="shared" si="148"/>
        <v>0</v>
      </c>
      <c r="S248" s="81"/>
      <c r="T248" s="82">
        <f t="shared" si="149"/>
        <v>0</v>
      </c>
      <c r="U248" s="82">
        <f t="shared" si="150"/>
        <v>0</v>
      </c>
      <c r="V248" s="82">
        <f t="shared" si="151"/>
        <v>0</v>
      </c>
      <c r="W248" s="83">
        <v>0</v>
      </c>
      <c r="X248" s="83">
        <v>0</v>
      </c>
      <c r="Y248" s="83">
        <v>0</v>
      </c>
      <c r="Z248" s="84">
        <f>ROUND((IF(($O248&lt;=700000),0,IF(((VLOOKUP($M248,'Loyalty - Effec - 15July'!$B$5:$C$17,2,0)*$O248)&lt;=120000),(VLOOKUP($M248,'Loyalty - Effec - 15July'!$B$5:$C$17,2,0)*$O248),120000))),0)</f>
        <v>0</v>
      </c>
      <c r="AA248" s="84">
        <f>ROUND(VLOOKUP($M248,'Loyalty - Effec - 15July'!$B$5:$D$17,3,0)*$O248,0)</f>
        <v>0</v>
      </c>
      <c r="AB248" s="85">
        <f t="shared" si="152"/>
        <v>0</v>
      </c>
      <c r="AC248" s="86">
        <f t="shared" si="153"/>
        <v>0</v>
      </c>
      <c r="AD248" s="87">
        <f t="shared" si="154"/>
        <v>0</v>
      </c>
      <c r="AE248" s="88">
        <f t="shared" si="155"/>
        <v>0</v>
      </c>
      <c r="AF248" s="88">
        <f t="shared" si="156"/>
        <v>0</v>
      </c>
      <c r="AG248" s="49" t="s">
        <v>400</v>
      </c>
      <c r="AH248" s="49" t="s">
        <v>928</v>
      </c>
      <c r="AI248" s="50"/>
      <c r="AJ248" s="46"/>
      <c r="AK248" s="46"/>
      <c r="AL248" s="46"/>
      <c r="AM248" s="51">
        <f>IF($AL248=4,VLOOKUP($AR248,'Loyalty Incentive v1'!$L$3:$Q$15,2,FALSE),
IF($AL248=3,VLOOKUP($AR248,'Loyalty Incentive v1'!$L$3:$Q$15,3,FALSE),
IF($AL248=2,VLOOKUP($AR248,'Loyalty Incentive v1'!$L$3:$Q$15,4,FALSE),
IF($AL248=1,VLOOKUP($AR248,'Loyalty Incentive v1'!$L$3:$Q$15,5,FALSE),
IF($AL248=0,VLOOKUP($AR248,'Loyalty Incentive v1'!$L$3:$Q$15,6,FALSE),0)))))</f>
        <v>0</v>
      </c>
      <c r="AN248" s="51">
        <f>IFERROR(IF(I248&gt;="1",AM248,VLOOKUP(VALUE(I248),'Loyalty - Effec - 15July'!$I$5:$J$16,2,0)*AM248),0)</f>
        <v>0</v>
      </c>
      <c r="AO248" s="51">
        <v>0</v>
      </c>
      <c r="AP248" s="51">
        <f t="shared" si="157"/>
        <v>0</v>
      </c>
      <c r="AQ248" s="46" t="str">
        <f t="shared" si="169"/>
        <v>No</v>
      </c>
      <c r="AR248" s="46" t="str">
        <f t="shared" si="170"/>
        <v>AE2</v>
      </c>
      <c r="AS248" s="46" t="b">
        <f t="shared" si="171"/>
        <v>1</v>
      </c>
      <c r="AT248" s="82">
        <f t="shared" ref="AT248:AT277" si="175">O248+(O248*AP248)</f>
        <v>0</v>
      </c>
      <c r="AU248" s="82">
        <f t="shared" si="158"/>
        <v>0</v>
      </c>
      <c r="AV248" s="82">
        <f t="shared" si="159"/>
        <v>0</v>
      </c>
      <c r="AW248" s="82">
        <f t="shared" si="160"/>
        <v>0</v>
      </c>
      <c r="AX248" s="85"/>
      <c r="AY248" s="82">
        <f t="shared" si="161"/>
        <v>0</v>
      </c>
      <c r="AZ248" s="82">
        <f t="shared" si="162"/>
        <v>0</v>
      </c>
      <c r="BA248" s="82">
        <f t="shared" si="163"/>
        <v>0</v>
      </c>
      <c r="BB248" s="83">
        <v>0</v>
      </c>
      <c r="BC248" s="83">
        <v>0</v>
      </c>
      <c r="BD248" s="83">
        <v>0</v>
      </c>
      <c r="BE248" s="84">
        <f>ROUND((IF(($AT248&lt;=700000),0,IF(((VLOOKUP($AR248,'Loyalty - Effec - 15July'!$B$5:$C$17,2,0)*$AT248)&lt;=120000),(VLOOKUP($AR248,'Loyalty - Effec - 15July'!$B$5:$C$17,2,0)*$AT248),120000))),0)</f>
        <v>0</v>
      </c>
      <c r="BF248" s="84">
        <f>ROUND(VLOOKUP($AR248,'Loyalty - Effec - 15July'!$B$5:$D$17,3,0)*$AT248,0)</f>
        <v>0</v>
      </c>
      <c r="BG248" s="85">
        <f t="shared" si="164"/>
        <v>0</v>
      </c>
      <c r="BH248" s="81">
        <f t="shared" si="165"/>
        <v>0</v>
      </c>
      <c r="BI248" s="85">
        <f t="shared" si="166"/>
        <v>0</v>
      </c>
      <c r="BJ248" s="85">
        <f t="shared" si="167"/>
        <v>0</v>
      </c>
      <c r="BK248" s="85">
        <f t="shared" si="168"/>
        <v>0</v>
      </c>
      <c r="BL248" s="85">
        <f t="shared" si="172"/>
        <v>0</v>
      </c>
      <c r="BM248" s="85">
        <f t="shared" si="173"/>
        <v>0</v>
      </c>
      <c r="BN248" s="85">
        <f t="shared" si="174"/>
        <v>0</v>
      </c>
      <c r="BO248" s="52" t="s">
        <v>85</v>
      </c>
      <c r="BP248" s="46"/>
      <c r="BQ248" s="46"/>
      <c r="BR248" s="47">
        <f t="shared" si="144"/>
        <v>0</v>
      </c>
      <c r="BU248" s="47">
        <f t="shared" si="141"/>
        <v>0</v>
      </c>
      <c r="BV248" s="53" t="s">
        <v>512</v>
      </c>
      <c r="BW248" s="53" t="s">
        <v>932</v>
      </c>
      <c r="BX248" s="53" t="s">
        <v>734</v>
      </c>
      <c r="BY248" s="53"/>
      <c r="BZ248" s="53"/>
    </row>
    <row r="249" spans="1:78">
      <c r="A249" s="42" t="s">
        <v>513</v>
      </c>
      <c r="B249" s="28" t="s">
        <v>79</v>
      </c>
      <c r="C249" s="28" t="s">
        <v>80</v>
      </c>
      <c r="D249" s="28" t="s">
        <v>932</v>
      </c>
      <c r="E249" s="43" t="s">
        <v>184</v>
      </c>
      <c r="F249" s="28" t="s">
        <v>901</v>
      </c>
      <c r="G249" s="44" t="s">
        <v>735</v>
      </c>
      <c r="H249" s="45">
        <v>44907</v>
      </c>
      <c r="I249" s="46" t="s">
        <v>1002</v>
      </c>
      <c r="J249" s="28">
        <v>0</v>
      </c>
      <c r="K249" s="28" t="s">
        <v>396</v>
      </c>
      <c r="L249" s="28" t="s">
        <v>155</v>
      </c>
      <c r="M249" s="28" t="s">
        <v>0</v>
      </c>
      <c r="N249" s="28" t="str">
        <f t="shared" si="145"/>
        <v>AE2</v>
      </c>
      <c r="O249" s="81"/>
      <c r="P249" s="81">
        <f t="shared" si="146"/>
        <v>0</v>
      </c>
      <c r="Q249" s="81">
        <f t="shared" si="147"/>
        <v>0</v>
      </c>
      <c r="R249" s="81">
        <f t="shared" si="148"/>
        <v>0</v>
      </c>
      <c r="S249" s="81"/>
      <c r="T249" s="82">
        <f t="shared" si="149"/>
        <v>0</v>
      </c>
      <c r="U249" s="82">
        <f t="shared" si="150"/>
        <v>0</v>
      </c>
      <c r="V249" s="82">
        <f t="shared" si="151"/>
        <v>0</v>
      </c>
      <c r="W249" s="83">
        <v>0</v>
      </c>
      <c r="X249" s="83">
        <v>0</v>
      </c>
      <c r="Y249" s="83">
        <v>0</v>
      </c>
      <c r="Z249" s="84">
        <f>ROUND((IF(($O249&lt;=700000),0,IF(((VLOOKUP($M249,'Loyalty - Effec - 15July'!$B$5:$C$17,2,0)*$O249)&lt;=120000),(VLOOKUP($M249,'Loyalty - Effec - 15July'!$B$5:$C$17,2,0)*$O249),120000))),0)</f>
        <v>0</v>
      </c>
      <c r="AA249" s="84">
        <f>ROUND(VLOOKUP($M249,'Loyalty - Effec - 15July'!$B$5:$D$17,3,0)*$O249,0)</f>
        <v>0</v>
      </c>
      <c r="AB249" s="85">
        <f t="shared" si="152"/>
        <v>0</v>
      </c>
      <c r="AC249" s="86">
        <f t="shared" si="153"/>
        <v>0</v>
      </c>
      <c r="AD249" s="87">
        <f t="shared" si="154"/>
        <v>0</v>
      </c>
      <c r="AE249" s="88">
        <f t="shared" si="155"/>
        <v>0</v>
      </c>
      <c r="AF249" s="88">
        <f t="shared" si="156"/>
        <v>0</v>
      </c>
      <c r="AG249" s="49" t="s">
        <v>922</v>
      </c>
      <c r="AH249" s="49" t="s">
        <v>909</v>
      </c>
      <c r="AI249" s="50"/>
      <c r="AJ249" s="46"/>
      <c r="AK249" s="46"/>
      <c r="AL249" s="46"/>
      <c r="AM249" s="51">
        <f>IF($AL249=4,VLOOKUP($AR249,'Loyalty Incentive v1'!$L$3:$Q$15,2,FALSE),
IF($AL249=3,VLOOKUP($AR249,'Loyalty Incentive v1'!$L$3:$Q$15,3,FALSE),
IF($AL249=2,VLOOKUP($AR249,'Loyalty Incentive v1'!$L$3:$Q$15,4,FALSE),
IF($AL249=1,VLOOKUP($AR249,'Loyalty Incentive v1'!$L$3:$Q$15,5,FALSE),
IF($AL249=0,VLOOKUP($AR249,'Loyalty Incentive v1'!$L$3:$Q$15,6,FALSE),0)))))</f>
        <v>0</v>
      </c>
      <c r="AN249" s="51">
        <f>IFERROR(IF(I249&gt;="1",AM249,VLOOKUP(VALUE(I249),'Loyalty - Effec - 15July'!$I$5:$J$16,2,0)*AM249),0)</f>
        <v>0</v>
      </c>
      <c r="AO249" s="51">
        <v>0</v>
      </c>
      <c r="AP249" s="51">
        <f t="shared" si="157"/>
        <v>0</v>
      </c>
      <c r="AQ249" s="46" t="str">
        <f t="shared" si="169"/>
        <v>No</v>
      </c>
      <c r="AR249" s="46" t="str">
        <f t="shared" si="170"/>
        <v>AE2</v>
      </c>
      <c r="AS249" s="46" t="b">
        <f t="shared" si="171"/>
        <v>1</v>
      </c>
      <c r="AT249" s="82">
        <f t="shared" si="175"/>
        <v>0</v>
      </c>
      <c r="AU249" s="82">
        <f t="shared" si="158"/>
        <v>0</v>
      </c>
      <c r="AV249" s="82">
        <f t="shared" si="159"/>
        <v>0</v>
      </c>
      <c r="AW249" s="82">
        <f t="shared" si="160"/>
        <v>0</v>
      </c>
      <c r="AX249" s="85"/>
      <c r="AY249" s="82">
        <f t="shared" si="161"/>
        <v>0</v>
      </c>
      <c r="AZ249" s="82">
        <f t="shared" si="162"/>
        <v>0</v>
      </c>
      <c r="BA249" s="82">
        <f t="shared" si="163"/>
        <v>0</v>
      </c>
      <c r="BB249" s="83">
        <v>0</v>
      </c>
      <c r="BC249" s="83">
        <v>0</v>
      </c>
      <c r="BD249" s="83">
        <v>0</v>
      </c>
      <c r="BE249" s="84">
        <f>ROUND((IF(($AT249&lt;=700000),0,IF(((VLOOKUP($AR249,'Loyalty - Effec - 15July'!$B$5:$C$17,2,0)*$AT249)&lt;=120000),(VLOOKUP($AR249,'Loyalty - Effec - 15July'!$B$5:$C$17,2,0)*$AT249),120000))),0)</f>
        <v>0</v>
      </c>
      <c r="BF249" s="84">
        <f>ROUND(VLOOKUP($AR249,'Loyalty - Effec - 15July'!$B$5:$D$17,3,0)*$AT249,0)</f>
        <v>0</v>
      </c>
      <c r="BG249" s="85">
        <f t="shared" si="164"/>
        <v>0</v>
      </c>
      <c r="BH249" s="81">
        <f t="shared" si="165"/>
        <v>0</v>
      </c>
      <c r="BI249" s="85">
        <f t="shared" si="166"/>
        <v>0</v>
      </c>
      <c r="BJ249" s="85">
        <f t="shared" si="167"/>
        <v>0</v>
      </c>
      <c r="BK249" s="85">
        <f t="shared" si="168"/>
        <v>0</v>
      </c>
      <c r="BL249" s="85">
        <f t="shared" si="172"/>
        <v>0</v>
      </c>
      <c r="BM249" s="85">
        <f t="shared" si="173"/>
        <v>0</v>
      </c>
      <c r="BN249" s="85">
        <f t="shared" si="174"/>
        <v>0</v>
      </c>
      <c r="BO249" s="52" t="s">
        <v>85</v>
      </c>
      <c r="BP249" s="46"/>
      <c r="BQ249" s="46"/>
      <c r="BR249" s="47">
        <f t="shared" si="144"/>
        <v>0</v>
      </c>
      <c r="BU249" s="47">
        <f t="shared" si="141"/>
        <v>0</v>
      </c>
      <c r="BV249" s="53" t="s">
        <v>513</v>
      </c>
      <c r="BW249" s="53" t="s">
        <v>932</v>
      </c>
      <c r="BX249" s="53" t="s">
        <v>735</v>
      </c>
      <c r="BY249" s="53"/>
      <c r="BZ249" s="53"/>
    </row>
    <row r="250" spans="1:78">
      <c r="A250" s="42" t="s">
        <v>514</v>
      </c>
      <c r="B250" s="28" t="s">
        <v>79</v>
      </c>
      <c r="C250" s="28" t="s">
        <v>80</v>
      </c>
      <c r="D250" s="28" t="s">
        <v>932</v>
      </c>
      <c r="E250" s="43" t="s">
        <v>184</v>
      </c>
      <c r="F250" s="28" t="s">
        <v>902</v>
      </c>
      <c r="G250" s="44" t="s">
        <v>736</v>
      </c>
      <c r="H250" s="45">
        <v>44914</v>
      </c>
      <c r="I250" s="46" t="s">
        <v>1002</v>
      </c>
      <c r="J250" s="28">
        <v>0</v>
      </c>
      <c r="K250" s="28" t="s">
        <v>417</v>
      </c>
      <c r="L250" s="28" t="s">
        <v>872</v>
      </c>
      <c r="M250" s="28" t="s">
        <v>9</v>
      </c>
      <c r="N250" s="28" t="str">
        <f t="shared" si="145"/>
        <v>AE1</v>
      </c>
      <c r="O250" s="81"/>
      <c r="P250" s="81">
        <f t="shared" si="146"/>
        <v>0</v>
      </c>
      <c r="Q250" s="81">
        <f t="shared" si="147"/>
        <v>0</v>
      </c>
      <c r="R250" s="81">
        <f t="shared" si="148"/>
        <v>0</v>
      </c>
      <c r="S250" s="81"/>
      <c r="T250" s="82">
        <f t="shared" si="149"/>
        <v>0</v>
      </c>
      <c r="U250" s="82">
        <f t="shared" si="150"/>
        <v>0</v>
      </c>
      <c r="V250" s="82">
        <f t="shared" si="151"/>
        <v>0</v>
      </c>
      <c r="W250" s="83">
        <v>0</v>
      </c>
      <c r="X250" s="83">
        <v>0</v>
      </c>
      <c r="Y250" s="83">
        <v>0</v>
      </c>
      <c r="Z250" s="84">
        <f>ROUND((IF(($O250&lt;=700000),0,IF(((VLOOKUP($M250,'Loyalty - Effec - 15July'!$B$5:$C$17,2,0)*$O250)&lt;=120000),(VLOOKUP($M250,'Loyalty - Effec - 15July'!$B$5:$C$17,2,0)*$O250),120000))),0)</f>
        <v>0</v>
      </c>
      <c r="AA250" s="84">
        <f>ROUND(VLOOKUP($M250,'Loyalty - Effec - 15July'!$B$5:$D$17,3,0)*$O250,0)</f>
        <v>0</v>
      </c>
      <c r="AB250" s="85">
        <f t="shared" si="152"/>
        <v>0</v>
      </c>
      <c r="AC250" s="86">
        <f t="shared" si="153"/>
        <v>0</v>
      </c>
      <c r="AD250" s="87">
        <f t="shared" si="154"/>
        <v>0</v>
      </c>
      <c r="AE250" s="88">
        <f t="shared" si="155"/>
        <v>0</v>
      </c>
      <c r="AF250" s="88">
        <f t="shared" si="156"/>
        <v>0</v>
      </c>
      <c r="AG250" s="49" t="s">
        <v>924</v>
      </c>
      <c r="AH250" s="49" t="s">
        <v>200</v>
      </c>
      <c r="AI250" s="50"/>
      <c r="AJ250" s="46"/>
      <c r="AK250" s="46"/>
      <c r="AL250" s="46"/>
      <c r="AM250" s="51">
        <f>IF($AL250=4,VLOOKUP($AR250,'Loyalty Incentive v1'!$L$3:$Q$15,2,FALSE),
IF($AL250=3,VLOOKUP($AR250,'Loyalty Incentive v1'!$L$3:$Q$15,3,FALSE),
IF($AL250=2,VLOOKUP($AR250,'Loyalty Incentive v1'!$L$3:$Q$15,4,FALSE),
IF($AL250=1,VLOOKUP($AR250,'Loyalty Incentive v1'!$L$3:$Q$15,5,FALSE),
IF($AL250=0,VLOOKUP($AR250,'Loyalty Incentive v1'!$L$3:$Q$15,6,FALSE),0)))))</f>
        <v>0</v>
      </c>
      <c r="AN250" s="51">
        <f>IFERROR(IF(I250&gt;="1",AM250,VLOOKUP(VALUE(I250),'Loyalty - Effec - 15July'!$I$5:$J$16,2,0)*AM250),0)</f>
        <v>0</v>
      </c>
      <c r="AO250" s="51">
        <v>0</v>
      </c>
      <c r="AP250" s="51">
        <f t="shared" si="157"/>
        <v>0</v>
      </c>
      <c r="AQ250" s="46" t="str">
        <f t="shared" si="169"/>
        <v>No</v>
      </c>
      <c r="AR250" s="46" t="str">
        <f t="shared" si="170"/>
        <v>AE1</v>
      </c>
      <c r="AS250" s="46" t="b">
        <f t="shared" si="171"/>
        <v>1</v>
      </c>
      <c r="AT250" s="82">
        <f t="shared" si="175"/>
        <v>0</v>
      </c>
      <c r="AU250" s="82">
        <f t="shared" si="158"/>
        <v>0</v>
      </c>
      <c r="AV250" s="82">
        <f t="shared" si="159"/>
        <v>0</v>
      </c>
      <c r="AW250" s="82">
        <f t="shared" si="160"/>
        <v>0</v>
      </c>
      <c r="AX250" s="85"/>
      <c r="AY250" s="82">
        <f t="shared" si="161"/>
        <v>0</v>
      </c>
      <c r="AZ250" s="82">
        <f t="shared" si="162"/>
        <v>0</v>
      </c>
      <c r="BA250" s="82">
        <f t="shared" si="163"/>
        <v>0</v>
      </c>
      <c r="BB250" s="83">
        <v>0</v>
      </c>
      <c r="BC250" s="83">
        <v>0</v>
      </c>
      <c r="BD250" s="83">
        <v>0</v>
      </c>
      <c r="BE250" s="84">
        <f>ROUND((IF(($AT250&lt;=700000),0,IF(((VLOOKUP($AR250,'Loyalty - Effec - 15July'!$B$5:$C$17,2,0)*$AT250)&lt;=120000),(VLOOKUP($AR250,'Loyalty - Effec - 15July'!$B$5:$C$17,2,0)*$AT250),120000))),0)</f>
        <v>0</v>
      </c>
      <c r="BF250" s="84">
        <f>ROUND(VLOOKUP($AR250,'Loyalty - Effec - 15July'!$B$5:$D$17,3,0)*$AT250,0)</f>
        <v>0</v>
      </c>
      <c r="BG250" s="85">
        <f t="shared" si="164"/>
        <v>0</v>
      </c>
      <c r="BH250" s="81">
        <f t="shared" si="165"/>
        <v>0</v>
      </c>
      <c r="BI250" s="85">
        <f t="shared" si="166"/>
        <v>0</v>
      </c>
      <c r="BJ250" s="85">
        <f t="shared" si="167"/>
        <v>0</v>
      </c>
      <c r="BK250" s="85">
        <f t="shared" si="168"/>
        <v>0</v>
      </c>
      <c r="BL250" s="85">
        <f t="shared" si="172"/>
        <v>0</v>
      </c>
      <c r="BM250" s="85">
        <f t="shared" si="173"/>
        <v>0</v>
      </c>
      <c r="BN250" s="85">
        <f t="shared" si="174"/>
        <v>0</v>
      </c>
      <c r="BO250" s="52" t="s">
        <v>85</v>
      </c>
      <c r="BP250" s="46"/>
      <c r="BQ250" s="46"/>
      <c r="BR250" s="47">
        <f t="shared" si="144"/>
        <v>0</v>
      </c>
      <c r="BU250" s="47">
        <f t="shared" si="141"/>
        <v>0</v>
      </c>
      <c r="BV250" s="53" t="s">
        <v>514</v>
      </c>
      <c r="BW250" s="53" t="s">
        <v>932</v>
      </c>
      <c r="BX250" s="53" t="s">
        <v>736</v>
      </c>
      <c r="BY250" s="53"/>
      <c r="BZ250" s="53"/>
    </row>
    <row r="251" spans="1:78">
      <c r="A251" s="42" t="s">
        <v>515</v>
      </c>
      <c r="B251" s="28" t="s">
        <v>79</v>
      </c>
      <c r="C251" s="28" t="s">
        <v>80</v>
      </c>
      <c r="D251" s="28" t="s">
        <v>932</v>
      </c>
      <c r="E251" s="43" t="s">
        <v>184</v>
      </c>
      <c r="F251" s="28" t="s">
        <v>902</v>
      </c>
      <c r="G251" s="44" t="s">
        <v>737</v>
      </c>
      <c r="H251" s="45">
        <v>44914</v>
      </c>
      <c r="I251" s="46" t="s">
        <v>1002</v>
      </c>
      <c r="J251" s="28">
        <v>0</v>
      </c>
      <c r="K251" s="28" t="s">
        <v>417</v>
      </c>
      <c r="L251" s="28" t="s">
        <v>872</v>
      </c>
      <c r="M251" s="28" t="s">
        <v>0</v>
      </c>
      <c r="N251" s="28" t="str">
        <f t="shared" si="145"/>
        <v>AE2</v>
      </c>
      <c r="O251" s="81"/>
      <c r="P251" s="81">
        <f t="shared" si="146"/>
        <v>0</v>
      </c>
      <c r="Q251" s="81">
        <f t="shared" si="147"/>
        <v>0</v>
      </c>
      <c r="R251" s="81">
        <f t="shared" si="148"/>
        <v>0</v>
      </c>
      <c r="S251" s="81"/>
      <c r="T251" s="82">
        <f t="shared" si="149"/>
        <v>0</v>
      </c>
      <c r="U251" s="82">
        <f t="shared" si="150"/>
        <v>0</v>
      </c>
      <c r="V251" s="82">
        <f t="shared" si="151"/>
        <v>0</v>
      </c>
      <c r="W251" s="83">
        <v>0</v>
      </c>
      <c r="X251" s="83">
        <v>0</v>
      </c>
      <c r="Y251" s="83">
        <v>0</v>
      </c>
      <c r="Z251" s="84">
        <f>ROUND((IF(($O251&lt;=700000),0,IF(((VLOOKUP($M251,'Loyalty - Effec - 15July'!$B$5:$C$17,2,0)*$O251)&lt;=120000),(VLOOKUP($M251,'Loyalty - Effec - 15July'!$B$5:$C$17,2,0)*$O251),120000))),0)</f>
        <v>0</v>
      </c>
      <c r="AA251" s="84">
        <f>ROUND(VLOOKUP($M251,'Loyalty - Effec - 15July'!$B$5:$D$17,3,0)*$O251,0)</f>
        <v>0</v>
      </c>
      <c r="AB251" s="85">
        <f t="shared" si="152"/>
        <v>0</v>
      </c>
      <c r="AC251" s="86">
        <f t="shared" si="153"/>
        <v>0</v>
      </c>
      <c r="AD251" s="87">
        <f t="shared" si="154"/>
        <v>0</v>
      </c>
      <c r="AE251" s="88">
        <f t="shared" si="155"/>
        <v>0</v>
      </c>
      <c r="AF251" s="88">
        <f t="shared" si="156"/>
        <v>0</v>
      </c>
      <c r="AG251" s="49" t="s">
        <v>924</v>
      </c>
      <c r="AH251" s="49" t="s">
        <v>200</v>
      </c>
      <c r="AI251" s="50"/>
      <c r="AJ251" s="46"/>
      <c r="AK251" s="46"/>
      <c r="AL251" s="46"/>
      <c r="AM251" s="51">
        <f>IF($AL251=4,VLOOKUP($AR251,'Loyalty Incentive v1'!$L$3:$Q$15,2,FALSE),
IF($AL251=3,VLOOKUP($AR251,'Loyalty Incentive v1'!$L$3:$Q$15,3,FALSE),
IF($AL251=2,VLOOKUP($AR251,'Loyalty Incentive v1'!$L$3:$Q$15,4,FALSE),
IF($AL251=1,VLOOKUP($AR251,'Loyalty Incentive v1'!$L$3:$Q$15,5,FALSE),
IF($AL251=0,VLOOKUP($AR251,'Loyalty Incentive v1'!$L$3:$Q$15,6,FALSE),0)))))</f>
        <v>0</v>
      </c>
      <c r="AN251" s="51">
        <f>IFERROR(IF(I251&gt;="1",AM251,VLOOKUP(VALUE(I251),'Loyalty - Effec - 15July'!$I$5:$J$16,2,0)*AM251),0)</f>
        <v>0</v>
      </c>
      <c r="AO251" s="51">
        <v>0</v>
      </c>
      <c r="AP251" s="51">
        <f t="shared" si="157"/>
        <v>0</v>
      </c>
      <c r="AQ251" s="46" t="str">
        <f t="shared" si="169"/>
        <v>No</v>
      </c>
      <c r="AR251" s="46" t="str">
        <f t="shared" si="170"/>
        <v>AE2</v>
      </c>
      <c r="AS251" s="46" t="b">
        <f t="shared" si="171"/>
        <v>1</v>
      </c>
      <c r="AT251" s="82">
        <f t="shared" si="175"/>
        <v>0</v>
      </c>
      <c r="AU251" s="82">
        <f t="shared" si="158"/>
        <v>0</v>
      </c>
      <c r="AV251" s="82">
        <f t="shared" si="159"/>
        <v>0</v>
      </c>
      <c r="AW251" s="82">
        <f t="shared" si="160"/>
        <v>0</v>
      </c>
      <c r="AX251" s="85"/>
      <c r="AY251" s="82">
        <f t="shared" si="161"/>
        <v>0</v>
      </c>
      <c r="AZ251" s="82">
        <f t="shared" si="162"/>
        <v>0</v>
      </c>
      <c r="BA251" s="82">
        <f t="shared" si="163"/>
        <v>0</v>
      </c>
      <c r="BB251" s="83">
        <v>0</v>
      </c>
      <c r="BC251" s="83">
        <v>0</v>
      </c>
      <c r="BD251" s="83">
        <v>0</v>
      </c>
      <c r="BE251" s="84">
        <f>ROUND((IF(($AT251&lt;=700000),0,IF(((VLOOKUP($AR251,'Loyalty - Effec - 15July'!$B$5:$C$17,2,0)*$AT251)&lt;=120000),(VLOOKUP($AR251,'Loyalty - Effec - 15July'!$B$5:$C$17,2,0)*$AT251),120000))),0)</f>
        <v>0</v>
      </c>
      <c r="BF251" s="84">
        <f>ROUND(VLOOKUP($AR251,'Loyalty - Effec - 15July'!$B$5:$D$17,3,0)*$AT251,0)</f>
        <v>0</v>
      </c>
      <c r="BG251" s="85">
        <f t="shared" si="164"/>
        <v>0</v>
      </c>
      <c r="BH251" s="81">
        <f t="shared" si="165"/>
        <v>0</v>
      </c>
      <c r="BI251" s="85">
        <f t="shared" si="166"/>
        <v>0</v>
      </c>
      <c r="BJ251" s="85">
        <f t="shared" si="167"/>
        <v>0</v>
      </c>
      <c r="BK251" s="85">
        <f t="shared" si="168"/>
        <v>0</v>
      </c>
      <c r="BL251" s="85">
        <f t="shared" si="172"/>
        <v>0</v>
      </c>
      <c r="BM251" s="85">
        <f t="shared" si="173"/>
        <v>0</v>
      </c>
      <c r="BN251" s="85">
        <f t="shared" si="174"/>
        <v>0</v>
      </c>
      <c r="BO251" s="52" t="s">
        <v>85</v>
      </c>
      <c r="BP251" s="46"/>
      <c r="BQ251" s="46"/>
      <c r="BR251" s="47">
        <f t="shared" si="144"/>
        <v>0</v>
      </c>
      <c r="BU251" s="47">
        <f t="shared" ref="BU251:BU314" si="176">AT251-BG251</f>
        <v>0</v>
      </c>
      <c r="BV251" s="53" t="s">
        <v>515</v>
      </c>
      <c r="BW251" s="53" t="s">
        <v>932</v>
      </c>
      <c r="BX251" s="53" t="s">
        <v>737</v>
      </c>
      <c r="BY251" s="53"/>
      <c r="BZ251" s="53"/>
    </row>
    <row r="252" spans="1:78">
      <c r="A252" s="42" t="s">
        <v>516</v>
      </c>
      <c r="B252" s="28" t="s">
        <v>79</v>
      </c>
      <c r="C252" s="28" t="s">
        <v>80</v>
      </c>
      <c r="D252" s="28" t="s">
        <v>932</v>
      </c>
      <c r="E252" s="43" t="s">
        <v>184</v>
      </c>
      <c r="F252" s="28" t="s">
        <v>902</v>
      </c>
      <c r="G252" s="44" t="s">
        <v>738</v>
      </c>
      <c r="H252" s="45">
        <v>44914</v>
      </c>
      <c r="I252" s="46" t="s">
        <v>1002</v>
      </c>
      <c r="J252" s="28">
        <v>0</v>
      </c>
      <c r="K252" s="28" t="s">
        <v>413</v>
      </c>
      <c r="L252" s="28" t="s">
        <v>880</v>
      </c>
      <c r="M252" s="28" t="s">
        <v>1</v>
      </c>
      <c r="N252" s="28" t="str">
        <f t="shared" si="145"/>
        <v>AE3</v>
      </c>
      <c r="O252" s="81"/>
      <c r="P252" s="81">
        <f t="shared" si="146"/>
        <v>0</v>
      </c>
      <c r="Q252" s="81">
        <f t="shared" si="147"/>
        <v>0</v>
      </c>
      <c r="R252" s="81">
        <f t="shared" si="148"/>
        <v>0</v>
      </c>
      <c r="S252" s="81"/>
      <c r="T252" s="82">
        <f t="shared" si="149"/>
        <v>0</v>
      </c>
      <c r="U252" s="82">
        <f t="shared" si="150"/>
        <v>0</v>
      </c>
      <c r="V252" s="82">
        <f t="shared" si="151"/>
        <v>0</v>
      </c>
      <c r="W252" s="83">
        <v>0</v>
      </c>
      <c r="X252" s="83">
        <v>0</v>
      </c>
      <c r="Y252" s="83">
        <v>0</v>
      </c>
      <c r="Z252" s="84">
        <f>ROUND((IF(($O252&lt;=700000),0,IF(((VLOOKUP($M252,'Loyalty - Effec - 15July'!$B$5:$C$17,2,0)*$O252)&lt;=120000),(VLOOKUP($M252,'Loyalty - Effec - 15July'!$B$5:$C$17,2,0)*$O252),120000))),0)</f>
        <v>0</v>
      </c>
      <c r="AA252" s="84">
        <f>ROUND(VLOOKUP($M252,'Loyalty - Effec - 15July'!$B$5:$D$17,3,0)*$O252,0)</f>
        <v>0</v>
      </c>
      <c r="AB252" s="85">
        <f t="shared" si="152"/>
        <v>0</v>
      </c>
      <c r="AC252" s="86">
        <f t="shared" si="153"/>
        <v>0</v>
      </c>
      <c r="AD252" s="87">
        <f t="shared" si="154"/>
        <v>0</v>
      </c>
      <c r="AE252" s="88">
        <f t="shared" si="155"/>
        <v>0</v>
      </c>
      <c r="AF252" s="88">
        <f t="shared" si="156"/>
        <v>0</v>
      </c>
      <c r="AG252" s="49" t="s">
        <v>653</v>
      </c>
      <c r="AH252" s="49" t="s">
        <v>126</v>
      </c>
      <c r="AI252" s="50"/>
      <c r="AJ252" s="46"/>
      <c r="AK252" s="46"/>
      <c r="AL252" s="46"/>
      <c r="AM252" s="51">
        <f>IF($AL252=4,VLOOKUP($AR252,'Loyalty Incentive v1'!$L$3:$Q$15,2,FALSE),
IF($AL252=3,VLOOKUP($AR252,'Loyalty Incentive v1'!$L$3:$Q$15,3,FALSE),
IF($AL252=2,VLOOKUP($AR252,'Loyalty Incentive v1'!$L$3:$Q$15,4,FALSE),
IF($AL252=1,VLOOKUP($AR252,'Loyalty Incentive v1'!$L$3:$Q$15,5,FALSE),
IF($AL252=0,VLOOKUP($AR252,'Loyalty Incentive v1'!$L$3:$Q$15,6,FALSE),0)))))</f>
        <v>0</v>
      </c>
      <c r="AN252" s="51">
        <f>IFERROR(IF(I252&gt;="1",AM252,VLOOKUP(VALUE(I252),'Loyalty - Effec - 15July'!$I$5:$J$16,2,0)*AM252),0)</f>
        <v>0</v>
      </c>
      <c r="AO252" s="51">
        <v>0</v>
      </c>
      <c r="AP252" s="51">
        <f t="shared" si="157"/>
        <v>0</v>
      </c>
      <c r="AQ252" s="46" t="str">
        <f t="shared" si="169"/>
        <v>No</v>
      </c>
      <c r="AR252" s="46" t="str">
        <f t="shared" si="170"/>
        <v>AE3</v>
      </c>
      <c r="AS252" s="46" t="b">
        <f t="shared" si="171"/>
        <v>1</v>
      </c>
      <c r="AT252" s="82">
        <f t="shared" si="175"/>
        <v>0</v>
      </c>
      <c r="AU252" s="82">
        <f t="shared" si="158"/>
        <v>0</v>
      </c>
      <c r="AV252" s="82">
        <f t="shared" si="159"/>
        <v>0</v>
      </c>
      <c r="AW252" s="82">
        <f t="shared" si="160"/>
        <v>0</v>
      </c>
      <c r="AX252" s="85"/>
      <c r="AY252" s="82">
        <f t="shared" si="161"/>
        <v>0</v>
      </c>
      <c r="AZ252" s="82">
        <f t="shared" si="162"/>
        <v>0</v>
      </c>
      <c r="BA252" s="82">
        <f t="shared" si="163"/>
        <v>0</v>
      </c>
      <c r="BB252" s="83">
        <v>0</v>
      </c>
      <c r="BC252" s="83">
        <v>0</v>
      </c>
      <c r="BD252" s="83">
        <v>0</v>
      </c>
      <c r="BE252" s="84">
        <f>ROUND((IF(($AT252&lt;=700000),0,IF(((VLOOKUP($AR252,'Loyalty - Effec - 15July'!$B$5:$C$17,2,0)*$AT252)&lt;=120000),(VLOOKUP($AR252,'Loyalty - Effec - 15July'!$B$5:$C$17,2,0)*$AT252),120000))),0)</f>
        <v>0</v>
      </c>
      <c r="BF252" s="84">
        <f>ROUND(VLOOKUP($AR252,'Loyalty - Effec - 15July'!$B$5:$D$17,3,0)*$AT252,0)</f>
        <v>0</v>
      </c>
      <c r="BG252" s="85">
        <f t="shared" si="164"/>
        <v>0</v>
      </c>
      <c r="BH252" s="81">
        <f t="shared" si="165"/>
        <v>0</v>
      </c>
      <c r="BI252" s="85">
        <f t="shared" si="166"/>
        <v>0</v>
      </c>
      <c r="BJ252" s="85">
        <f t="shared" si="167"/>
        <v>0</v>
      </c>
      <c r="BK252" s="85">
        <f t="shared" si="168"/>
        <v>0</v>
      </c>
      <c r="BL252" s="85">
        <f t="shared" si="172"/>
        <v>0</v>
      </c>
      <c r="BM252" s="85">
        <f t="shared" si="173"/>
        <v>0</v>
      </c>
      <c r="BN252" s="85">
        <f t="shared" si="174"/>
        <v>0</v>
      </c>
      <c r="BO252" s="52" t="s">
        <v>85</v>
      </c>
      <c r="BP252" s="46"/>
      <c r="BQ252" s="46"/>
      <c r="BR252" s="47">
        <f t="shared" si="144"/>
        <v>0</v>
      </c>
      <c r="BU252" s="47">
        <f t="shared" si="176"/>
        <v>0</v>
      </c>
      <c r="BV252" s="53" t="s">
        <v>516</v>
      </c>
      <c r="BW252" s="53" t="s">
        <v>932</v>
      </c>
      <c r="BX252" s="53" t="s">
        <v>738</v>
      </c>
      <c r="BY252" s="53"/>
      <c r="BZ252" s="53"/>
    </row>
    <row r="253" spans="1:78">
      <c r="A253" s="42" t="s">
        <v>517</v>
      </c>
      <c r="B253" s="28" t="s">
        <v>79</v>
      </c>
      <c r="C253" s="28" t="s">
        <v>80</v>
      </c>
      <c r="D253" s="28" t="s">
        <v>932</v>
      </c>
      <c r="E253" s="43" t="s">
        <v>184</v>
      </c>
      <c r="F253" s="28" t="s">
        <v>902</v>
      </c>
      <c r="G253" s="44" t="s">
        <v>739</v>
      </c>
      <c r="H253" s="45">
        <v>44914</v>
      </c>
      <c r="I253" s="46" t="s">
        <v>1002</v>
      </c>
      <c r="J253" s="28">
        <v>0</v>
      </c>
      <c r="K253" s="28" t="s">
        <v>417</v>
      </c>
      <c r="L253" s="28" t="s">
        <v>872</v>
      </c>
      <c r="M253" s="28" t="s">
        <v>0</v>
      </c>
      <c r="N253" s="28" t="str">
        <f t="shared" si="145"/>
        <v>AE2</v>
      </c>
      <c r="O253" s="81"/>
      <c r="P253" s="81">
        <f t="shared" si="146"/>
        <v>0</v>
      </c>
      <c r="Q253" s="81">
        <f t="shared" si="147"/>
        <v>0</v>
      </c>
      <c r="R253" s="81">
        <f t="shared" si="148"/>
        <v>0</v>
      </c>
      <c r="S253" s="81"/>
      <c r="T253" s="82">
        <f t="shared" si="149"/>
        <v>0</v>
      </c>
      <c r="U253" s="82">
        <f t="shared" si="150"/>
        <v>0</v>
      </c>
      <c r="V253" s="82">
        <f t="shared" si="151"/>
        <v>0</v>
      </c>
      <c r="W253" s="83">
        <v>0</v>
      </c>
      <c r="X253" s="83">
        <v>0</v>
      </c>
      <c r="Y253" s="83">
        <v>0</v>
      </c>
      <c r="Z253" s="84">
        <f>ROUND((IF(($O253&lt;=700000),0,IF(((VLOOKUP($M253,'Loyalty - Effec - 15July'!$B$5:$C$17,2,0)*$O253)&lt;=120000),(VLOOKUP($M253,'Loyalty - Effec - 15July'!$B$5:$C$17,2,0)*$O253),120000))),0)</f>
        <v>0</v>
      </c>
      <c r="AA253" s="84">
        <f>ROUND(VLOOKUP($M253,'Loyalty - Effec - 15July'!$B$5:$D$17,3,0)*$O253,0)</f>
        <v>0</v>
      </c>
      <c r="AB253" s="85">
        <f t="shared" si="152"/>
        <v>0</v>
      </c>
      <c r="AC253" s="86">
        <f t="shared" si="153"/>
        <v>0</v>
      </c>
      <c r="AD253" s="87">
        <f t="shared" si="154"/>
        <v>0</v>
      </c>
      <c r="AE253" s="88">
        <f t="shared" si="155"/>
        <v>0</v>
      </c>
      <c r="AF253" s="88">
        <f t="shared" si="156"/>
        <v>0</v>
      </c>
      <c r="AG253" s="49" t="s">
        <v>924</v>
      </c>
      <c r="AH253" s="49" t="s">
        <v>200</v>
      </c>
      <c r="AI253" s="50"/>
      <c r="AJ253" s="46"/>
      <c r="AK253" s="46"/>
      <c r="AL253" s="46"/>
      <c r="AM253" s="51">
        <f>IF($AL253=4,VLOOKUP($AR253,'Loyalty Incentive v1'!$L$3:$Q$15,2,FALSE),
IF($AL253=3,VLOOKUP($AR253,'Loyalty Incentive v1'!$L$3:$Q$15,3,FALSE),
IF($AL253=2,VLOOKUP($AR253,'Loyalty Incentive v1'!$L$3:$Q$15,4,FALSE),
IF($AL253=1,VLOOKUP($AR253,'Loyalty Incentive v1'!$L$3:$Q$15,5,FALSE),
IF($AL253=0,VLOOKUP($AR253,'Loyalty Incentive v1'!$L$3:$Q$15,6,FALSE),0)))))</f>
        <v>0</v>
      </c>
      <c r="AN253" s="51">
        <f>IFERROR(IF(I253&gt;="1",AM253,VLOOKUP(VALUE(I253),'Loyalty - Effec - 15July'!$I$5:$J$16,2,0)*AM253),0)</f>
        <v>0</v>
      </c>
      <c r="AO253" s="51">
        <v>0</v>
      </c>
      <c r="AP253" s="51">
        <f t="shared" si="157"/>
        <v>0</v>
      </c>
      <c r="AQ253" s="46" t="str">
        <f t="shared" si="169"/>
        <v>No</v>
      </c>
      <c r="AR253" s="46" t="str">
        <f t="shared" si="170"/>
        <v>AE2</v>
      </c>
      <c r="AS253" s="46" t="b">
        <f t="shared" si="171"/>
        <v>1</v>
      </c>
      <c r="AT253" s="82">
        <f t="shared" si="175"/>
        <v>0</v>
      </c>
      <c r="AU253" s="82">
        <f t="shared" si="158"/>
        <v>0</v>
      </c>
      <c r="AV253" s="82">
        <f t="shared" si="159"/>
        <v>0</v>
      </c>
      <c r="AW253" s="82">
        <f t="shared" si="160"/>
        <v>0</v>
      </c>
      <c r="AX253" s="85"/>
      <c r="AY253" s="82">
        <f t="shared" si="161"/>
        <v>0</v>
      </c>
      <c r="AZ253" s="82">
        <f t="shared" si="162"/>
        <v>0</v>
      </c>
      <c r="BA253" s="82">
        <f t="shared" si="163"/>
        <v>0</v>
      </c>
      <c r="BB253" s="83">
        <v>0</v>
      </c>
      <c r="BC253" s="83">
        <v>0</v>
      </c>
      <c r="BD253" s="83">
        <v>0</v>
      </c>
      <c r="BE253" s="84">
        <f>ROUND((IF(($AT253&lt;=700000),0,IF(((VLOOKUP($AR253,'Loyalty - Effec - 15July'!$B$5:$C$17,2,0)*$AT253)&lt;=120000),(VLOOKUP($AR253,'Loyalty - Effec - 15July'!$B$5:$C$17,2,0)*$AT253),120000))),0)</f>
        <v>0</v>
      </c>
      <c r="BF253" s="84">
        <f>ROUND(VLOOKUP($AR253,'Loyalty - Effec - 15July'!$B$5:$D$17,3,0)*$AT253,0)</f>
        <v>0</v>
      </c>
      <c r="BG253" s="85">
        <f t="shared" si="164"/>
        <v>0</v>
      </c>
      <c r="BH253" s="81">
        <f t="shared" si="165"/>
        <v>0</v>
      </c>
      <c r="BI253" s="85">
        <f t="shared" si="166"/>
        <v>0</v>
      </c>
      <c r="BJ253" s="85">
        <f t="shared" si="167"/>
        <v>0</v>
      </c>
      <c r="BK253" s="85">
        <f t="shared" si="168"/>
        <v>0</v>
      </c>
      <c r="BL253" s="85">
        <f t="shared" si="172"/>
        <v>0</v>
      </c>
      <c r="BM253" s="85">
        <f t="shared" si="173"/>
        <v>0</v>
      </c>
      <c r="BN253" s="85">
        <f t="shared" si="174"/>
        <v>0</v>
      </c>
      <c r="BO253" s="52" t="s">
        <v>85</v>
      </c>
      <c r="BP253" s="46"/>
      <c r="BQ253" s="46"/>
      <c r="BR253" s="47">
        <f t="shared" si="144"/>
        <v>0</v>
      </c>
      <c r="BU253" s="47">
        <f t="shared" si="176"/>
        <v>0</v>
      </c>
      <c r="BV253" s="53" t="s">
        <v>517</v>
      </c>
      <c r="BW253" s="53" t="s">
        <v>932</v>
      </c>
      <c r="BX253" s="53" t="s">
        <v>739</v>
      </c>
      <c r="BY253" s="53"/>
      <c r="BZ253" s="53"/>
    </row>
    <row r="254" spans="1:78">
      <c r="A254" s="42" t="s">
        <v>518</v>
      </c>
      <c r="B254" s="28" t="s">
        <v>79</v>
      </c>
      <c r="C254" s="28" t="s">
        <v>80</v>
      </c>
      <c r="D254" s="28" t="s">
        <v>932</v>
      </c>
      <c r="E254" s="43" t="s">
        <v>184</v>
      </c>
      <c r="F254" s="28" t="s">
        <v>901</v>
      </c>
      <c r="G254" s="44" t="s">
        <v>740</v>
      </c>
      <c r="H254" s="45">
        <v>44921</v>
      </c>
      <c r="I254" s="46" t="s">
        <v>1002</v>
      </c>
      <c r="J254" s="28">
        <v>0</v>
      </c>
      <c r="K254" s="28" t="s">
        <v>93</v>
      </c>
      <c r="L254" s="28" t="s">
        <v>873</v>
      </c>
      <c r="M254" s="28" t="s">
        <v>2</v>
      </c>
      <c r="N254" s="28" t="str">
        <f t="shared" si="145"/>
        <v>AE4</v>
      </c>
      <c r="O254" s="81"/>
      <c r="P254" s="81">
        <f t="shared" si="146"/>
        <v>0</v>
      </c>
      <c r="Q254" s="81">
        <f t="shared" si="147"/>
        <v>0</v>
      </c>
      <c r="R254" s="81">
        <f t="shared" si="148"/>
        <v>0</v>
      </c>
      <c r="S254" s="81"/>
      <c r="T254" s="82">
        <f t="shared" si="149"/>
        <v>0</v>
      </c>
      <c r="U254" s="82">
        <f t="shared" si="150"/>
        <v>0</v>
      </c>
      <c r="V254" s="82">
        <f t="shared" si="151"/>
        <v>0</v>
      </c>
      <c r="W254" s="83">
        <v>0</v>
      </c>
      <c r="X254" s="83">
        <v>0</v>
      </c>
      <c r="Y254" s="83">
        <v>0</v>
      </c>
      <c r="Z254" s="84">
        <f>ROUND((IF(($O254&lt;=700000),0,IF(((VLOOKUP($M254,'Loyalty - Effec - 15July'!$B$5:$C$17,2,0)*$O254)&lt;=120000),(VLOOKUP($M254,'Loyalty - Effec - 15July'!$B$5:$C$17,2,0)*$O254),120000))),0)</f>
        <v>0</v>
      </c>
      <c r="AA254" s="84">
        <f>ROUND(VLOOKUP($M254,'Loyalty - Effec - 15July'!$B$5:$D$17,3,0)*$O254,0)</f>
        <v>0</v>
      </c>
      <c r="AB254" s="85">
        <f t="shared" si="152"/>
        <v>0</v>
      </c>
      <c r="AC254" s="86">
        <f t="shared" si="153"/>
        <v>0</v>
      </c>
      <c r="AD254" s="87">
        <f t="shared" si="154"/>
        <v>0</v>
      </c>
      <c r="AE254" s="88">
        <f t="shared" si="155"/>
        <v>0</v>
      </c>
      <c r="AF254" s="88">
        <f t="shared" si="156"/>
        <v>0</v>
      </c>
      <c r="AG254" s="49" t="s">
        <v>913</v>
      </c>
      <c r="AH254" s="49" t="s">
        <v>909</v>
      </c>
      <c r="AI254" s="50"/>
      <c r="AJ254" s="46"/>
      <c r="AK254" s="46"/>
      <c r="AL254" s="46"/>
      <c r="AM254" s="51">
        <f>IF($AL254=4,VLOOKUP($AR254,'Loyalty Incentive v1'!$L$3:$Q$15,2,FALSE),
IF($AL254=3,VLOOKUP($AR254,'Loyalty Incentive v1'!$L$3:$Q$15,3,FALSE),
IF($AL254=2,VLOOKUP($AR254,'Loyalty Incentive v1'!$L$3:$Q$15,4,FALSE),
IF($AL254=1,VLOOKUP($AR254,'Loyalty Incentive v1'!$L$3:$Q$15,5,FALSE),
IF($AL254=0,VLOOKUP($AR254,'Loyalty Incentive v1'!$L$3:$Q$15,6,FALSE),0)))))</f>
        <v>0</v>
      </c>
      <c r="AN254" s="51">
        <f>IFERROR(IF(I254&gt;="1",AM254,VLOOKUP(VALUE(I254),'Loyalty - Effec - 15July'!$I$5:$J$16,2,0)*AM254),0)</f>
        <v>0</v>
      </c>
      <c r="AO254" s="51">
        <v>0</v>
      </c>
      <c r="AP254" s="51">
        <f t="shared" si="157"/>
        <v>0</v>
      </c>
      <c r="AQ254" s="46" t="str">
        <f t="shared" si="169"/>
        <v>No</v>
      </c>
      <c r="AR254" s="46" t="str">
        <f t="shared" si="170"/>
        <v>AE4</v>
      </c>
      <c r="AS254" s="46" t="b">
        <f t="shared" si="171"/>
        <v>1</v>
      </c>
      <c r="AT254" s="82">
        <f t="shared" si="175"/>
        <v>0</v>
      </c>
      <c r="AU254" s="82">
        <f t="shared" si="158"/>
        <v>0</v>
      </c>
      <c r="AV254" s="82">
        <f t="shared" si="159"/>
        <v>0</v>
      </c>
      <c r="AW254" s="82">
        <f t="shared" si="160"/>
        <v>0</v>
      </c>
      <c r="AX254" s="85"/>
      <c r="AY254" s="82">
        <f t="shared" si="161"/>
        <v>0</v>
      </c>
      <c r="AZ254" s="82">
        <f t="shared" si="162"/>
        <v>0</v>
      </c>
      <c r="BA254" s="82">
        <f t="shared" si="163"/>
        <v>0</v>
      </c>
      <c r="BB254" s="83">
        <v>0</v>
      </c>
      <c r="BC254" s="83">
        <v>0</v>
      </c>
      <c r="BD254" s="83">
        <v>0</v>
      </c>
      <c r="BE254" s="84">
        <f>ROUND((IF(($AT254&lt;=700000),0,IF(((VLOOKUP($AR254,'Loyalty - Effec - 15July'!$B$5:$C$17,2,0)*$AT254)&lt;=120000),(VLOOKUP($AR254,'Loyalty - Effec - 15July'!$B$5:$C$17,2,0)*$AT254),120000))),0)</f>
        <v>0</v>
      </c>
      <c r="BF254" s="84">
        <f>ROUND(VLOOKUP($AR254,'Loyalty - Effec - 15July'!$B$5:$D$17,3,0)*$AT254,0)</f>
        <v>0</v>
      </c>
      <c r="BG254" s="85">
        <f t="shared" si="164"/>
        <v>0</v>
      </c>
      <c r="BH254" s="81">
        <f t="shared" si="165"/>
        <v>0</v>
      </c>
      <c r="BI254" s="85">
        <f t="shared" si="166"/>
        <v>0</v>
      </c>
      <c r="BJ254" s="85">
        <f t="shared" si="167"/>
        <v>0</v>
      </c>
      <c r="BK254" s="85">
        <f t="shared" si="168"/>
        <v>0</v>
      </c>
      <c r="BL254" s="85">
        <f t="shared" si="172"/>
        <v>0</v>
      </c>
      <c r="BM254" s="85">
        <f t="shared" si="173"/>
        <v>0</v>
      </c>
      <c r="BN254" s="85">
        <f t="shared" si="174"/>
        <v>0</v>
      </c>
      <c r="BO254" s="52" t="s">
        <v>85</v>
      </c>
      <c r="BP254" s="46"/>
      <c r="BQ254" s="46"/>
      <c r="BR254" s="47">
        <f t="shared" si="144"/>
        <v>0</v>
      </c>
      <c r="BU254" s="47">
        <f t="shared" si="176"/>
        <v>0</v>
      </c>
      <c r="BV254" s="53" t="s">
        <v>518</v>
      </c>
      <c r="BW254" s="53" t="s">
        <v>932</v>
      </c>
      <c r="BX254" s="53" t="s">
        <v>740</v>
      </c>
      <c r="BY254" s="53"/>
      <c r="BZ254" s="53"/>
    </row>
    <row r="255" spans="1:78">
      <c r="A255" s="42" t="s">
        <v>519</v>
      </c>
      <c r="B255" s="28" t="s">
        <v>79</v>
      </c>
      <c r="C255" s="28" t="s">
        <v>80</v>
      </c>
      <c r="D255" s="28" t="s">
        <v>932</v>
      </c>
      <c r="E255" s="28" t="s">
        <v>82</v>
      </c>
      <c r="F255" s="28" t="s">
        <v>901</v>
      </c>
      <c r="G255" s="44" t="s">
        <v>741</v>
      </c>
      <c r="H255" s="45">
        <v>44930</v>
      </c>
      <c r="I255" s="46" t="s">
        <v>1003</v>
      </c>
      <c r="J255" s="28">
        <v>7</v>
      </c>
      <c r="K255" s="28" t="s">
        <v>93</v>
      </c>
      <c r="L255" s="28" t="s">
        <v>873</v>
      </c>
      <c r="M255" s="28" t="s">
        <v>0</v>
      </c>
      <c r="N255" s="28" t="str">
        <f t="shared" si="145"/>
        <v>AE2</v>
      </c>
      <c r="O255" s="81"/>
      <c r="P255" s="81">
        <f t="shared" si="146"/>
        <v>0</v>
      </c>
      <c r="Q255" s="81">
        <f t="shared" si="147"/>
        <v>0</v>
      </c>
      <c r="R255" s="81">
        <f t="shared" si="148"/>
        <v>0</v>
      </c>
      <c r="S255" s="81"/>
      <c r="T255" s="82">
        <f t="shared" si="149"/>
        <v>0</v>
      </c>
      <c r="U255" s="82">
        <f t="shared" si="150"/>
        <v>0</v>
      </c>
      <c r="V255" s="82">
        <f t="shared" si="151"/>
        <v>0</v>
      </c>
      <c r="W255" s="83">
        <v>0</v>
      </c>
      <c r="X255" s="83">
        <v>0</v>
      </c>
      <c r="Y255" s="83">
        <v>0</v>
      </c>
      <c r="Z255" s="84">
        <f>ROUND((IF(($O255&lt;=700000),0,IF(((VLOOKUP($M255,'Loyalty - Effec - 15July'!$B$5:$C$17,2,0)*$O255)&lt;=120000),(VLOOKUP($M255,'Loyalty - Effec - 15July'!$B$5:$C$17,2,0)*$O255),120000))),0)</f>
        <v>0</v>
      </c>
      <c r="AA255" s="84">
        <f>ROUND(VLOOKUP($M255,'Loyalty - Effec - 15July'!$B$5:$D$17,3,0)*$O255,0)</f>
        <v>0</v>
      </c>
      <c r="AB255" s="85">
        <f t="shared" si="152"/>
        <v>0</v>
      </c>
      <c r="AC255" s="86">
        <f t="shared" si="153"/>
        <v>0</v>
      </c>
      <c r="AD255" s="87">
        <f t="shared" si="154"/>
        <v>0</v>
      </c>
      <c r="AE255" s="88">
        <f t="shared" si="155"/>
        <v>0</v>
      </c>
      <c r="AF255" s="88">
        <f t="shared" si="156"/>
        <v>0</v>
      </c>
      <c r="AG255" s="49" t="s">
        <v>916</v>
      </c>
      <c r="AH255" s="49" t="s">
        <v>909</v>
      </c>
      <c r="AI255" s="50"/>
      <c r="AJ255" s="46"/>
      <c r="AK255" s="46"/>
      <c r="AL255" s="46"/>
      <c r="AM255" s="51">
        <f>IF($AL255=4,VLOOKUP($AR255,'Loyalty Incentive v1'!$L$3:$Q$15,2,FALSE),
IF($AL255=3,VLOOKUP($AR255,'Loyalty Incentive v1'!$L$3:$Q$15,3,FALSE),
IF($AL255=2,VLOOKUP($AR255,'Loyalty Incentive v1'!$L$3:$Q$15,4,FALSE),
IF($AL255=1,VLOOKUP($AR255,'Loyalty Incentive v1'!$L$3:$Q$15,5,FALSE),
IF($AL255=0,VLOOKUP($AR255,'Loyalty Incentive v1'!$L$3:$Q$15,6,FALSE),0)))))</f>
        <v>0</v>
      </c>
      <c r="AN255" s="51">
        <f>IFERROR(IF(I255&gt;="1",AM255,VLOOKUP(VALUE(I255),'Loyalty - Effec - 15July'!$I$5:$J$16,2,0)*AM255),0)</f>
        <v>0</v>
      </c>
      <c r="AO255" s="51">
        <v>0</v>
      </c>
      <c r="AP255" s="51">
        <f t="shared" si="157"/>
        <v>0</v>
      </c>
      <c r="AQ255" s="46" t="str">
        <f t="shared" si="169"/>
        <v>No</v>
      </c>
      <c r="AR255" s="46" t="str">
        <f t="shared" si="170"/>
        <v>AE2</v>
      </c>
      <c r="AS255" s="46" t="b">
        <f t="shared" si="171"/>
        <v>1</v>
      </c>
      <c r="AT255" s="82">
        <f t="shared" si="175"/>
        <v>0</v>
      </c>
      <c r="AU255" s="82">
        <f t="shared" si="158"/>
        <v>0</v>
      </c>
      <c r="AV255" s="82">
        <f t="shared" si="159"/>
        <v>0</v>
      </c>
      <c r="AW255" s="82">
        <f t="shared" si="160"/>
        <v>0</v>
      </c>
      <c r="AX255" s="85"/>
      <c r="AY255" s="82">
        <f t="shared" si="161"/>
        <v>0</v>
      </c>
      <c r="AZ255" s="82">
        <f t="shared" si="162"/>
        <v>0</v>
      </c>
      <c r="BA255" s="82">
        <f t="shared" si="163"/>
        <v>0</v>
      </c>
      <c r="BB255" s="83">
        <v>0</v>
      </c>
      <c r="BC255" s="83">
        <v>0</v>
      </c>
      <c r="BD255" s="83">
        <v>0</v>
      </c>
      <c r="BE255" s="84">
        <f>ROUND((IF(($AT255&lt;=700000),0,IF(((VLOOKUP($AR255,'Loyalty - Effec - 15July'!$B$5:$C$17,2,0)*$AT255)&lt;=120000),(VLOOKUP($AR255,'Loyalty - Effec - 15July'!$B$5:$C$17,2,0)*$AT255),120000))),0)</f>
        <v>0</v>
      </c>
      <c r="BF255" s="84">
        <f>ROUND(VLOOKUP($AR255,'Loyalty - Effec - 15July'!$B$5:$D$17,3,0)*$AT255,0)</f>
        <v>0</v>
      </c>
      <c r="BG255" s="85">
        <f t="shared" si="164"/>
        <v>0</v>
      </c>
      <c r="BH255" s="81">
        <f t="shared" si="165"/>
        <v>0</v>
      </c>
      <c r="BI255" s="85">
        <f t="shared" si="166"/>
        <v>0</v>
      </c>
      <c r="BJ255" s="85">
        <f t="shared" si="167"/>
        <v>0</v>
      </c>
      <c r="BK255" s="85">
        <f t="shared" si="168"/>
        <v>0</v>
      </c>
      <c r="BL255" s="85">
        <f t="shared" si="172"/>
        <v>0</v>
      </c>
      <c r="BM255" s="85">
        <f t="shared" si="173"/>
        <v>0</v>
      </c>
      <c r="BN255" s="85">
        <f t="shared" si="174"/>
        <v>0</v>
      </c>
      <c r="BO255" s="52" t="s">
        <v>85</v>
      </c>
      <c r="BP255" s="46"/>
      <c r="BQ255" s="46"/>
      <c r="BR255" s="47">
        <f t="shared" si="144"/>
        <v>0</v>
      </c>
      <c r="BU255" s="47">
        <f t="shared" si="176"/>
        <v>0</v>
      </c>
      <c r="BV255" s="53" t="s">
        <v>519</v>
      </c>
      <c r="BW255" s="53" t="s">
        <v>932</v>
      </c>
      <c r="BX255" s="53" t="s">
        <v>741</v>
      </c>
      <c r="BY255" s="53"/>
      <c r="BZ255" s="53"/>
    </row>
    <row r="256" spans="1:78">
      <c r="A256" s="42" t="s">
        <v>520</v>
      </c>
      <c r="B256" s="28" t="s">
        <v>903</v>
      </c>
      <c r="C256" s="28" t="s">
        <v>80</v>
      </c>
      <c r="D256" s="28" t="s">
        <v>932</v>
      </c>
      <c r="E256" s="28" t="s">
        <v>82</v>
      </c>
      <c r="F256" s="28" t="s">
        <v>901</v>
      </c>
      <c r="G256" s="44" t="s">
        <v>742</v>
      </c>
      <c r="H256" s="45">
        <v>44927</v>
      </c>
      <c r="I256" s="46" t="s">
        <v>1002</v>
      </c>
      <c r="J256" s="28">
        <v>6</v>
      </c>
      <c r="K256" s="28" t="s">
        <v>415</v>
      </c>
      <c r="L256" s="28" t="s">
        <v>193</v>
      </c>
      <c r="M256" s="28" t="s">
        <v>0</v>
      </c>
      <c r="N256" s="28" t="str">
        <f t="shared" si="145"/>
        <v>AE2</v>
      </c>
      <c r="O256" s="81"/>
      <c r="P256" s="81">
        <f t="shared" si="146"/>
        <v>0</v>
      </c>
      <c r="Q256" s="81">
        <f t="shared" si="147"/>
        <v>0</v>
      </c>
      <c r="R256" s="81">
        <f t="shared" si="148"/>
        <v>0</v>
      </c>
      <c r="S256" s="81"/>
      <c r="T256" s="82">
        <f t="shared" si="149"/>
        <v>0</v>
      </c>
      <c r="U256" s="82">
        <f t="shared" si="150"/>
        <v>0</v>
      </c>
      <c r="V256" s="82">
        <f t="shared" si="151"/>
        <v>0</v>
      </c>
      <c r="W256" s="83">
        <v>0</v>
      </c>
      <c r="X256" s="83">
        <v>0</v>
      </c>
      <c r="Y256" s="83">
        <v>0</v>
      </c>
      <c r="Z256" s="84">
        <f>ROUND((IF(($O256&lt;=700000),0,IF(((VLOOKUP($M256,'Loyalty - Effec - 15July'!$B$5:$C$17,2,0)*$O256)&lt;=120000),(VLOOKUP($M256,'Loyalty - Effec - 15July'!$B$5:$C$17,2,0)*$O256),120000))),0)</f>
        <v>0</v>
      </c>
      <c r="AA256" s="84">
        <f>ROUND(VLOOKUP($M256,'Loyalty - Effec - 15July'!$B$5:$D$17,3,0)*$O256,0)</f>
        <v>0</v>
      </c>
      <c r="AB256" s="85">
        <f t="shared" si="152"/>
        <v>0</v>
      </c>
      <c r="AC256" s="86">
        <f t="shared" si="153"/>
        <v>0</v>
      </c>
      <c r="AD256" s="87">
        <f t="shared" si="154"/>
        <v>0</v>
      </c>
      <c r="AE256" s="88">
        <f t="shared" si="155"/>
        <v>0</v>
      </c>
      <c r="AF256" s="88">
        <f t="shared" si="156"/>
        <v>0</v>
      </c>
      <c r="AG256" s="49" t="s">
        <v>925</v>
      </c>
      <c r="AH256" s="49" t="s">
        <v>930</v>
      </c>
      <c r="AI256" s="50"/>
      <c r="AJ256" s="46"/>
      <c r="AK256" s="46"/>
      <c r="AL256" s="46"/>
      <c r="AM256" s="51">
        <f>IF($AL256=4,VLOOKUP($AR256,'Loyalty Incentive v1'!$L$3:$Q$15,2,FALSE),
IF($AL256=3,VLOOKUP($AR256,'Loyalty Incentive v1'!$L$3:$Q$15,3,FALSE),
IF($AL256=2,VLOOKUP($AR256,'Loyalty Incentive v1'!$L$3:$Q$15,4,FALSE),
IF($AL256=1,VLOOKUP($AR256,'Loyalty Incentive v1'!$L$3:$Q$15,5,FALSE),
IF($AL256=0,VLOOKUP($AR256,'Loyalty Incentive v1'!$L$3:$Q$15,6,FALSE),0)))))</f>
        <v>0</v>
      </c>
      <c r="AN256" s="51">
        <f>IFERROR(IF(I256&gt;="1",AM256,VLOOKUP(VALUE(I256),'Loyalty - Effec - 15July'!$I$5:$J$16,2,0)*AM256),0)</f>
        <v>0</v>
      </c>
      <c r="AO256" s="51">
        <v>0</v>
      </c>
      <c r="AP256" s="51">
        <f t="shared" si="157"/>
        <v>0</v>
      </c>
      <c r="AQ256" s="46" t="str">
        <f t="shared" si="169"/>
        <v>No</v>
      </c>
      <c r="AR256" s="46" t="str">
        <f t="shared" si="170"/>
        <v>AE2</v>
      </c>
      <c r="AS256" s="46" t="b">
        <f t="shared" si="171"/>
        <v>1</v>
      </c>
      <c r="AT256" s="82">
        <f t="shared" si="175"/>
        <v>0</v>
      </c>
      <c r="AU256" s="82">
        <f t="shared" si="158"/>
        <v>0</v>
      </c>
      <c r="AV256" s="82">
        <f t="shared" si="159"/>
        <v>0</v>
      </c>
      <c r="AW256" s="82">
        <f t="shared" si="160"/>
        <v>0</v>
      </c>
      <c r="AX256" s="85"/>
      <c r="AY256" s="82">
        <f t="shared" si="161"/>
        <v>0</v>
      </c>
      <c r="AZ256" s="82">
        <f t="shared" si="162"/>
        <v>0</v>
      </c>
      <c r="BA256" s="82">
        <f t="shared" si="163"/>
        <v>0</v>
      </c>
      <c r="BB256" s="83">
        <v>0</v>
      </c>
      <c r="BC256" s="83">
        <v>0</v>
      </c>
      <c r="BD256" s="83">
        <v>0</v>
      </c>
      <c r="BE256" s="84">
        <f>ROUND((IF(($AT256&lt;=700000),0,IF(((VLOOKUP($AR256,'Loyalty - Effec - 15July'!$B$5:$C$17,2,0)*$AT256)&lt;=120000),(VLOOKUP($AR256,'Loyalty - Effec - 15July'!$B$5:$C$17,2,0)*$AT256),120000))),0)</f>
        <v>0</v>
      </c>
      <c r="BF256" s="84">
        <f>ROUND(VLOOKUP($AR256,'Loyalty - Effec - 15July'!$B$5:$D$17,3,0)*$AT256,0)</f>
        <v>0</v>
      </c>
      <c r="BG256" s="85">
        <f t="shared" si="164"/>
        <v>0</v>
      </c>
      <c r="BH256" s="81">
        <f t="shared" si="165"/>
        <v>0</v>
      </c>
      <c r="BI256" s="85">
        <f t="shared" si="166"/>
        <v>0</v>
      </c>
      <c r="BJ256" s="85">
        <f t="shared" si="167"/>
        <v>0</v>
      </c>
      <c r="BK256" s="85">
        <f t="shared" si="168"/>
        <v>0</v>
      </c>
      <c r="BL256" s="85">
        <f t="shared" si="172"/>
        <v>0</v>
      </c>
      <c r="BM256" s="85">
        <f t="shared" si="173"/>
        <v>0</v>
      </c>
      <c r="BN256" s="85">
        <f t="shared" si="174"/>
        <v>0</v>
      </c>
      <c r="BO256" s="52" t="s">
        <v>85</v>
      </c>
      <c r="BP256" s="46"/>
      <c r="BQ256" s="46"/>
      <c r="BR256" s="47">
        <f t="shared" si="144"/>
        <v>0</v>
      </c>
      <c r="BU256" s="47">
        <f t="shared" si="176"/>
        <v>0</v>
      </c>
      <c r="BV256" s="53" t="s">
        <v>520</v>
      </c>
      <c r="BW256" s="53" t="s">
        <v>932</v>
      </c>
      <c r="BX256" s="53" t="s">
        <v>742</v>
      </c>
      <c r="BY256" s="53"/>
      <c r="BZ256" s="53"/>
    </row>
    <row r="257" spans="1:78">
      <c r="A257" s="42" t="s">
        <v>521</v>
      </c>
      <c r="B257" s="28" t="s">
        <v>79</v>
      </c>
      <c r="C257" s="28" t="s">
        <v>80</v>
      </c>
      <c r="D257" s="28" t="s">
        <v>932</v>
      </c>
      <c r="E257" s="28" t="s">
        <v>82</v>
      </c>
      <c r="F257" s="28" t="s">
        <v>901</v>
      </c>
      <c r="G257" s="44" t="s">
        <v>743</v>
      </c>
      <c r="H257" s="45">
        <v>44937</v>
      </c>
      <c r="I257" s="46" t="s">
        <v>1003</v>
      </c>
      <c r="J257" s="28">
        <v>5</v>
      </c>
      <c r="K257" s="28" t="s">
        <v>420</v>
      </c>
      <c r="L257" s="28" t="s">
        <v>876</v>
      </c>
      <c r="M257" s="28" t="s">
        <v>3</v>
      </c>
      <c r="N257" s="28" t="str">
        <f t="shared" si="145"/>
        <v>AE5</v>
      </c>
      <c r="O257" s="81"/>
      <c r="P257" s="81">
        <f t="shared" si="146"/>
        <v>0</v>
      </c>
      <c r="Q257" s="81">
        <f t="shared" si="147"/>
        <v>0</v>
      </c>
      <c r="R257" s="81">
        <f t="shared" si="148"/>
        <v>0</v>
      </c>
      <c r="S257" s="81"/>
      <c r="T257" s="82">
        <f t="shared" si="149"/>
        <v>0</v>
      </c>
      <c r="U257" s="82">
        <f t="shared" si="150"/>
        <v>0</v>
      </c>
      <c r="V257" s="82">
        <f t="shared" si="151"/>
        <v>0</v>
      </c>
      <c r="W257" s="83">
        <v>0</v>
      </c>
      <c r="X257" s="83">
        <v>0</v>
      </c>
      <c r="Y257" s="83">
        <v>0</v>
      </c>
      <c r="Z257" s="84">
        <f>ROUND((IF(($O257&lt;=700000),0,IF(((VLOOKUP($M257,'Loyalty - Effec - 15July'!$B$5:$C$17,2,0)*$O257)&lt;=120000),(VLOOKUP($M257,'Loyalty - Effec - 15July'!$B$5:$C$17,2,0)*$O257),120000))),0)</f>
        <v>0</v>
      </c>
      <c r="AA257" s="84">
        <f>ROUND(VLOOKUP($M257,'Loyalty - Effec - 15July'!$B$5:$D$17,3,0)*$O257,0)</f>
        <v>0</v>
      </c>
      <c r="AB257" s="85">
        <f t="shared" si="152"/>
        <v>0</v>
      </c>
      <c r="AC257" s="86">
        <f t="shared" si="153"/>
        <v>0</v>
      </c>
      <c r="AD257" s="87">
        <f t="shared" si="154"/>
        <v>0</v>
      </c>
      <c r="AE257" s="88">
        <f t="shared" si="155"/>
        <v>0</v>
      </c>
      <c r="AF257" s="88">
        <f t="shared" si="156"/>
        <v>0</v>
      </c>
      <c r="AG257" s="49" t="s">
        <v>744</v>
      </c>
      <c r="AH257" s="49" t="s">
        <v>129</v>
      </c>
      <c r="AI257" s="50"/>
      <c r="AJ257" s="46"/>
      <c r="AK257" s="46"/>
      <c r="AL257" s="46"/>
      <c r="AM257" s="51">
        <f>IF($AL257=4,VLOOKUP($AR257,'Loyalty Incentive v1'!$L$3:$Q$15,2,FALSE),
IF($AL257=3,VLOOKUP($AR257,'Loyalty Incentive v1'!$L$3:$Q$15,3,FALSE),
IF($AL257=2,VLOOKUP($AR257,'Loyalty Incentive v1'!$L$3:$Q$15,4,FALSE),
IF($AL257=1,VLOOKUP($AR257,'Loyalty Incentive v1'!$L$3:$Q$15,5,FALSE),
IF($AL257=0,VLOOKUP($AR257,'Loyalty Incentive v1'!$L$3:$Q$15,6,FALSE),0)))))</f>
        <v>0</v>
      </c>
      <c r="AN257" s="51">
        <f>IFERROR(IF(I257&gt;="1",AM257,VLOOKUP(VALUE(I257),'Loyalty - Effec - 15July'!$I$5:$J$16,2,0)*AM257),0)</f>
        <v>0</v>
      </c>
      <c r="AO257" s="51">
        <v>0</v>
      </c>
      <c r="AP257" s="51">
        <f t="shared" si="157"/>
        <v>0</v>
      </c>
      <c r="AQ257" s="46" t="str">
        <f t="shared" si="169"/>
        <v>No</v>
      </c>
      <c r="AR257" s="46" t="str">
        <f t="shared" si="170"/>
        <v>AE5</v>
      </c>
      <c r="AS257" s="46" t="b">
        <f t="shared" si="171"/>
        <v>1</v>
      </c>
      <c r="AT257" s="82">
        <f t="shared" si="175"/>
        <v>0</v>
      </c>
      <c r="AU257" s="82">
        <f t="shared" si="158"/>
        <v>0</v>
      </c>
      <c r="AV257" s="82">
        <f t="shared" si="159"/>
        <v>0</v>
      </c>
      <c r="AW257" s="82">
        <f t="shared" si="160"/>
        <v>0</v>
      </c>
      <c r="AX257" s="85"/>
      <c r="AY257" s="82">
        <f t="shared" si="161"/>
        <v>0</v>
      </c>
      <c r="AZ257" s="82">
        <f t="shared" si="162"/>
        <v>0</v>
      </c>
      <c r="BA257" s="82">
        <f t="shared" si="163"/>
        <v>0</v>
      </c>
      <c r="BB257" s="83">
        <v>0</v>
      </c>
      <c r="BC257" s="83">
        <v>0</v>
      </c>
      <c r="BD257" s="83">
        <v>0</v>
      </c>
      <c r="BE257" s="84">
        <f>ROUND((IF(($AT257&lt;=700000),0,IF(((VLOOKUP($AR257,'Loyalty - Effec - 15July'!$B$5:$C$17,2,0)*$AT257)&lt;=120000),(VLOOKUP($AR257,'Loyalty - Effec - 15July'!$B$5:$C$17,2,0)*$AT257),120000))),0)</f>
        <v>0</v>
      </c>
      <c r="BF257" s="84">
        <f>ROUND(VLOOKUP($AR257,'Loyalty - Effec - 15July'!$B$5:$D$17,3,0)*$AT257,0)</f>
        <v>0</v>
      </c>
      <c r="BG257" s="85">
        <f t="shared" si="164"/>
        <v>0</v>
      </c>
      <c r="BH257" s="81">
        <f t="shared" si="165"/>
        <v>0</v>
      </c>
      <c r="BI257" s="85">
        <f t="shared" si="166"/>
        <v>0</v>
      </c>
      <c r="BJ257" s="85">
        <f t="shared" si="167"/>
        <v>0</v>
      </c>
      <c r="BK257" s="85">
        <f t="shared" si="168"/>
        <v>0</v>
      </c>
      <c r="BL257" s="85">
        <f t="shared" si="172"/>
        <v>0</v>
      </c>
      <c r="BM257" s="85">
        <f t="shared" si="173"/>
        <v>0</v>
      </c>
      <c r="BN257" s="85">
        <f t="shared" si="174"/>
        <v>0</v>
      </c>
      <c r="BO257" s="52" t="s">
        <v>85</v>
      </c>
      <c r="BP257" s="46"/>
      <c r="BQ257" s="46"/>
      <c r="BR257" s="47">
        <f t="shared" si="144"/>
        <v>0</v>
      </c>
      <c r="BU257" s="47">
        <f t="shared" si="176"/>
        <v>0</v>
      </c>
      <c r="BV257" s="53" t="s">
        <v>521</v>
      </c>
      <c r="BW257" s="53" t="s">
        <v>932</v>
      </c>
      <c r="BX257" s="53" t="s">
        <v>743</v>
      </c>
      <c r="BY257" s="53"/>
      <c r="BZ257" s="53"/>
    </row>
    <row r="258" spans="1:78">
      <c r="A258" s="42" t="s">
        <v>522</v>
      </c>
      <c r="B258" s="28" t="s">
        <v>79</v>
      </c>
      <c r="C258" s="28" t="s">
        <v>80</v>
      </c>
      <c r="D258" s="28" t="s">
        <v>932</v>
      </c>
      <c r="E258" s="28" t="s">
        <v>82</v>
      </c>
      <c r="F258" s="28" t="s">
        <v>901</v>
      </c>
      <c r="G258" s="44" t="s">
        <v>744</v>
      </c>
      <c r="H258" s="45">
        <v>44944</v>
      </c>
      <c r="I258" s="46" t="s">
        <v>1003</v>
      </c>
      <c r="J258" s="28">
        <v>7</v>
      </c>
      <c r="K258" s="28" t="s">
        <v>420</v>
      </c>
      <c r="L258" s="28" t="s">
        <v>897</v>
      </c>
      <c r="M258" s="28" t="s">
        <v>3</v>
      </c>
      <c r="N258" s="28" t="str">
        <f t="shared" si="145"/>
        <v>AE5</v>
      </c>
      <c r="O258" s="81"/>
      <c r="P258" s="81">
        <f t="shared" si="146"/>
        <v>0</v>
      </c>
      <c r="Q258" s="81">
        <f t="shared" si="147"/>
        <v>0</v>
      </c>
      <c r="R258" s="81">
        <f t="shared" si="148"/>
        <v>0</v>
      </c>
      <c r="S258" s="81"/>
      <c r="T258" s="82">
        <f t="shared" si="149"/>
        <v>0</v>
      </c>
      <c r="U258" s="82">
        <f t="shared" si="150"/>
        <v>0</v>
      </c>
      <c r="V258" s="82">
        <f t="shared" si="151"/>
        <v>0</v>
      </c>
      <c r="W258" s="83">
        <v>0</v>
      </c>
      <c r="X258" s="83">
        <v>0</v>
      </c>
      <c r="Y258" s="83">
        <v>0</v>
      </c>
      <c r="Z258" s="84">
        <f>ROUND((IF(($O258&lt;=700000),0,IF(((VLOOKUP($M258,'Loyalty - Effec - 15July'!$B$5:$C$17,2,0)*$O258)&lt;=120000),(VLOOKUP($M258,'Loyalty - Effec - 15July'!$B$5:$C$17,2,0)*$O258),120000))),0)</f>
        <v>0</v>
      </c>
      <c r="AA258" s="84">
        <f>ROUND(VLOOKUP($M258,'Loyalty - Effec - 15July'!$B$5:$D$17,3,0)*$O258,0)</f>
        <v>0</v>
      </c>
      <c r="AB258" s="85">
        <f t="shared" si="152"/>
        <v>0</v>
      </c>
      <c r="AC258" s="86">
        <f t="shared" si="153"/>
        <v>0</v>
      </c>
      <c r="AD258" s="87">
        <f t="shared" si="154"/>
        <v>0</v>
      </c>
      <c r="AE258" s="88">
        <f t="shared" si="155"/>
        <v>0</v>
      </c>
      <c r="AF258" s="88">
        <f t="shared" si="156"/>
        <v>0</v>
      </c>
      <c r="AG258" s="49" t="s">
        <v>129</v>
      </c>
      <c r="AH258" s="49" t="s">
        <v>83</v>
      </c>
      <c r="AI258" s="50"/>
      <c r="AJ258" s="46"/>
      <c r="AK258" s="46"/>
      <c r="AL258" s="46"/>
      <c r="AM258" s="51">
        <f>IF($AL258=4,VLOOKUP($AR258,'Loyalty Incentive v1'!$L$3:$Q$15,2,FALSE),
IF($AL258=3,VLOOKUP($AR258,'Loyalty Incentive v1'!$L$3:$Q$15,3,FALSE),
IF($AL258=2,VLOOKUP($AR258,'Loyalty Incentive v1'!$L$3:$Q$15,4,FALSE),
IF($AL258=1,VLOOKUP($AR258,'Loyalty Incentive v1'!$L$3:$Q$15,5,FALSE),
IF($AL258=0,VLOOKUP($AR258,'Loyalty Incentive v1'!$L$3:$Q$15,6,FALSE),0)))))</f>
        <v>0</v>
      </c>
      <c r="AN258" s="51">
        <f>IFERROR(IF(I258&gt;="1",AM258,VLOOKUP(VALUE(I258),'Loyalty - Effec - 15July'!$I$5:$J$16,2,0)*AM258),0)</f>
        <v>0</v>
      </c>
      <c r="AO258" s="51">
        <v>0</v>
      </c>
      <c r="AP258" s="51">
        <f t="shared" si="157"/>
        <v>0</v>
      </c>
      <c r="AQ258" s="46" t="str">
        <f t="shared" si="169"/>
        <v>No</v>
      </c>
      <c r="AR258" s="46" t="str">
        <f t="shared" si="170"/>
        <v>AE5</v>
      </c>
      <c r="AS258" s="46" t="b">
        <f t="shared" si="171"/>
        <v>1</v>
      </c>
      <c r="AT258" s="82">
        <f t="shared" si="175"/>
        <v>0</v>
      </c>
      <c r="AU258" s="82">
        <f t="shared" si="158"/>
        <v>0</v>
      </c>
      <c r="AV258" s="82">
        <f t="shared" si="159"/>
        <v>0</v>
      </c>
      <c r="AW258" s="82">
        <f t="shared" si="160"/>
        <v>0</v>
      </c>
      <c r="AX258" s="85"/>
      <c r="AY258" s="82">
        <f t="shared" si="161"/>
        <v>0</v>
      </c>
      <c r="AZ258" s="82">
        <f t="shared" si="162"/>
        <v>0</v>
      </c>
      <c r="BA258" s="82">
        <f t="shared" si="163"/>
        <v>0</v>
      </c>
      <c r="BB258" s="83">
        <v>0</v>
      </c>
      <c r="BC258" s="83">
        <v>0</v>
      </c>
      <c r="BD258" s="83">
        <v>0</v>
      </c>
      <c r="BE258" s="84">
        <f>ROUND((IF(($AT258&lt;=700000),0,IF(((VLOOKUP($AR258,'Loyalty - Effec - 15July'!$B$5:$C$17,2,0)*$AT258)&lt;=120000),(VLOOKUP($AR258,'Loyalty - Effec - 15July'!$B$5:$C$17,2,0)*$AT258),120000))),0)</f>
        <v>0</v>
      </c>
      <c r="BF258" s="84">
        <f>ROUND(VLOOKUP($AR258,'Loyalty - Effec - 15July'!$B$5:$D$17,3,0)*$AT258,0)</f>
        <v>0</v>
      </c>
      <c r="BG258" s="85">
        <f t="shared" si="164"/>
        <v>0</v>
      </c>
      <c r="BH258" s="82">
        <f t="shared" si="165"/>
        <v>0</v>
      </c>
      <c r="BI258" s="85">
        <f t="shared" si="166"/>
        <v>0</v>
      </c>
      <c r="BJ258" s="85">
        <f t="shared" si="167"/>
        <v>0</v>
      </c>
      <c r="BK258" s="85">
        <f t="shared" si="168"/>
        <v>0</v>
      </c>
      <c r="BL258" s="85">
        <f t="shared" si="172"/>
        <v>0</v>
      </c>
      <c r="BM258" s="85">
        <f t="shared" si="173"/>
        <v>0</v>
      </c>
      <c r="BN258" s="85">
        <f t="shared" si="174"/>
        <v>0</v>
      </c>
      <c r="BO258" s="52" t="s">
        <v>85</v>
      </c>
      <c r="BP258" s="46"/>
      <c r="BQ258" s="46"/>
      <c r="BR258" s="47">
        <f t="shared" si="144"/>
        <v>0</v>
      </c>
      <c r="BU258" s="47">
        <f t="shared" si="176"/>
        <v>0</v>
      </c>
      <c r="BV258" s="53" t="s">
        <v>522</v>
      </c>
      <c r="BW258" s="53" t="s">
        <v>932</v>
      </c>
      <c r="BX258" s="53" t="s">
        <v>744</v>
      </c>
      <c r="BY258" s="53"/>
      <c r="BZ258" s="53"/>
    </row>
    <row r="259" spans="1:78">
      <c r="A259" s="42" t="s">
        <v>523</v>
      </c>
      <c r="B259" s="28" t="s">
        <v>79</v>
      </c>
      <c r="C259" s="28" t="s">
        <v>80</v>
      </c>
      <c r="D259" s="28" t="s">
        <v>932</v>
      </c>
      <c r="E259" s="52" t="s">
        <v>184</v>
      </c>
      <c r="F259" s="28" t="s">
        <v>901</v>
      </c>
      <c r="G259" s="44" t="s">
        <v>745</v>
      </c>
      <c r="H259" s="45">
        <v>44949</v>
      </c>
      <c r="I259" s="46" t="s">
        <v>1003</v>
      </c>
      <c r="J259" s="28">
        <v>0</v>
      </c>
      <c r="K259" s="28" t="s">
        <v>93</v>
      </c>
      <c r="L259" s="28" t="s">
        <v>873</v>
      </c>
      <c r="M259" s="28" t="s">
        <v>2</v>
      </c>
      <c r="N259" s="28" t="str">
        <f t="shared" si="145"/>
        <v>AE4</v>
      </c>
      <c r="O259" s="81"/>
      <c r="P259" s="81">
        <f t="shared" si="146"/>
        <v>0</v>
      </c>
      <c r="Q259" s="81">
        <f t="shared" si="147"/>
        <v>0</v>
      </c>
      <c r="R259" s="81">
        <f t="shared" si="148"/>
        <v>0</v>
      </c>
      <c r="S259" s="81"/>
      <c r="T259" s="82">
        <f t="shared" si="149"/>
        <v>0</v>
      </c>
      <c r="U259" s="82">
        <f t="shared" si="150"/>
        <v>0</v>
      </c>
      <c r="V259" s="82">
        <f t="shared" si="151"/>
        <v>0</v>
      </c>
      <c r="W259" s="83">
        <v>0</v>
      </c>
      <c r="X259" s="83">
        <v>0</v>
      </c>
      <c r="Y259" s="83">
        <v>0</v>
      </c>
      <c r="Z259" s="84">
        <f>ROUND((IF(($O259&lt;=700000),0,IF(((VLOOKUP($M259,'Loyalty - Effec - 15July'!$B$5:$C$17,2,0)*$O259)&lt;=120000),(VLOOKUP($M259,'Loyalty - Effec - 15July'!$B$5:$C$17,2,0)*$O259),120000))),0)</f>
        <v>0</v>
      </c>
      <c r="AA259" s="84">
        <f>ROUND(VLOOKUP($M259,'Loyalty - Effec - 15July'!$B$5:$D$17,3,0)*$O259,0)</f>
        <v>0</v>
      </c>
      <c r="AB259" s="85">
        <f t="shared" si="152"/>
        <v>0</v>
      </c>
      <c r="AC259" s="86">
        <f t="shared" si="153"/>
        <v>0</v>
      </c>
      <c r="AD259" s="87">
        <f t="shared" si="154"/>
        <v>0</v>
      </c>
      <c r="AE259" s="88">
        <f t="shared" si="155"/>
        <v>0</v>
      </c>
      <c r="AF259" s="88">
        <f t="shared" si="156"/>
        <v>0</v>
      </c>
      <c r="AG259" s="49" t="s">
        <v>920</v>
      </c>
      <c r="AH259" s="49" t="s">
        <v>120</v>
      </c>
      <c r="AI259" s="50"/>
      <c r="AJ259" s="46"/>
      <c r="AK259" s="46"/>
      <c r="AL259" s="46"/>
      <c r="AM259" s="51">
        <f>IF($AL259=4,VLOOKUP($AR259,'Loyalty Incentive v1'!$L$3:$Q$15,2,FALSE),
IF($AL259=3,VLOOKUP($AR259,'Loyalty Incentive v1'!$L$3:$Q$15,3,FALSE),
IF($AL259=2,VLOOKUP($AR259,'Loyalty Incentive v1'!$L$3:$Q$15,4,FALSE),
IF($AL259=1,VLOOKUP($AR259,'Loyalty Incentive v1'!$L$3:$Q$15,5,FALSE),
IF($AL259=0,VLOOKUP($AR259,'Loyalty Incentive v1'!$L$3:$Q$15,6,FALSE),0)))))</f>
        <v>0</v>
      </c>
      <c r="AN259" s="51">
        <f>IFERROR(IF(I259&gt;="1",AM259,VLOOKUP(VALUE(I259),'Loyalty - Effec - 15July'!$I$5:$J$16,2,0)*AM259),0)</f>
        <v>0</v>
      </c>
      <c r="AO259" s="51">
        <v>0</v>
      </c>
      <c r="AP259" s="51">
        <f t="shared" si="157"/>
        <v>0</v>
      </c>
      <c r="AQ259" s="46" t="str">
        <f t="shared" si="169"/>
        <v>No</v>
      </c>
      <c r="AR259" s="46" t="str">
        <f t="shared" si="170"/>
        <v>AE4</v>
      </c>
      <c r="AS259" s="46" t="b">
        <f t="shared" si="171"/>
        <v>1</v>
      </c>
      <c r="AT259" s="82">
        <f t="shared" si="175"/>
        <v>0</v>
      </c>
      <c r="AU259" s="82">
        <f t="shared" si="158"/>
        <v>0</v>
      </c>
      <c r="AV259" s="82">
        <f t="shared" si="159"/>
        <v>0</v>
      </c>
      <c r="AW259" s="82">
        <f t="shared" si="160"/>
        <v>0</v>
      </c>
      <c r="AX259" s="85"/>
      <c r="AY259" s="82">
        <f t="shared" si="161"/>
        <v>0</v>
      </c>
      <c r="AZ259" s="82">
        <f t="shared" si="162"/>
        <v>0</v>
      </c>
      <c r="BA259" s="82">
        <f t="shared" si="163"/>
        <v>0</v>
      </c>
      <c r="BB259" s="83">
        <v>0</v>
      </c>
      <c r="BC259" s="83">
        <v>0</v>
      </c>
      <c r="BD259" s="83">
        <v>0</v>
      </c>
      <c r="BE259" s="84">
        <f>ROUND((IF(($AT259&lt;=700000),0,IF(((VLOOKUP($AR259,'Loyalty - Effec - 15July'!$B$5:$C$17,2,0)*$AT259)&lt;=120000),(VLOOKUP($AR259,'Loyalty - Effec - 15July'!$B$5:$C$17,2,0)*$AT259),120000))),0)</f>
        <v>0</v>
      </c>
      <c r="BF259" s="84">
        <f>ROUND(VLOOKUP($AR259,'Loyalty - Effec - 15July'!$B$5:$D$17,3,0)*$AT259,0)</f>
        <v>0</v>
      </c>
      <c r="BG259" s="85">
        <f t="shared" si="164"/>
        <v>0</v>
      </c>
      <c r="BH259" s="82">
        <f t="shared" si="165"/>
        <v>0</v>
      </c>
      <c r="BI259" s="85">
        <f t="shared" si="166"/>
        <v>0</v>
      </c>
      <c r="BJ259" s="85">
        <f t="shared" si="167"/>
        <v>0</v>
      </c>
      <c r="BK259" s="85">
        <f t="shared" si="168"/>
        <v>0</v>
      </c>
      <c r="BL259" s="85">
        <f t="shared" si="172"/>
        <v>0</v>
      </c>
      <c r="BM259" s="85">
        <f t="shared" si="173"/>
        <v>0</v>
      </c>
      <c r="BN259" s="85">
        <f t="shared" si="174"/>
        <v>0</v>
      </c>
      <c r="BO259" s="52" t="s">
        <v>85</v>
      </c>
      <c r="BP259" s="46"/>
      <c r="BQ259" s="46"/>
      <c r="BR259" s="47">
        <f t="shared" si="144"/>
        <v>0</v>
      </c>
      <c r="BU259" s="47">
        <f t="shared" si="176"/>
        <v>0</v>
      </c>
      <c r="BV259" s="53" t="s">
        <v>523</v>
      </c>
      <c r="BW259" s="53" t="s">
        <v>932</v>
      </c>
      <c r="BX259" s="53" t="s">
        <v>745</v>
      </c>
      <c r="BY259" s="53"/>
      <c r="BZ259" s="53"/>
    </row>
    <row r="260" spans="1:78">
      <c r="A260" s="42" t="s">
        <v>524</v>
      </c>
      <c r="B260" s="28" t="s">
        <v>79</v>
      </c>
      <c r="C260" s="28" t="s">
        <v>80</v>
      </c>
      <c r="D260" s="28" t="s">
        <v>932</v>
      </c>
      <c r="E260" s="52" t="s">
        <v>184</v>
      </c>
      <c r="F260" s="28" t="s">
        <v>901</v>
      </c>
      <c r="G260" s="44" t="s">
        <v>190</v>
      </c>
      <c r="H260" s="45">
        <v>44935</v>
      </c>
      <c r="I260" s="46" t="s">
        <v>1003</v>
      </c>
      <c r="J260" s="28">
        <v>0</v>
      </c>
      <c r="K260" s="28" t="s">
        <v>863</v>
      </c>
      <c r="L260" s="28" t="s">
        <v>879</v>
      </c>
      <c r="M260" s="28" t="s">
        <v>3</v>
      </c>
      <c r="N260" s="28" t="str">
        <f t="shared" si="145"/>
        <v>AE5</v>
      </c>
      <c r="O260" s="81"/>
      <c r="P260" s="81">
        <f t="shared" si="146"/>
        <v>0</v>
      </c>
      <c r="Q260" s="81">
        <f t="shared" si="147"/>
        <v>0</v>
      </c>
      <c r="R260" s="81">
        <f t="shared" si="148"/>
        <v>0</v>
      </c>
      <c r="S260" s="81"/>
      <c r="T260" s="82">
        <f t="shared" si="149"/>
        <v>0</v>
      </c>
      <c r="U260" s="82">
        <f t="shared" si="150"/>
        <v>0</v>
      </c>
      <c r="V260" s="82">
        <f t="shared" si="151"/>
        <v>0</v>
      </c>
      <c r="W260" s="83">
        <v>0</v>
      </c>
      <c r="X260" s="83">
        <v>0</v>
      </c>
      <c r="Y260" s="83">
        <v>0</v>
      </c>
      <c r="Z260" s="84">
        <f>ROUND((IF(($O260&lt;=700000),0,IF(((VLOOKUP($M260,'Loyalty - Effec - 15July'!$B$5:$C$17,2,0)*$O260)&lt;=120000),(VLOOKUP($M260,'Loyalty - Effec - 15July'!$B$5:$C$17,2,0)*$O260),120000))),0)</f>
        <v>0</v>
      </c>
      <c r="AA260" s="84">
        <f>ROUND(VLOOKUP($M260,'Loyalty - Effec - 15July'!$B$5:$D$17,3,0)*$O260,0)</f>
        <v>0</v>
      </c>
      <c r="AB260" s="85">
        <f t="shared" si="152"/>
        <v>0</v>
      </c>
      <c r="AC260" s="86">
        <f t="shared" si="153"/>
        <v>0</v>
      </c>
      <c r="AD260" s="87">
        <f t="shared" si="154"/>
        <v>0</v>
      </c>
      <c r="AE260" s="88">
        <f t="shared" si="155"/>
        <v>0</v>
      </c>
      <c r="AF260" s="88">
        <f t="shared" si="156"/>
        <v>0</v>
      </c>
      <c r="AG260" s="49" t="s">
        <v>909</v>
      </c>
      <c r="AH260" s="49" t="s">
        <v>809</v>
      </c>
      <c r="AI260" s="50"/>
      <c r="AJ260" s="46"/>
      <c r="AK260" s="46"/>
      <c r="AL260" s="46"/>
      <c r="AM260" s="51">
        <f>IF($AL260=4,VLOOKUP($AR260,'Loyalty Incentive v1'!$L$3:$Q$15,2,FALSE),
IF($AL260=3,VLOOKUP($AR260,'Loyalty Incentive v1'!$L$3:$Q$15,3,FALSE),
IF($AL260=2,VLOOKUP($AR260,'Loyalty Incentive v1'!$L$3:$Q$15,4,FALSE),
IF($AL260=1,VLOOKUP($AR260,'Loyalty Incentive v1'!$L$3:$Q$15,5,FALSE),
IF($AL260=0,VLOOKUP($AR260,'Loyalty Incentive v1'!$L$3:$Q$15,6,FALSE),0)))))</f>
        <v>0</v>
      </c>
      <c r="AN260" s="51">
        <f>IFERROR(IF(I260&gt;="1",AM260,VLOOKUP(VALUE(I260),'Loyalty - Effec - 15July'!$I$5:$J$16,2,0)*AM260),0)</f>
        <v>0</v>
      </c>
      <c r="AO260" s="51">
        <v>0</v>
      </c>
      <c r="AP260" s="51">
        <f t="shared" si="157"/>
        <v>0</v>
      </c>
      <c r="AQ260" s="46" t="str">
        <f t="shared" si="169"/>
        <v>No</v>
      </c>
      <c r="AR260" s="46" t="str">
        <f t="shared" si="170"/>
        <v>AE5</v>
      </c>
      <c r="AS260" s="46" t="b">
        <f t="shared" si="171"/>
        <v>1</v>
      </c>
      <c r="AT260" s="82">
        <f t="shared" si="175"/>
        <v>0</v>
      </c>
      <c r="AU260" s="82">
        <f t="shared" si="158"/>
        <v>0</v>
      </c>
      <c r="AV260" s="82">
        <f t="shared" si="159"/>
        <v>0</v>
      </c>
      <c r="AW260" s="82">
        <f t="shared" si="160"/>
        <v>0</v>
      </c>
      <c r="AX260" s="85"/>
      <c r="AY260" s="82">
        <f t="shared" si="161"/>
        <v>0</v>
      </c>
      <c r="AZ260" s="82">
        <f t="shared" si="162"/>
        <v>0</v>
      </c>
      <c r="BA260" s="82">
        <f t="shared" si="163"/>
        <v>0</v>
      </c>
      <c r="BB260" s="83">
        <v>0</v>
      </c>
      <c r="BC260" s="83">
        <v>0</v>
      </c>
      <c r="BD260" s="83">
        <v>0</v>
      </c>
      <c r="BE260" s="84">
        <f>ROUND((IF(($AT260&lt;=700000),0,IF(((VLOOKUP($AR260,'Loyalty - Effec - 15July'!$B$5:$C$17,2,0)*$AT260)&lt;=120000),(VLOOKUP($AR260,'Loyalty - Effec - 15July'!$B$5:$C$17,2,0)*$AT260),120000))),0)</f>
        <v>0</v>
      </c>
      <c r="BF260" s="84">
        <f>ROUND(VLOOKUP($AR260,'Loyalty - Effec - 15July'!$B$5:$D$17,3,0)*$AT260,0)</f>
        <v>0</v>
      </c>
      <c r="BG260" s="85">
        <f t="shared" si="164"/>
        <v>0</v>
      </c>
      <c r="BH260" s="82">
        <f t="shared" si="165"/>
        <v>0</v>
      </c>
      <c r="BI260" s="85">
        <f t="shared" si="166"/>
        <v>0</v>
      </c>
      <c r="BJ260" s="85">
        <f t="shared" si="167"/>
        <v>0</v>
      </c>
      <c r="BK260" s="85">
        <f t="shared" si="168"/>
        <v>0</v>
      </c>
      <c r="BL260" s="85">
        <f t="shared" si="172"/>
        <v>0</v>
      </c>
      <c r="BM260" s="85">
        <f t="shared" si="173"/>
        <v>0</v>
      </c>
      <c r="BN260" s="85">
        <f t="shared" si="174"/>
        <v>0</v>
      </c>
      <c r="BO260" s="52" t="s">
        <v>85</v>
      </c>
      <c r="BP260" s="46"/>
      <c r="BQ260" s="46"/>
      <c r="BR260" s="47">
        <f t="shared" si="144"/>
        <v>0</v>
      </c>
      <c r="BU260" s="47">
        <f t="shared" si="176"/>
        <v>0</v>
      </c>
      <c r="BV260" s="53" t="s">
        <v>524</v>
      </c>
      <c r="BW260" s="53" t="s">
        <v>932</v>
      </c>
      <c r="BX260" s="53" t="s">
        <v>190</v>
      </c>
      <c r="BY260" s="53"/>
      <c r="BZ260" s="53"/>
    </row>
    <row r="261" spans="1:78">
      <c r="A261" s="42" t="s">
        <v>525</v>
      </c>
      <c r="B261" s="28" t="s">
        <v>79</v>
      </c>
      <c r="C261" s="28" t="s">
        <v>80</v>
      </c>
      <c r="D261" s="28" t="s">
        <v>932</v>
      </c>
      <c r="E261" s="28" t="s">
        <v>82</v>
      </c>
      <c r="F261" s="28" t="s">
        <v>901</v>
      </c>
      <c r="G261" s="44" t="s">
        <v>746</v>
      </c>
      <c r="H261" s="45">
        <v>44963</v>
      </c>
      <c r="I261" s="46" t="s">
        <v>1004</v>
      </c>
      <c r="J261" s="28">
        <v>6</v>
      </c>
      <c r="K261" s="28" t="s">
        <v>413</v>
      </c>
      <c r="L261" s="28" t="s">
        <v>880</v>
      </c>
      <c r="M261" s="28" t="s">
        <v>2</v>
      </c>
      <c r="N261" s="28" t="str">
        <f t="shared" si="145"/>
        <v>AE4</v>
      </c>
      <c r="O261" s="81"/>
      <c r="P261" s="81">
        <f t="shared" si="146"/>
        <v>0</v>
      </c>
      <c r="Q261" s="81">
        <f t="shared" si="147"/>
        <v>0</v>
      </c>
      <c r="R261" s="81">
        <f t="shared" si="148"/>
        <v>0</v>
      </c>
      <c r="S261" s="81"/>
      <c r="T261" s="82">
        <f t="shared" si="149"/>
        <v>0</v>
      </c>
      <c r="U261" s="82">
        <f t="shared" si="150"/>
        <v>0</v>
      </c>
      <c r="V261" s="82">
        <f t="shared" si="151"/>
        <v>0</v>
      </c>
      <c r="W261" s="83">
        <v>0</v>
      </c>
      <c r="X261" s="83">
        <v>0</v>
      </c>
      <c r="Y261" s="83">
        <v>0</v>
      </c>
      <c r="Z261" s="84">
        <f>ROUND((IF(($O261&lt;=700000),0,IF(((VLOOKUP($M261,'Loyalty - Effec - 15July'!$B$5:$C$17,2,0)*$O261)&lt;=120000),(VLOOKUP($M261,'Loyalty - Effec - 15July'!$B$5:$C$17,2,0)*$O261),120000))),0)</f>
        <v>0</v>
      </c>
      <c r="AA261" s="84">
        <f>ROUND(VLOOKUP($M261,'Loyalty - Effec - 15July'!$B$5:$D$17,3,0)*$O261,0)</f>
        <v>0</v>
      </c>
      <c r="AB261" s="85">
        <f t="shared" si="152"/>
        <v>0</v>
      </c>
      <c r="AC261" s="86">
        <f t="shared" si="153"/>
        <v>0</v>
      </c>
      <c r="AD261" s="87">
        <f t="shared" si="154"/>
        <v>0</v>
      </c>
      <c r="AE261" s="88">
        <f t="shared" si="155"/>
        <v>0</v>
      </c>
      <c r="AF261" s="88">
        <f t="shared" si="156"/>
        <v>0</v>
      </c>
      <c r="AG261" s="49" t="s">
        <v>190</v>
      </c>
      <c r="AH261" s="49" t="s">
        <v>909</v>
      </c>
      <c r="AI261" s="50"/>
      <c r="AJ261" s="46"/>
      <c r="AK261" s="46"/>
      <c r="AL261" s="46"/>
      <c r="AM261" s="51">
        <f>IF($AL261=4,VLOOKUP($AR261,'Loyalty Incentive v1'!$L$3:$Q$15,2,FALSE),
IF($AL261=3,VLOOKUP($AR261,'Loyalty Incentive v1'!$L$3:$Q$15,3,FALSE),
IF($AL261=2,VLOOKUP($AR261,'Loyalty Incentive v1'!$L$3:$Q$15,4,FALSE),
IF($AL261=1,VLOOKUP($AR261,'Loyalty Incentive v1'!$L$3:$Q$15,5,FALSE),
IF($AL261=0,VLOOKUP($AR261,'Loyalty Incentive v1'!$L$3:$Q$15,6,FALSE),0)))))</f>
        <v>0</v>
      </c>
      <c r="AN261" s="51">
        <f>IFERROR(IF(I261&gt;="1",AM261,VLOOKUP(VALUE(I261),'Loyalty - Effec - 15July'!$I$5:$J$16,2,0)*AM261),0)</f>
        <v>0</v>
      </c>
      <c r="AO261" s="51">
        <v>0</v>
      </c>
      <c r="AP261" s="51">
        <f t="shared" si="157"/>
        <v>0</v>
      </c>
      <c r="AQ261" s="46" t="str">
        <f t="shared" si="169"/>
        <v>No</v>
      </c>
      <c r="AR261" s="46" t="str">
        <f t="shared" si="170"/>
        <v>AE4</v>
      </c>
      <c r="AS261" s="46" t="b">
        <f t="shared" si="171"/>
        <v>1</v>
      </c>
      <c r="AT261" s="82">
        <f t="shared" si="175"/>
        <v>0</v>
      </c>
      <c r="AU261" s="82">
        <f t="shared" si="158"/>
        <v>0</v>
      </c>
      <c r="AV261" s="82">
        <f t="shared" si="159"/>
        <v>0</v>
      </c>
      <c r="AW261" s="82">
        <f t="shared" si="160"/>
        <v>0</v>
      </c>
      <c r="AX261" s="85"/>
      <c r="AY261" s="82">
        <f t="shared" si="161"/>
        <v>0</v>
      </c>
      <c r="AZ261" s="82">
        <f t="shared" si="162"/>
        <v>0</v>
      </c>
      <c r="BA261" s="82">
        <f t="shared" si="163"/>
        <v>0</v>
      </c>
      <c r="BB261" s="83">
        <v>0</v>
      </c>
      <c r="BC261" s="83">
        <v>0</v>
      </c>
      <c r="BD261" s="83">
        <v>0</v>
      </c>
      <c r="BE261" s="84">
        <f>ROUND((IF(($AT261&lt;=700000),0,IF(((VLOOKUP($AR261,'Loyalty - Effec - 15July'!$B$5:$C$17,2,0)*$AT261)&lt;=120000),(VLOOKUP($AR261,'Loyalty - Effec - 15July'!$B$5:$C$17,2,0)*$AT261),120000))),0)</f>
        <v>0</v>
      </c>
      <c r="BF261" s="84">
        <f>ROUND(VLOOKUP($AR261,'Loyalty - Effec - 15July'!$B$5:$D$17,3,0)*$AT261,0)</f>
        <v>0</v>
      </c>
      <c r="BG261" s="85">
        <f t="shared" si="164"/>
        <v>0</v>
      </c>
      <c r="BH261" s="82">
        <f t="shared" si="165"/>
        <v>0</v>
      </c>
      <c r="BI261" s="85">
        <f t="shared" si="166"/>
        <v>0</v>
      </c>
      <c r="BJ261" s="85">
        <f t="shared" si="167"/>
        <v>0</v>
      </c>
      <c r="BK261" s="85">
        <f t="shared" si="168"/>
        <v>0</v>
      </c>
      <c r="BL261" s="85">
        <f t="shared" si="172"/>
        <v>0</v>
      </c>
      <c r="BM261" s="85">
        <f t="shared" si="173"/>
        <v>0</v>
      </c>
      <c r="BN261" s="85">
        <f t="shared" si="174"/>
        <v>0</v>
      </c>
      <c r="BO261" s="52" t="s">
        <v>85</v>
      </c>
      <c r="BP261" s="46"/>
      <c r="BQ261" s="46"/>
      <c r="BR261" s="47">
        <f t="shared" si="144"/>
        <v>0</v>
      </c>
      <c r="BU261" s="47">
        <f t="shared" si="176"/>
        <v>0</v>
      </c>
      <c r="BV261" s="53" t="s">
        <v>525</v>
      </c>
      <c r="BW261" s="53" t="s">
        <v>932</v>
      </c>
      <c r="BX261" s="53" t="s">
        <v>746</v>
      </c>
      <c r="BY261" s="53"/>
      <c r="BZ261" s="53"/>
    </row>
    <row r="262" spans="1:78">
      <c r="A262" s="42" t="s">
        <v>526</v>
      </c>
      <c r="B262" s="28" t="s">
        <v>79</v>
      </c>
      <c r="C262" s="28" t="s">
        <v>80</v>
      </c>
      <c r="D262" s="28" t="s">
        <v>932</v>
      </c>
      <c r="E262" s="28" t="s">
        <v>82</v>
      </c>
      <c r="F262" s="28" t="s">
        <v>901</v>
      </c>
      <c r="G262" s="44" t="s">
        <v>747</v>
      </c>
      <c r="H262" s="45">
        <v>44963</v>
      </c>
      <c r="I262" s="46" t="s">
        <v>1004</v>
      </c>
      <c r="J262" s="28">
        <v>7</v>
      </c>
      <c r="K262" s="28" t="s">
        <v>396</v>
      </c>
      <c r="L262" s="28" t="s">
        <v>155</v>
      </c>
      <c r="M262" s="28" t="s">
        <v>1</v>
      </c>
      <c r="N262" s="28" t="str">
        <f t="shared" si="145"/>
        <v>AE3</v>
      </c>
      <c r="O262" s="81"/>
      <c r="P262" s="81">
        <f t="shared" si="146"/>
        <v>0</v>
      </c>
      <c r="Q262" s="81">
        <f t="shared" si="147"/>
        <v>0</v>
      </c>
      <c r="R262" s="81">
        <f t="shared" si="148"/>
        <v>0</v>
      </c>
      <c r="S262" s="81"/>
      <c r="T262" s="82">
        <f t="shared" si="149"/>
        <v>0</v>
      </c>
      <c r="U262" s="82">
        <f t="shared" si="150"/>
        <v>0</v>
      </c>
      <c r="V262" s="82">
        <f t="shared" si="151"/>
        <v>0</v>
      </c>
      <c r="W262" s="83">
        <v>0</v>
      </c>
      <c r="X262" s="83">
        <v>0</v>
      </c>
      <c r="Y262" s="83">
        <v>0</v>
      </c>
      <c r="Z262" s="84">
        <f>ROUND((IF(($O262&lt;=700000),0,IF(((VLOOKUP($M262,'Loyalty - Effec - 15July'!$B$5:$C$17,2,0)*$O262)&lt;=120000),(VLOOKUP($M262,'Loyalty - Effec - 15July'!$B$5:$C$17,2,0)*$O262),120000))),0)</f>
        <v>0</v>
      </c>
      <c r="AA262" s="84">
        <f>ROUND(VLOOKUP($M262,'Loyalty - Effec - 15July'!$B$5:$D$17,3,0)*$O262,0)</f>
        <v>0</v>
      </c>
      <c r="AB262" s="85">
        <f t="shared" si="152"/>
        <v>0</v>
      </c>
      <c r="AC262" s="86">
        <f t="shared" si="153"/>
        <v>0</v>
      </c>
      <c r="AD262" s="87">
        <f t="shared" si="154"/>
        <v>0</v>
      </c>
      <c r="AE262" s="88">
        <f t="shared" si="155"/>
        <v>0</v>
      </c>
      <c r="AF262" s="88">
        <f t="shared" si="156"/>
        <v>0</v>
      </c>
      <c r="AG262" s="49" t="s">
        <v>670</v>
      </c>
      <c r="AH262" s="49" t="s">
        <v>200</v>
      </c>
      <c r="AI262" s="50"/>
      <c r="AJ262" s="46"/>
      <c r="AK262" s="46"/>
      <c r="AL262" s="46"/>
      <c r="AM262" s="51">
        <f>IF($AL262=4,VLOOKUP($AR262,'Loyalty Incentive v1'!$L$3:$Q$15,2,FALSE),
IF($AL262=3,VLOOKUP($AR262,'Loyalty Incentive v1'!$L$3:$Q$15,3,FALSE),
IF($AL262=2,VLOOKUP($AR262,'Loyalty Incentive v1'!$L$3:$Q$15,4,FALSE),
IF($AL262=1,VLOOKUP($AR262,'Loyalty Incentive v1'!$L$3:$Q$15,5,FALSE),
IF($AL262=0,VLOOKUP($AR262,'Loyalty Incentive v1'!$L$3:$Q$15,6,FALSE),0)))))</f>
        <v>0</v>
      </c>
      <c r="AN262" s="51">
        <f>IFERROR(IF(I262&gt;="1",AM262,VLOOKUP(VALUE(I262),'Loyalty - Effec - 15July'!$I$5:$J$16,2,0)*AM262),0)</f>
        <v>0</v>
      </c>
      <c r="AO262" s="51">
        <v>0</v>
      </c>
      <c r="AP262" s="51">
        <f t="shared" si="157"/>
        <v>0</v>
      </c>
      <c r="AQ262" s="46" t="str">
        <f t="shared" si="169"/>
        <v>No</v>
      </c>
      <c r="AR262" s="46" t="str">
        <f t="shared" si="170"/>
        <v>AE3</v>
      </c>
      <c r="AS262" s="46" t="b">
        <f t="shared" si="171"/>
        <v>1</v>
      </c>
      <c r="AT262" s="82">
        <f t="shared" si="175"/>
        <v>0</v>
      </c>
      <c r="AU262" s="81">
        <f t="shared" si="158"/>
        <v>0</v>
      </c>
      <c r="AV262" s="81">
        <f t="shared" si="159"/>
        <v>0</v>
      </c>
      <c r="AW262" s="81">
        <f t="shared" si="160"/>
        <v>0</v>
      </c>
      <c r="AX262" s="85"/>
      <c r="AY262" s="81">
        <f t="shared" si="161"/>
        <v>0</v>
      </c>
      <c r="AZ262" s="82">
        <f t="shared" si="162"/>
        <v>0</v>
      </c>
      <c r="BA262" s="81">
        <f t="shared" si="163"/>
        <v>0</v>
      </c>
      <c r="BB262" s="83">
        <v>0</v>
      </c>
      <c r="BC262" s="83">
        <v>0</v>
      </c>
      <c r="BD262" s="83">
        <v>0</v>
      </c>
      <c r="BE262" s="84">
        <f>ROUND((IF(($AT262&lt;=700000),0,IF(((VLOOKUP($AR262,'Loyalty - Effec - 15July'!$B$5:$C$17,2,0)*$AT262)&lt;=120000),(VLOOKUP($AR262,'Loyalty - Effec - 15July'!$B$5:$C$17,2,0)*$AT262),120000))),0)</f>
        <v>0</v>
      </c>
      <c r="BF262" s="83">
        <f>ROUND(VLOOKUP($AR262,'Loyalty - Effec - 15July'!$B$5:$D$17,3,0)*$AT262,0)</f>
        <v>0</v>
      </c>
      <c r="BG262" s="85">
        <f t="shared" si="164"/>
        <v>0</v>
      </c>
      <c r="BH262" s="83">
        <f t="shared" si="165"/>
        <v>0</v>
      </c>
      <c r="BI262" s="85">
        <f t="shared" si="166"/>
        <v>0</v>
      </c>
      <c r="BJ262" s="85">
        <f t="shared" si="167"/>
        <v>0</v>
      </c>
      <c r="BK262" s="85">
        <f t="shared" si="168"/>
        <v>0</v>
      </c>
      <c r="BL262" s="85">
        <f t="shared" si="172"/>
        <v>0</v>
      </c>
      <c r="BM262" s="85">
        <f t="shared" si="173"/>
        <v>0</v>
      </c>
      <c r="BN262" s="85">
        <f t="shared" si="174"/>
        <v>0</v>
      </c>
      <c r="BO262" s="46" t="s">
        <v>85</v>
      </c>
      <c r="BP262" s="46"/>
      <c r="BQ262" s="46"/>
      <c r="BR262" s="47">
        <f t="shared" si="144"/>
        <v>0</v>
      </c>
      <c r="BU262" s="47">
        <f t="shared" si="176"/>
        <v>0</v>
      </c>
      <c r="BV262" s="53" t="s">
        <v>526</v>
      </c>
      <c r="BW262" s="53" t="s">
        <v>932</v>
      </c>
      <c r="BX262" s="53" t="s">
        <v>747</v>
      </c>
      <c r="BY262" s="53"/>
      <c r="BZ262" s="53"/>
    </row>
    <row r="263" spans="1:78">
      <c r="A263" s="42" t="s">
        <v>527</v>
      </c>
      <c r="B263" s="28" t="s">
        <v>79</v>
      </c>
      <c r="C263" s="28" t="s">
        <v>80</v>
      </c>
      <c r="D263" s="28" t="s">
        <v>932</v>
      </c>
      <c r="E263" s="28" t="s">
        <v>82</v>
      </c>
      <c r="F263" s="28" t="s">
        <v>901</v>
      </c>
      <c r="G263" s="44" t="s">
        <v>748</v>
      </c>
      <c r="H263" s="45">
        <v>44963</v>
      </c>
      <c r="I263" s="46" t="s">
        <v>1004</v>
      </c>
      <c r="J263" s="28">
        <v>5</v>
      </c>
      <c r="K263" s="28" t="s">
        <v>93</v>
      </c>
      <c r="L263" s="28" t="s">
        <v>873</v>
      </c>
      <c r="M263" s="28" t="s">
        <v>2</v>
      </c>
      <c r="N263" s="28" t="str">
        <f t="shared" si="145"/>
        <v>AE4</v>
      </c>
      <c r="O263" s="81"/>
      <c r="P263" s="81">
        <f t="shared" si="146"/>
        <v>0</v>
      </c>
      <c r="Q263" s="81">
        <f t="shared" si="147"/>
        <v>0</v>
      </c>
      <c r="R263" s="81">
        <f t="shared" si="148"/>
        <v>0</v>
      </c>
      <c r="S263" s="81"/>
      <c r="T263" s="82">
        <f t="shared" si="149"/>
        <v>0</v>
      </c>
      <c r="U263" s="82">
        <f t="shared" si="150"/>
        <v>0</v>
      </c>
      <c r="V263" s="82">
        <f t="shared" si="151"/>
        <v>0</v>
      </c>
      <c r="W263" s="83">
        <v>0</v>
      </c>
      <c r="X263" s="83">
        <v>0</v>
      </c>
      <c r="Y263" s="83">
        <v>0</v>
      </c>
      <c r="Z263" s="84">
        <f>ROUND((IF(($O263&lt;=700000),0,IF(((VLOOKUP($M263,'Loyalty - Effec - 15July'!$B$5:$C$17,2,0)*$O263)&lt;=120000),(VLOOKUP($M263,'Loyalty - Effec - 15July'!$B$5:$C$17,2,0)*$O263),120000))),0)</f>
        <v>0</v>
      </c>
      <c r="AA263" s="84">
        <f>ROUND(VLOOKUP($M263,'Loyalty - Effec - 15July'!$B$5:$D$17,3,0)*$O263,0)</f>
        <v>0</v>
      </c>
      <c r="AB263" s="85">
        <f t="shared" si="152"/>
        <v>0</v>
      </c>
      <c r="AC263" s="86">
        <f t="shared" si="153"/>
        <v>0</v>
      </c>
      <c r="AD263" s="87">
        <f t="shared" si="154"/>
        <v>0</v>
      </c>
      <c r="AE263" s="88">
        <f t="shared" si="155"/>
        <v>0</v>
      </c>
      <c r="AF263" s="88">
        <f t="shared" si="156"/>
        <v>0</v>
      </c>
      <c r="AG263" s="49" t="s">
        <v>917</v>
      </c>
      <c r="AH263" s="49" t="s">
        <v>911</v>
      </c>
      <c r="AI263" s="50"/>
      <c r="AJ263" s="46"/>
      <c r="AK263" s="46"/>
      <c r="AL263" s="46"/>
      <c r="AM263" s="51">
        <f>IF($AL263=4,VLOOKUP($AR263,'Loyalty Incentive v1'!$L$3:$Q$15,2,FALSE),
IF($AL263=3,VLOOKUP($AR263,'Loyalty Incentive v1'!$L$3:$Q$15,3,FALSE),
IF($AL263=2,VLOOKUP($AR263,'Loyalty Incentive v1'!$L$3:$Q$15,4,FALSE),
IF($AL263=1,VLOOKUP($AR263,'Loyalty Incentive v1'!$L$3:$Q$15,5,FALSE),
IF($AL263=0,VLOOKUP($AR263,'Loyalty Incentive v1'!$L$3:$Q$15,6,FALSE),0)))))</f>
        <v>0</v>
      </c>
      <c r="AN263" s="51">
        <f>IFERROR(IF(I263&gt;="1",AM263,VLOOKUP(VALUE(I263),'Loyalty - Effec - 15July'!$I$5:$J$16,2,0)*AM263),0)</f>
        <v>0</v>
      </c>
      <c r="AO263" s="51">
        <v>0</v>
      </c>
      <c r="AP263" s="51">
        <f t="shared" si="157"/>
        <v>0</v>
      </c>
      <c r="AQ263" s="46" t="str">
        <f t="shared" si="169"/>
        <v>No</v>
      </c>
      <c r="AR263" s="46" t="str">
        <f t="shared" si="170"/>
        <v>AE4</v>
      </c>
      <c r="AS263" s="46" t="b">
        <f t="shared" si="171"/>
        <v>1</v>
      </c>
      <c r="AT263" s="82">
        <f t="shared" si="175"/>
        <v>0</v>
      </c>
      <c r="AU263" s="81">
        <f t="shared" si="158"/>
        <v>0</v>
      </c>
      <c r="AV263" s="81">
        <f t="shared" si="159"/>
        <v>0</v>
      </c>
      <c r="AW263" s="81">
        <f t="shared" si="160"/>
        <v>0</v>
      </c>
      <c r="AX263" s="85"/>
      <c r="AY263" s="81">
        <f t="shared" si="161"/>
        <v>0</v>
      </c>
      <c r="AZ263" s="83">
        <f t="shared" si="162"/>
        <v>0</v>
      </c>
      <c r="BA263" s="81">
        <f t="shared" si="163"/>
        <v>0</v>
      </c>
      <c r="BB263" s="83">
        <v>0</v>
      </c>
      <c r="BC263" s="83">
        <v>0</v>
      </c>
      <c r="BD263" s="83">
        <v>0</v>
      </c>
      <c r="BE263" s="84">
        <f>ROUND((IF(($AT263&lt;=700000),0,IF(((VLOOKUP($AR263,'Loyalty - Effec - 15July'!$B$5:$C$17,2,0)*$AT263)&lt;=120000),(VLOOKUP($AR263,'Loyalty - Effec - 15July'!$B$5:$C$17,2,0)*$AT263),120000))),0)</f>
        <v>0</v>
      </c>
      <c r="BF263" s="83">
        <f>ROUND(VLOOKUP($AR263,'Loyalty - Effec - 15July'!$B$5:$D$17,3,0)*$AT263,0)</f>
        <v>0</v>
      </c>
      <c r="BG263" s="85">
        <f t="shared" si="164"/>
        <v>0</v>
      </c>
      <c r="BH263" s="83">
        <f t="shared" si="165"/>
        <v>0</v>
      </c>
      <c r="BI263" s="85">
        <f t="shared" si="166"/>
        <v>0</v>
      </c>
      <c r="BJ263" s="85">
        <f t="shared" si="167"/>
        <v>0</v>
      </c>
      <c r="BK263" s="85">
        <f t="shared" si="168"/>
        <v>0</v>
      </c>
      <c r="BL263" s="85">
        <f t="shared" si="172"/>
        <v>0</v>
      </c>
      <c r="BM263" s="85">
        <f t="shared" si="173"/>
        <v>0</v>
      </c>
      <c r="BN263" s="85">
        <f t="shared" si="174"/>
        <v>0</v>
      </c>
      <c r="BO263" s="46" t="s">
        <v>85</v>
      </c>
      <c r="BP263" s="46"/>
      <c r="BQ263" s="46"/>
      <c r="BR263" s="47">
        <f t="shared" si="144"/>
        <v>0</v>
      </c>
      <c r="BU263" s="47">
        <f t="shared" si="176"/>
        <v>0</v>
      </c>
      <c r="BV263" s="53" t="s">
        <v>527</v>
      </c>
      <c r="BW263" s="53" t="s">
        <v>932</v>
      </c>
      <c r="BX263" s="53" t="s">
        <v>748</v>
      </c>
      <c r="BY263" s="53"/>
      <c r="BZ263" s="53"/>
    </row>
    <row r="264" spans="1:78">
      <c r="A264" s="42" t="s">
        <v>528</v>
      </c>
      <c r="B264" s="28" t="s">
        <v>79</v>
      </c>
      <c r="C264" s="28" t="s">
        <v>80</v>
      </c>
      <c r="D264" s="28" t="s">
        <v>932</v>
      </c>
      <c r="E264" s="52" t="s">
        <v>184</v>
      </c>
      <c r="F264" s="28" t="s">
        <v>901</v>
      </c>
      <c r="G264" s="44" t="s">
        <v>749</v>
      </c>
      <c r="H264" s="45">
        <v>44963</v>
      </c>
      <c r="I264" s="46" t="s">
        <v>1004</v>
      </c>
      <c r="J264" s="28">
        <v>0</v>
      </c>
      <c r="K264" s="28" t="s">
        <v>413</v>
      </c>
      <c r="L264" s="28" t="s">
        <v>880</v>
      </c>
      <c r="M264" s="28" t="s">
        <v>1</v>
      </c>
      <c r="N264" s="28" t="str">
        <f t="shared" si="145"/>
        <v>AE3</v>
      </c>
      <c r="O264" s="81"/>
      <c r="P264" s="81">
        <f t="shared" si="146"/>
        <v>0</v>
      </c>
      <c r="Q264" s="81">
        <f t="shared" si="147"/>
        <v>0</v>
      </c>
      <c r="R264" s="81">
        <f t="shared" si="148"/>
        <v>0</v>
      </c>
      <c r="S264" s="81"/>
      <c r="T264" s="82">
        <f t="shared" si="149"/>
        <v>0</v>
      </c>
      <c r="U264" s="82">
        <f t="shared" si="150"/>
        <v>0</v>
      </c>
      <c r="V264" s="82">
        <f t="shared" si="151"/>
        <v>0</v>
      </c>
      <c r="W264" s="83">
        <v>0</v>
      </c>
      <c r="X264" s="83">
        <v>0</v>
      </c>
      <c r="Y264" s="83">
        <v>0</v>
      </c>
      <c r="Z264" s="84">
        <f>ROUND((IF(($O264&lt;=700000),0,IF(((VLOOKUP($M264,'Loyalty - Effec - 15July'!$B$5:$C$17,2,0)*$O264)&lt;=120000),(VLOOKUP($M264,'Loyalty - Effec - 15July'!$B$5:$C$17,2,0)*$O264),120000))),0)</f>
        <v>0</v>
      </c>
      <c r="AA264" s="84">
        <f>ROUND(VLOOKUP($M264,'Loyalty - Effec - 15July'!$B$5:$D$17,3,0)*$O264,0)</f>
        <v>0</v>
      </c>
      <c r="AB264" s="85">
        <f t="shared" si="152"/>
        <v>0</v>
      </c>
      <c r="AC264" s="86">
        <f t="shared" si="153"/>
        <v>0</v>
      </c>
      <c r="AD264" s="87">
        <f t="shared" si="154"/>
        <v>0</v>
      </c>
      <c r="AE264" s="88">
        <f t="shared" si="155"/>
        <v>0</v>
      </c>
      <c r="AF264" s="88">
        <f t="shared" si="156"/>
        <v>0</v>
      </c>
      <c r="AG264" s="49" t="s">
        <v>921</v>
      </c>
      <c r="AH264" s="49" t="s">
        <v>120</v>
      </c>
      <c r="AI264" s="50"/>
      <c r="AJ264" s="46"/>
      <c r="AK264" s="46"/>
      <c r="AL264" s="46"/>
      <c r="AM264" s="51">
        <f>IF($AL264=4,VLOOKUP($AR264,'Loyalty Incentive v1'!$L$3:$Q$15,2,FALSE),
IF($AL264=3,VLOOKUP($AR264,'Loyalty Incentive v1'!$L$3:$Q$15,3,FALSE),
IF($AL264=2,VLOOKUP($AR264,'Loyalty Incentive v1'!$L$3:$Q$15,4,FALSE),
IF($AL264=1,VLOOKUP($AR264,'Loyalty Incentive v1'!$L$3:$Q$15,5,FALSE),
IF($AL264=0,VLOOKUP($AR264,'Loyalty Incentive v1'!$L$3:$Q$15,6,FALSE),0)))))</f>
        <v>0</v>
      </c>
      <c r="AN264" s="51">
        <f>IFERROR(IF(I264&gt;="1",AM264,VLOOKUP(VALUE(I264),'Loyalty - Effec - 15July'!$I$5:$J$16,2,0)*AM264),0)</f>
        <v>0</v>
      </c>
      <c r="AO264" s="51">
        <v>0</v>
      </c>
      <c r="AP264" s="51">
        <f t="shared" si="157"/>
        <v>0</v>
      </c>
      <c r="AQ264" s="46" t="str">
        <f t="shared" si="169"/>
        <v>No</v>
      </c>
      <c r="AR264" s="46" t="str">
        <f t="shared" si="170"/>
        <v>AE3</v>
      </c>
      <c r="AS264" s="46" t="b">
        <f t="shared" si="171"/>
        <v>1</v>
      </c>
      <c r="AT264" s="82">
        <f t="shared" si="175"/>
        <v>0</v>
      </c>
      <c r="AU264" s="81">
        <f t="shared" si="158"/>
        <v>0</v>
      </c>
      <c r="AV264" s="81">
        <f t="shared" si="159"/>
        <v>0</v>
      </c>
      <c r="AW264" s="81">
        <f t="shared" si="160"/>
        <v>0</v>
      </c>
      <c r="AX264" s="85"/>
      <c r="AY264" s="81">
        <f t="shared" si="161"/>
        <v>0</v>
      </c>
      <c r="AZ264" s="83">
        <f t="shared" si="162"/>
        <v>0</v>
      </c>
      <c r="BA264" s="81">
        <f t="shared" si="163"/>
        <v>0</v>
      </c>
      <c r="BB264" s="83">
        <v>0</v>
      </c>
      <c r="BC264" s="83">
        <v>0</v>
      </c>
      <c r="BD264" s="83">
        <v>0</v>
      </c>
      <c r="BE264" s="84">
        <f>ROUND((IF(($AT264&lt;=700000),0,IF(((VLOOKUP($AR264,'Loyalty - Effec - 15July'!$B$5:$C$17,2,0)*$AT264)&lt;=120000),(VLOOKUP($AR264,'Loyalty - Effec - 15July'!$B$5:$C$17,2,0)*$AT264),120000))),0)</f>
        <v>0</v>
      </c>
      <c r="BF264" s="83">
        <f>ROUND(VLOOKUP($AR264,'Loyalty - Effec - 15July'!$B$5:$D$17,3,0)*$AT264,0)</f>
        <v>0</v>
      </c>
      <c r="BG264" s="85">
        <f t="shared" si="164"/>
        <v>0</v>
      </c>
      <c r="BH264" s="83">
        <f t="shared" si="165"/>
        <v>0</v>
      </c>
      <c r="BI264" s="85">
        <f t="shared" si="166"/>
        <v>0</v>
      </c>
      <c r="BJ264" s="85">
        <f t="shared" si="167"/>
        <v>0</v>
      </c>
      <c r="BK264" s="85">
        <f t="shared" si="168"/>
        <v>0</v>
      </c>
      <c r="BL264" s="85">
        <f t="shared" si="172"/>
        <v>0</v>
      </c>
      <c r="BM264" s="85">
        <f t="shared" si="173"/>
        <v>0</v>
      </c>
      <c r="BN264" s="85">
        <f t="shared" si="174"/>
        <v>0</v>
      </c>
      <c r="BO264" s="46" t="s">
        <v>85</v>
      </c>
      <c r="BP264" s="46"/>
      <c r="BQ264" s="46"/>
      <c r="BR264" s="47">
        <f t="shared" si="144"/>
        <v>0</v>
      </c>
      <c r="BU264" s="47">
        <f t="shared" si="176"/>
        <v>0</v>
      </c>
      <c r="BV264" s="53" t="s">
        <v>528</v>
      </c>
      <c r="BW264" s="53" t="s">
        <v>932</v>
      </c>
      <c r="BX264" s="53" t="s">
        <v>749</v>
      </c>
      <c r="BY264" s="53"/>
      <c r="BZ264" s="53"/>
    </row>
    <row r="265" spans="1:78">
      <c r="A265" s="42" t="s">
        <v>529</v>
      </c>
      <c r="B265" s="28" t="s">
        <v>79</v>
      </c>
      <c r="C265" s="28" t="s">
        <v>80</v>
      </c>
      <c r="D265" s="28" t="s">
        <v>932</v>
      </c>
      <c r="E265" s="52" t="s">
        <v>184</v>
      </c>
      <c r="F265" s="28" t="s">
        <v>901</v>
      </c>
      <c r="G265" s="44" t="s">
        <v>750</v>
      </c>
      <c r="H265" s="45">
        <v>44963</v>
      </c>
      <c r="I265" s="46" t="s">
        <v>1004</v>
      </c>
      <c r="J265" s="28">
        <v>0</v>
      </c>
      <c r="K265" s="28" t="s">
        <v>413</v>
      </c>
      <c r="L265" s="28" t="s">
        <v>880</v>
      </c>
      <c r="M265" s="28" t="s">
        <v>9</v>
      </c>
      <c r="N265" s="28" t="str">
        <f t="shared" si="145"/>
        <v>AE1</v>
      </c>
      <c r="O265" s="81"/>
      <c r="P265" s="81">
        <f t="shared" si="146"/>
        <v>0</v>
      </c>
      <c r="Q265" s="81">
        <f t="shared" si="147"/>
        <v>0</v>
      </c>
      <c r="R265" s="81">
        <f t="shared" si="148"/>
        <v>0</v>
      </c>
      <c r="S265" s="81"/>
      <c r="T265" s="82">
        <f t="shared" si="149"/>
        <v>0</v>
      </c>
      <c r="U265" s="82">
        <f t="shared" si="150"/>
        <v>0</v>
      </c>
      <c r="V265" s="82">
        <f t="shared" si="151"/>
        <v>0</v>
      </c>
      <c r="W265" s="83">
        <v>0</v>
      </c>
      <c r="X265" s="83">
        <v>0</v>
      </c>
      <c r="Y265" s="83">
        <v>0</v>
      </c>
      <c r="Z265" s="84">
        <f>ROUND((IF(($O265&lt;=700000),0,IF(((VLOOKUP($M265,'Loyalty - Effec - 15July'!$B$5:$C$17,2,0)*$O265)&lt;=120000),(VLOOKUP($M265,'Loyalty - Effec - 15July'!$B$5:$C$17,2,0)*$O265),120000))),0)</f>
        <v>0</v>
      </c>
      <c r="AA265" s="84">
        <f>ROUND(VLOOKUP($M265,'Loyalty - Effec - 15July'!$B$5:$D$17,3,0)*$O265,0)</f>
        <v>0</v>
      </c>
      <c r="AB265" s="85">
        <f t="shared" si="152"/>
        <v>0</v>
      </c>
      <c r="AC265" s="86">
        <f t="shared" si="153"/>
        <v>0</v>
      </c>
      <c r="AD265" s="87">
        <f t="shared" si="154"/>
        <v>0</v>
      </c>
      <c r="AE265" s="88">
        <f t="shared" si="155"/>
        <v>0</v>
      </c>
      <c r="AF265" s="88">
        <f t="shared" si="156"/>
        <v>0</v>
      </c>
      <c r="AG265" s="49" t="s">
        <v>251</v>
      </c>
      <c r="AH265" s="49" t="s">
        <v>126</v>
      </c>
      <c r="AI265" s="50"/>
      <c r="AJ265" s="46"/>
      <c r="AK265" s="46"/>
      <c r="AL265" s="46"/>
      <c r="AM265" s="51">
        <f>IF($AL265=4,VLOOKUP($AR265,'Loyalty Incentive v1'!$L$3:$Q$15,2,FALSE),
IF($AL265=3,VLOOKUP($AR265,'Loyalty Incentive v1'!$L$3:$Q$15,3,FALSE),
IF($AL265=2,VLOOKUP($AR265,'Loyalty Incentive v1'!$L$3:$Q$15,4,FALSE),
IF($AL265=1,VLOOKUP($AR265,'Loyalty Incentive v1'!$L$3:$Q$15,5,FALSE),
IF($AL265=0,VLOOKUP($AR265,'Loyalty Incentive v1'!$L$3:$Q$15,6,FALSE),0)))))</f>
        <v>0</v>
      </c>
      <c r="AN265" s="51">
        <f>IFERROR(IF(I265&gt;="1",AM265,VLOOKUP(VALUE(I265),'Loyalty - Effec - 15July'!$I$5:$J$16,2,0)*AM265),0)</f>
        <v>0</v>
      </c>
      <c r="AO265" s="51">
        <v>0</v>
      </c>
      <c r="AP265" s="51">
        <f t="shared" si="157"/>
        <v>0</v>
      </c>
      <c r="AQ265" s="46" t="str">
        <f t="shared" si="169"/>
        <v>No</v>
      </c>
      <c r="AR265" s="46" t="str">
        <f t="shared" si="170"/>
        <v>AE1</v>
      </c>
      <c r="AS265" s="46" t="b">
        <f t="shared" si="171"/>
        <v>1</v>
      </c>
      <c r="AT265" s="82">
        <f t="shared" si="175"/>
        <v>0</v>
      </c>
      <c r="AU265" s="81">
        <f t="shared" si="158"/>
        <v>0</v>
      </c>
      <c r="AV265" s="81">
        <f t="shared" si="159"/>
        <v>0</v>
      </c>
      <c r="AW265" s="81">
        <f t="shared" si="160"/>
        <v>0</v>
      </c>
      <c r="AX265" s="85"/>
      <c r="AY265" s="81">
        <f t="shared" si="161"/>
        <v>0</v>
      </c>
      <c r="AZ265" s="83">
        <f t="shared" si="162"/>
        <v>0</v>
      </c>
      <c r="BA265" s="81">
        <f t="shared" si="163"/>
        <v>0</v>
      </c>
      <c r="BB265" s="83">
        <v>0</v>
      </c>
      <c r="BC265" s="83">
        <v>0</v>
      </c>
      <c r="BD265" s="83">
        <v>0</v>
      </c>
      <c r="BE265" s="84">
        <f>ROUND((IF(($AT265&lt;=700000),0,IF(((VLOOKUP($AR265,'Loyalty - Effec - 15July'!$B$5:$C$17,2,0)*$AT265)&lt;=120000),(VLOOKUP($AR265,'Loyalty - Effec - 15July'!$B$5:$C$17,2,0)*$AT265),120000))),0)</f>
        <v>0</v>
      </c>
      <c r="BF265" s="83">
        <f>ROUND(VLOOKUP($AR265,'Loyalty - Effec - 15July'!$B$5:$D$17,3,0)*$AT265,0)</f>
        <v>0</v>
      </c>
      <c r="BG265" s="85">
        <f t="shared" si="164"/>
        <v>0</v>
      </c>
      <c r="BH265" s="83">
        <f t="shared" si="165"/>
        <v>0</v>
      </c>
      <c r="BI265" s="85">
        <f t="shared" si="166"/>
        <v>0</v>
      </c>
      <c r="BJ265" s="85">
        <f t="shared" si="167"/>
        <v>0</v>
      </c>
      <c r="BK265" s="85">
        <f t="shared" si="168"/>
        <v>0</v>
      </c>
      <c r="BL265" s="85">
        <f t="shared" si="172"/>
        <v>0</v>
      </c>
      <c r="BM265" s="85">
        <f t="shared" si="173"/>
        <v>0</v>
      </c>
      <c r="BN265" s="85">
        <f t="shared" si="174"/>
        <v>0</v>
      </c>
      <c r="BO265" s="46" t="s">
        <v>85</v>
      </c>
      <c r="BP265" s="46"/>
      <c r="BQ265" s="46"/>
      <c r="BR265" s="47">
        <f t="shared" si="144"/>
        <v>0</v>
      </c>
      <c r="BU265" s="47">
        <f t="shared" si="176"/>
        <v>0</v>
      </c>
      <c r="BV265" s="53" t="s">
        <v>529</v>
      </c>
      <c r="BW265" s="53" t="s">
        <v>932</v>
      </c>
      <c r="BX265" s="53" t="s">
        <v>750</v>
      </c>
      <c r="BY265" s="53"/>
      <c r="BZ265" s="53"/>
    </row>
    <row r="266" spans="1:78">
      <c r="A266" s="42" t="s">
        <v>530</v>
      </c>
      <c r="B266" s="28" t="s">
        <v>79</v>
      </c>
      <c r="C266" s="28" t="s">
        <v>80</v>
      </c>
      <c r="D266" s="28" t="s">
        <v>932</v>
      </c>
      <c r="E266" s="52" t="s">
        <v>184</v>
      </c>
      <c r="F266" s="28" t="s">
        <v>901</v>
      </c>
      <c r="G266" s="44" t="s">
        <v>751</v>
      </c>
      <c r="H266" s="45">
        <v>44963</v>
      </c>
      <c r="I266" s="46" t="s">
        <v>1004</v>
      </c>
      <c r="J266" s="28">
        <v>0</v>
      </c>
      <c r="K266" s="28" t="s">
        <v>413</v>
      </c>
      <c r="L266" s="28" t="s">
        <v>880</v>
      </c>
      <c r="M266" s="28" t="s">
        <v>9</v>
      </c>
      <c r="N266" s="28" t="str">
        <f t="shared" si="145"/>
        <v>AE1</v>
      </c>
      <c r="O266" s="81"/>
      <c r="P266" s="81">
        <f t="shared" si="146"/>
        <v>0</v>
      </c>
      <c r="Q266" s="81">
        <f t="shared" si="147"/>
        <v>0</v>
      </c>
      <c r="R266" s="81">
        <f t="shared" si="148"/>
        <v>0</v>
      </c>
      <c r="S266" s="81"/>
      <c r="T266" s="82">
        <f t="shared" si="149"/>
        <v>0</v>
      </c>
      <c r="U266" s="82">
        <f t="shared" si="150"/>
        <v>0</v>
      </c>
      <c r="V266" s="82">
        <f t="shared" si="151"/>
        <v>0</v>
      </c>
      <c r="W266" s="83">
        <v>0</v>
      </c>
      <c r="X266" s="83">
        <v>0</v>
      </c>
      <c r="Y266" s="83">
        <v>0</v>
      </c>
      <c r="Z266" s="84">
        <f>ROUND((IF(($O266&lt;=700000),0,IF(((VLOOKUP($M266,'Loyalty - Effec - 15July'!$B$5:$C$17,2,0)*$O266)&lt;=120000),(VLOOKUP($M266,'Loyalty - Effec - 15July'!$B$5:$C$17,2,0)*$O266),120000))),0)</f>
        <v>0</v>
      </c>
      <c r="AA266" s="84">
        <f>ROUND(VLOOKUP($M266,'Loyalty - Effec - 15July'!$B$5:$D$17,3,0)*$O266,0)</f>
        <v>0</v>
      </c>
      <c r="AB266" s="85">
        <f t="shared" si="152"/>
        <v>0</v>
      </c>
      <c r="AC266" s="86">
        <f t="shared" si="153"/>
        <v>0</v>
      </c>
      <c r="AD266" s="87">
        <f t="shared" si="154"/>
        <v>0</v>
      </c>
      <c r="AE266" s="88">
        <f t="shared" si="155"/>
        <v>0</v>
      </c>
      <c r="AF266" s="88">
        <f t="shared" si="156"/>
        <v>0</v>
      </c>
      <c r="AG266" s="49" t="s">
        <v>653</v>
      </c>
      <c r="AH266" s="49" t="s">
        <v>126</v>
      </c>
      <c r="AI266" s="50"/>
      <c r="AJ266" s="46"/>
      <c r="AK266" s="46"/>
      <c r="AL266" s="46"/>
      <c r="AM266" s="51">
        <f>IF($AL266=4,VLOOKUP($AR266,'Loyalty Incentive v1'!$L$3:$Q$15,2,FALSE),
IF($AL266=3,VLOOKUP($AR266,'Loyalty Incentive v1'!$L$3:$Q$15,3,FALSE),
IF($AL266=2,VLOOKUP($AR266,'Loyalty Incentive v1'!$L$3:$Q$15,4,FALSE),
IF($AL266=1,VLOOKUP($AR266,'Loyalty Incentive v1'!$L$3:$Q$15,5,FALSE),
IF($AL266=0,VLOOKUP($AR266,'Loyalty Incentive v1'!$L$3:$Q$15,6,FALSE),0)))))</f>
        <v>0</v>
      </c>
      <c r="AN266" s="51">
        <f>IFERROR(IF(I266&gt;="1",AM266,VLOOKUP(VALUE(I266),'Loyalty - Effec - 15July'!$I$5:$J$16,2,0)*AM266),0)</f>
        <v>0</v>
      </c>
      <c r="AO266" s="51">
        <v>0</v>
      </c>
      <c r="AP266" s="51">
        <f t="shared" si="157"/>
        <v>0</v>
      </c>
      <c r="AQ266" s="46" t="str">
        <f t="shared" si="169"/>
        <v>No</v>
      </c>
      <c r="AR266" s="46" t="str">
        <f t="shared" si="170"/>
        <v>AE1</v>
      </c>
      <c r="AS266" s="46" t="b">
        <f t="shared" si="171"/>
        <v>1</v>
      </c>
      <c r="AT266" s="82">
        <f t="shared" si="175"/>
        <v>0</v>
      </c>
      <c r="AU266" s="81">
        <f t="shared" si="158"/>
        <v>0</v>
      </c>
      <c r="AV266" s="81">
        <f t="shared" si="159"/>
        <v>0</v>
      </c>
      <c r="AW266" s="81">
        <f t="shared" si="160"/>
        <v>0</v>
      </c>
      <c r="AX266" s="85"/>
      <c r="AY266" s="81">
        <f t="shared" si="161"/>
        <v>0</v>
      </c>
      <c r="AZ266" s="83">
        <f t="shared" si="162"/>
        <v>0</v>
      </c>
      <c r="BA266" s="81">
        <f t="shared" si="163"/>
        <v>0</v>
      </c>
      <c r="BB266" s="83">
        <v>0</v>
      </c>
      <c r="BC266" s="83">
        <v>0</v>
      </c>
      <c r="BD266" s="83">
        <v>0</v>
      </c>
      <c r="BE266" s="84">
        <f>ROUND((IF(($AT266&lt;=700000),0,IF(((VLOOKUP($AR266,'Loyalty - Effec - 15July'!$B$5:$C$17,2,0)*$AT266)&lt;=120000),(VLOOKUP($AR266,'Loyalty - Effec - 15July'!$B$5:$C$17,2,0)*$AT266),120000))),0)</f>
        <v>0</v>
      </c>
      <c r="BF266" s="83">
        <f>ROUND(VLOOKUP($AR266,'Loyalty - Effec - 15July'!$B$5:$D$17,3,0)*$AT266,0)</f>
        <v>0</v>
      </c>
      <c r="BG266" s="85">
        <f t="shared" si="164"/>
        <v>0</v>
      </c>
      <c r="BH266" s="83">
        <f t="shared" si="165"/>
        <v>0</v>
      </c>
      <c r="BI266" s="85">
        <f t="shared" si="166"/>
        <v>0</v>
      </c>
      <c r="BJ266" s="85">
        <f t="shared" si="167"/>
        <v>0</v>
      </c>
      <c r="BK266" s="85">
        <f t="shared" si="168"/>
        <v>0</v>
      </c>
      <c r="BL266" s="85">
        <f t="shared" si="172"/>
        <v>0</v>
      </c>
      <c r="BM266" s="85">
        <f t="shared" si="173"/>
        <v>0</v>
      </c>
      <c r="BN266" s="85">
        <f t="shared" si="174"/>
        <v>0</v>
      </c>
      <c r="BO266" s="46" t="s">
        <v>85</v>
      </c>
      <c r="BP266" s="46"/>
      <c r="BQ266" s="46"/>
      <c r="BR266" s="47">
        <f t="shared" si="144"/>
        <v>0</v>
      </c>
      <c r="BU266" s="47">
        <f t="shared" si="176"/>
        <v>0</v>
      </c>
      <c r="BV266" s="53" t="s">
        <v>530</v>
      </c>
      <c r="BW266" s="53" t="s">
        <v>932</v>
      </c>
      <c r="BX266" s="53" t="s">
        <v>751</v>
      </c>
      <c r="BY266" s="53"/>
      <c r="BZ266" s="53"/>
    </row>
    <row r="267" spans="1:78">
      <c r="A267" s="42" t="s">
        <v>531</v>
      </c>
      <c r="B267" s="28" t="s">
        <v>79</v>
      </c>
      <c r="C267" s="28" t="s">
        <v>80</v>
      </c>
      <c r="D267" s="28" t="s">
        <v>932</v>
      </c>
      <c r="E267" s="28" t="s">
        <v>82</v>
      </c>
      <c r="F267" s="28" t="s">
        <v>901</v>
      </c>
      <c r="G267" s="44" t="s">
        <v>752</v>
      </c>
      <c r="H267" s="45">
        <v>44963</v>
      </c>
      <c r="I267" s="46" t="s">
        <v>1004</v>
      </c>
      <c r="J267" s="28">
        <v>2</v>
      </c>
      <c r="K267" s="28" t="s">
        <v>407</v>
      </c>
      <c r="L267" s="28" t="s">
        <v>868</v>
      </c>
      <c r="M267" s="28" t="s">
        <v>9</v>
      </c>
      <c r="N267" s="28" t="str">
        <f t="shared" si="145"/>
        <v>AE1</v>
      </c>
      <c r="O267" s="81"/>
      <c r="P267" s="81">
        <f t="shared" si="146"/>
        <v>0</v>
      </c>
      <c r="Q267" s="81">
        <f t="shared" si="147"/>
        <v>0</v>
      </c>
      <c r="R267" s="81">
        <f t="shared" si="148"/>
        <v>0</v>
      </c>
      <c r="S267" s="81"/>
      <c r="T267" s="82">
        <f t="shared" si="149"/>
        <v>0</v>
      </c>
      <c r="U267" s="82">
        <f t="shared" si="150"/>
        <v>0</v>
      </c>
      <c r="V267" s="82">
        <f t="shared" si="151"/>
        <v>0</v>
      </c>
      <c r="W267" s="83">
        <v>0</v>
      </c>
      <c r="X267" s="83">
        <v>0</v>
      </c>
      <c r="Y267" s="83">
        <v>0</v>
      </c>
      <c r="Z267" s="84">
        <f>ROUND((IF(($O267&lt;=700000),0,IF(((VLOOKUP($M267,'Loyalty - Effec - 15July'!$B$5:$C$17,2,0)*$O267)&lt;=120000),(VLOOKUP($M267,'Loyalty - Effec - 15July'!$B$5:$C$17,2,0)*$O267),120000))),0)</f>
        <v>0</v>
      </c>
      <c r="AA267" s="84">
        <f>ROUND(VLOOKUP($M267,'Loyalty - Effec - 15July'!$B$5:$D$17,3,0)*$O267,0)</f>
        <v>0</v>
      </c>
      <c r="AB267" s="85">
        <f t="shared" si="152"/>
        <v>0</v>
      </c>
      <c r="AC267" s="86">
        <f t="shared" si="153"/>
        <v>0</v>
      </c>
      <c r="AD267" s="87">
        <f t="shared" si="154"/>
        <v>0</v>
      </c>
      <c r="AE267" s="88">
        <f t="shared" si="155"/>
        <v>0</v>
      </c>
      <c r="AF267" s="88">
        <f t="shared" si="156"/>
        <v>0</v>
      </c>
      <c r="AG267" s="49" t="s">
        <v>163</v>
      </c>
      <c r="AH267" s="49" t="s">
        <v>912</v>
      </c>
      <c r="AI267" s="50"/>
      <c r="AJ267" s="46"/>
      <c r="AK267" s="46"/>
      <c r="AL267" s="46"/>
      <c r="AM267" s="51">
        <f>IF($AL267=4,VLOOKUP($AR267,'Loyalty Incentive v1'!$L$3:$Q$15,2,FALSE),
IF($AL267=3,VLOOKUP($AR267,'Loyalty Incentive v1'!$L$3:$Q$15,3,FALSE),
IF($AL267=2,VLOOKUP($AR267,'Loyalty Incentive v1'!$L$3:$Q$15,4,FALSE),
IF($AL267=1,VLOOKUP($AR267,'Loyalty Incentive v1'!$L$3:$Q$15,5,FALSE),
IF($AL267=0,VLOOKUP($AR267,'Loyalty Incentive v1'!$L$3:$Q$15,6,FALSE),0)))))</f>
        <v>0</v>
      </c>
      <c r="AN267" s="51">
        <f>IFERROR(IF(I267&gt;="1",AM267,VLOOKUP(VALUE(I267),'Loyalty - Effec - 15July'!$I$5:$J$16,2,0)*AM267),0)</f>
        <v>0</v>
      </c>
      <c r="AO267" s="51">
        <v>0</v>
      </c>
      <c r="AP267" s="51">
        <f t="shared" si="157"/>
        <v>0</v>
      </c>
      <c r="AQ267" s="46" t="str">
        <f t="shared" si="169"/>
        <v>No</v>
      </c>
      <c r="AR267" s="46" t="str">
        <f t="shared" si="170"/>
        <v>AE1</v>
      </c>
      <c r="AS267" s="46" t="b">
        <f t="shared" si="171"/>
        <v>1</v>
      </c>
      <c r="AT267" s="82">
        <f t="shared" si="175"/>
        <v>0</v>
      </c>
      <c r="AU267" s="81">
        <f t="shared" si="158"/>
        <v>0</v>
      </c>
      <c r="AV267" s="81">
        <f t="shared" si="159"/>
        <v>0</v>
      </c>
      <c r="AW267" s="81">
        <f t="shared" si="160"/>
        <v>0</v>
      </c>
      <c r="AX267" s="85"/>
      <c r="AY267" s="81">
        <f t="shared" si="161"/>
        <v>0</v>
      </c>
      <c r="AZ267" s="83">
        <f t="shared" si="162"/>
        <v>0</v>
      </c>
      <c r="BA267" s="81">
        <f t="shared" si="163"/>
        <v>0</v>
      </c>
      <c r="BB267" s="83">
        <v>0</v>
      </c>
      <c r="BC267" s="83">
        <v>0</v>
      </c>
      <c r="BD267" s="83">
        <v>0</v>
      </c>
      <c r="BE267" s="84">
        <f>ROUND((IF(($AT267&lt;=700000),0,IF(((VLOOKUP($AR267,'Loyalty - Effec - 15July'!$B$5:$C$17,2,0)*$AT267)&lt;=120000),(VLOOKUP($AR267,'Loyalty - Effec - 15July'!$B$5:$C$17,2,0)*$AT267),120000))),0)</f>
        <v>0</v>
      </c>
      <c r="BF267" s="83">
        <f>ROUND(VLOOKUP($AR267,'Loyalty - Effec - 15July'!$B$5:$D$17,3,0)*$AT267,0)</f>
        <v>0</v>
      </c>
      <c r="BG267" s="85">
        <f t="shared" si="164"/>
        <v>0</v>
      </c>
      <c r="BH267" s="83">
        <f t="shared" si="165"/>
        <v>0</v>
      </c>
      <c r="BI267" s="85">
        <f t="shared" si="166"/>
        <v>0</v>
      </c>
      <c r="BJ267" s="85">
        <f t="shared" si="167"/>
        <v>0</v>
      </c>
      <c r="BK267" s="85">
        <f t="shared" si="168"/>
        <v>0</v>
      </c>
      <c r="BL267" s="85">
        <f t="shared" si="172"/>
        <v>0</v>
      </c>
      <c r="BM267" s="85">
        <f t="shared" si="173"/>
        <v>0</v>
      </c>
      <c r="BN267" s="85">
        <f t="shared" si="174"/>
        <v>0</v>
      </c>
      <c r="BO267" s="46" t="s">
        <v>85</v>
      </c>
      <c r="BP267" s="46"/>
      <c r="BQ267" s="46"/>
      <c r="BR267" s="47">
        <f t="shared" si="144"/>
        <v>0</v>
      </c>
      <c r="BU267" s="47">
        <f t="shared" si="176"/>
        <v>0</v>
      </c>
      <c r="BV267" s="53" t="s">
        <v>531</v>
      </c>
      <c r="BW267" s="53" t="s">
        <v>932</v>
      </c>
      <c r="BX267" s="53" t="s">
        <v>752</v>
      </c>
      <c r="BY267" s="53"/>
      <c r="BZ267" s="53"/>
    </row>
    <row r="268" spans="1:78">
      <c r="A268" s="42" t="s">
        <v>532</v>
      </c>
      <c r="B268" s="28" t="s">
        <v>79</v>
      </c>
      <c r="C268" s="28" t="s">
        <v>80</v>
      </c>
      <c r="D268" s="28" t="s">
        <v>932</v>
      </c>
      <c r="F268" s="28" t="s">
        <v>901</v>
      </c>
      <c r="G268" s="44" t="s">
        <v>753</v>
      </c>
      <c r="H268" s="45">
        <v>44963</v>
      </c>
      <c r="I268" s="46" t="s">
        <v>1004</v>
      </c>
      <c r="J268" s="28">
        <v>2</v>
      </c>
      <c r="K268" s="28" t="s">
        <v>407</v>
      </c>
      <c r="L268" s="28" t="s">
        <v>868</v>
      </c>
      <c r="M268" s="28" t="s">
        <v>9</v>
      </c>
      <c r="N268" s="28" t="str">
        <f t="shared" si="145"/>
        <v>AE1</v>
      </c>
      <c r="O268" s="81"/>
      <c r="P268" s="81">
        <f t="shared" si="146"/>
        <v>0</v>
      </c>
      <c r="Q268" s="81">
        <f t="shared" si="147"/>
        <v>0</v>
      </c>
      <c r="R268" s="81">
        <f t="shared" si="148"/>
        <v>0</v>
      </c>
      <c r="S268" s="81"/>
      <c r="T268" s="82">
        <f t="shared" si="149"/>
        <v>0</v>
      </c>
      <c r="U268" s="82">
        <f t="shared" si="150"/>
        <v>0</v>
      </c>
      <c r="V268" s="82">
        <f t="shared" si="151"/>
        <v>0</v>
      </c>
      <c r="W268" s="83">
        <v>0</v>
      </c>
      <c r="X268" s="83">
        <v>0</v>
      </c>
      <c r="Y268" s="83">
        <v>0</v>
      </c>
      <c r="Z268" s="84">
        <f>ROUND((IF(($O268&lt;=700000),0,IF(((VLOOKUP($M268,'Loyalty - Effec - 15July'!$B$5:$C$17,2,0)*$O268)&lt;=120000),(VLOOKUP($M268,'Loyalty - Effec - 15July'!$B$5:$C$17,2,0)*$O268),120000))),0)</f>
        <v>0</v>
      </c>
      <c r="AA268" s="84">
        <f>ROUND(VLOOKUP($M268,'Loyalty - Effec - 15July'!$B$5:$D$17,3,0)*$O268,0)</f>
        <v>0</v>
      </c>
      <c r="AB268" s="85">
        <f t="shared" si="152"/>
        <v>0</v>
      </c>
      <c r="AC268" s="86">
        <f t="shared" si="153"/>
        <v>0</v>
      </c>
      <c r="AD268" s="87">
        <f t="shared" si="154"/>
        <v>0</v>
      </c>
      <c r="AE268" s="88">
        <f t="shared" si="155"/>
        <v>0</v>
      </c>
      <c r="AF268" s="88">
        <f t="shared" si="156"/>
        <v>0</v>
      </c>
      <c r="AG268" s="49" t="s">
        <v>249</v>
      </c>
      <c r="AH268" s="49" t="s">
        <v>912</v>
      </c>
      <c r="AI268" s="50"/>
      <c r="AJ268" s="46"/>
      <c r="AK268" s="46"/>
      <c r="AL268" s="46"/>
      <c r="AM268" s="51">
        <f>IF($AL268=4,VLOOKUP($AR268,'Loyalty Incentive v1'!$L$3:$Q$15,2,FALSE),
IF($AL268=3,VLOOKUP($AR268,'Loyalty Incentive v1'!$L$3:$Q$15,3,FALSE),
IF($AL268=2,VLOOKUP($AR268,'Loyalty Incentive v1'!$L$3:$Q$15,4,FALSE),
IF($AL268=1,VLOOKUP($AR268,'Loyalty Incentive v1'!$L$3:$Q$15,5,FALSE),
IF($AL268=0,VLOOKUP($AR268,'Loyalty Incentive v1'!$L$3:$Q$15,6,FALSE),0)))))</f>
        <v>0</v>
      </c>
      <c r="AN268" s="51">
        <f>IFERROR(IF(I268&gt;="1",AM268,VLOOKUP(VALUE(I268),'Loyalty - Effec - 15July'!$I$5:$J$16,2,0)*AM268),0)</f>
        <v>0</v>
      </c>
      <c r="AO268" s="51">
        <v>0</v>
      </c>
      <c r="AP268" s="51">
        <f t="shared" si="157"/>
        <v>0</v>
      </c>
      <c r="AQ268" s="46" t="str">
        <f t="shared" si="169"/>
        <v>No</v>
      </c>
      <c r="AR268" s="46" t="str">
        <f t="shared" si="170"/>
        <v>AE1</v>
      </c>
      <c r="AS268" s="46" t="b">
        <f t="shared" si="171"/>
        <v>1</v>
      </c>
      <c r="AT268" s="82">
        <f t="shared" si="175"/>
        <v>0</v>
      </c>
      <c r="AU268" s="81">
        <f t="shared" si="158"/>
        <v>0</v>
      </c>
      <c r="AV268" s="81">
        <f t="shared" si="159"/>
        <v>0</v>
      </c>
      <c r="AW268" s="81">
        <f t="shared" si="160"/>
        <v>0</v>
      </c>
      <c r="AX268" s="85"/>
      <c r="AY268" s="81">
        <f t="shared" si="161"/>
        <v>0</v>
      </c>
      <c r="AZ268" s="83">
        <f t="shared" si="162"/>
        <v>0</v>
      </c>
      <c r="BA268" s="81">
        <f t="shared" si="163"/>
        <v>0</v>
      </c>
      <c r="BB268" s="83">
        <v>0</v>
      </c>
      <c r="BC268" s="83">
        <v>0</v>
      </c>
      <c r="BD268" s="83">
        <v>0</v>
      </c>
      <c r="BE268" s="84">
        <f>ROUND((IF(($AT268&lt;=700000),0,IF(((VLOOKUP($AR268,'Loyalty - Effec - 15July'!$B$5:$C$17,2,0)*$AT268)&lt;=120000),(VLOOKUP($AR268,'Loyalty - Effec - 15July'!$B$5:$C$17,2,0)*$AT268),120000))),0)</f>
        <v>0</v>
      </c>
      <c r="BF268" s="83">
        <f>ROUND(VLOOKUP($AR268,'Loyalty - Effec - 15July'!$B$5:$D$17,3,0)*$AT268,0)</f>
        <v>0</v>
      </c>
      <c r="BG268" s="85">
        <f t="shared" si="164"/>
        <v>0</v>
      </c>
      <c r="BH268" s="83">
        <f t="shared" si="165"/>
        <v>0</v>
      </c>
      <c r="BI268" s="85">
        <f t="shared" si="166"/>
        <v>0</v>
      </c>
      <c r="BJ268" s="85">
        <f t="shared" si="167"/>
        <v>0</v>
      </c>
      <c r="BK268" s="85">
        <f t="shared" si="168"/>
        <v>0</v>
      </c>
      <c r="BL268" s="85">
        <f t="shared" si="172"/>
        <v>0</v>
      </c>
      <c r="BM268" s="85">
        <f t="shared" si="173"/>
        <v>0</v>
      </c>
      <c r="BN268" s="85">
        <f t="shared" si="174"/>
        <v>0</v>
      </c>
      <c r="BO268" s="46" t="s">
        <v>85</v>
      </c>
      <c r="BP268" s="46"/>
      <c r="BQ268" s="46"/>
      <c r="BU268" s="47">
        <f t="shared" si="176"/>
        <v>0</v>
      </c>
      <c r="BV268" s="53" t="s">
        <v>532</v>
      </c>
      <c r="BW268" s="53" t="s">
        <v>932</v>
      </c>
      <c r="BX268" s="53" t="s">
        <v>753</v>
      </c>
      <c r="BY268" s="53"/>
      <c r="BZ268" s="53"/>
    </row>
    <row r="269" spans="1:78">
      <c r="A269" s="42" t="s">
        <v>533</v>
      </c>
      <c r="B269" s="28" t="s">
        <v>79</v>
      </c>
      <c r="C269" s="28" t="s">
        <v>80</v>
      </c>
      <c r="D269" s="28" t="s">
        <v>932</v>
      </c>
      <c r="F269" s="28" t="s">
        <v>901</v>
      </c>
      <c r="G269" s="44" t="s">
        <v>754</v>
      </c>
      <c r="H269" s="45">
        <v>44963</v>
      </c>
      <c r="I269" s="46" t="s">
        <v>1004</v>
      </c>
      <c r="J269" s="28">
        <v>2</v>
      </c>
      <c r="K269" s="28" t="s">
        <v>407</v>
      </c>
      <c r="L269" s="28" t="s">
        <v>868</v>
      </c>
      <c r="M269" s="28" t="s">
        <v>9</v>
      </c>
      <c r="N269" s="28" t="str">
        <f t="shared" si="145"/>
        <v>AE1</v>
      </c>
      <c r="O269" s="81"/>
      <c r="P269" s="81">
        <f t="shared" si="146"/>
        <v>0</v>
      </c>
      <c r="Q269" s="81">
        <f t="shared" si="147"/>
        <v>0</v>
      </c>
      <c r="R269" s="81">
        <f t="shared" si="148"/>
        <v>0</v>
      </c>
      <c r="S269" s="81"/>
      <c r="T269" s="82">
        <f t="shared" si="149"/>
        <v>0</v>
      </c>
      <c r="U269" s="82">
        <f t="shared" si="150"/>
        <v>0</v>
      </c>
      <c r="V269" s="82">
        <f t="shared" si="151"/>
        <v>0</v>
      </c>
      <c r="W269" s="83">
        <v>0</v>
      </c>
      <c r="X269" s="83">
        <v>0</v>
      </c>
      <c r="Y269" s="83">
        <v>0</v>
      </c>
      <c r="Z269" s="84">
        <f>ROUND((IF(($O269&lt;=700000),0,IF(((VLOOKUP($M269,'Loyalty - Effec - 15July'!$B$5:$C$17,2,0)*$O269)&lt;=120000),(VLOOKUP($M269,'Loyalty - Effec - 15July'!$B$5:$C$17,2,0)*$O269),120000))),0)</f>
        <v>0</v>
      </c>
      <c r="AA269" s="84">
        <f>ROUND(VLOOKUP($M269,'Loyalty - Effec - 15July'!$B$5:$D$17,3,0)*$O269,0)</f>
        <v>0</v>
      </c>
      <c r="AB269" s="85">
        <f t="shared" si="152"/>
        <v>0</v>
      </c>
      <c r="AC269" s="86">
        <f t="shared" si="153"/>
        <v>0</v>
      </c>
      <c r="AD269" s="87">
        <f t="shared" si="154"/>
        <v>0</v>
      </c>
      <c r="AE269" s="88">
        <f t="shared" si="155"/>
        <v>0</v>
      </c>
      <c r="AF269" s="88">
        <f t="shared" si="156"/>
        <v>0</v>
      </c>
      <c r="AG269" s="49" t="s">
        <v>261</v>
      </c>
      <c r="AH269" s="49" t="s">
        <v>912</v>
      </c>
      <c r="AI269" s="50"/>
      <c r="AJ269" s="46"/>
      <c r="AK269" s="46"/>
      <c r="AL269" s="46"/>
      <c r="AM269" s="51">
        <f>IF($AL269=4,VLOOKUP($AR269,'Loyalty Incentive v1'!$L$3:$Q$15,2,FALSE),
IF($AL269=3,VLOOKUP($AR269,'Loyalty Incentive v1'!$L$3:$Q$15,3,FALSE),
IF($AL269=2,VLOOKUP($AR269,'Loyalty Incentive v1'!$L$3:$Q$15,4,FALSE),
IF($AL269=1,VLOOKUP($AR269,'Loyalty Incentive v1'!$L$3:$Q$15,5,FALSE),
IF($AL269=0,VLOOKUP($AR269,'Loyalty Incentive v1'!$L$3:$Q$15,6,FALSE),0)))))</f>
        <v>0</v>
      </c>
      <c r="AN269" s="51">
        <f>IFERROR(IF(I269&gt;="1",AM269,VLOOKUP(VALUE(I269),'Loyalty - Effec - 15July'!$I$5:$J$16,2,0)*AM269),0)</f>
        <v>0</v>
      </c>
      <c r="AO269" s="51">
        <v>0</v>
      </c>
      <c r="AP269" s="51">
        <f t="shared" si="157"/>
        <v>0</v>
      </c>
      <c r="AQ269" s="46" t="str">
        <f t="shared" si="169"/>
        <v>No</v>
      </c>
      <c r="AR269" s="46" t="str">
        <f t="shared" si="170"/>
        <v>AE1</v>
      </c>
      <c r="AS269" s="46" t="b">
        <f t="shared" si="171"/>
        <v>1</v>
      </c>
      <c r="AT269" s="82">
        <f t="shared" si="175"/>
        <v>0</v>
      </c>
      <c r="AU269" s="81">
        <f t="shared" si="158"/>
        <v>0</v>
      </c>
      <c r="AV269" s="81">
        <f t="shared" si="159"/>
        <v>0</v>
      </c>
      <c r="AW269" s="81">
        <f t="shared" si="160"/>
        <v>0</v>
      </c>
      <c r="AX269" s="85"/>
      <c r="AY269" s="81">
        <f t="shared" si="161"/>
        <v>0</v>
      </c>
      <c r="AZ269" s="83">
        <f t="shared" si="162"/>
        <v>0</v>
      </c>
      <c r="BA269" s="81">
        <f t="shared" si="163"/>
        <v>0</v>
      </c>
      <c r="BB269" s="83">
        <v>0</v>
      </c>
      <c r="BC269" s="83">
        <v>0</v>
      </c>
      <c r="BD269" s="83">
        <v>0</v>
      </c>
      <c r="BE269" s="84">
        <f>ROUND((IF(($AT269&lt;=700000),0,IF(((VLOOKUP($AR269,'Loyalty - Effec - 15July'!$B$5:$C$17,2,0)*$AT269)&lt;=120000),(VLOOKUP($AR269,'Loyalty - Effec - 15July'!$B$5:$C$17,2,0)*$AT269),120000))),0)</f>
        <v>0</v>
      </c>
      <c r="BF269" s="83">
        <f>ROUND(VLOOKUP($AR269,'Loyalty - Effec - 15July'!$B$5:$D$17,3,0)*$AT269,0)</f>
        <v>0</v>
      </c>
      <c r="BG269" s="85">
        <f t="shared" si="164"/>
        <v>0</v>
      </c>
      <c r="BH269" s="83">
        <f t="shared" si="165"/>
        <v>0</v>
      </c>
      <c r="BI269" s="85">
        <f t="shared" si="166"/>
        <v>0</v>
      </c>
      <c r="BJ269" s="85">
        <f t="shared" si="167"/>
        <v>0</v>
      </c>
      <c r="BK269" s="85">
        <f t="shared" si="168"/>
        <v>0</v>
      </c>
      <c r="BL269" s="85">
        <f t="shared" si="172"/>
        <v>0</v>
      </c>
      <c r="BM269" s="85">
        <f t="shared" si="173"/>
        <v>0</v>
      </c>
      <c r="BN269" s="85">
        <f t="shared" si="174"/>
        <v>0</v>
      </c>
      <c r="BO269" s="46" t="s">
        <v>85</v>
      </c>
      <c r="BP269" s="46"/>
      <c r="BQ269" s="46"/>
      <c r="BU269" s="47">
        <f t="shared" si="176"/>
        <v>0</v>
      </c>
      <c r="BV269" s="53" t="s">
        <v>533</v>
      </c>
      <c r="BW269" s="53" t="s">
        <v>932</v>
      </c>
      <c r="BX269" s="53" t="s">
        <v>754</v>
      </c>
      <c r="BY269" s="53"/>
      <c r="BZ269" s="53"/>
    </row>
    <row r="270" spans="1:78">
      <c r="A270" s="42" t="s">
        <v>534</v>
      </c>
      <c r="B270" s="28" t="s">
        <v>79</v>
      </c>
      <c r="C270" s="28" t="s">
        <v>80</v>
      </c>
      <c r="D270" s="28" t="s">
        <v>932</v>
      </c>
      <c r="F270" s="28" t="s">
        <v>901</v>
      </c>
      <c r="G270" s="44" t="s">
        <v>755</v>
      </c>
      <c r="H270" s="45">
        <v>44963</v>
      </c>
      <c r="I270" s="46" t="s">
        <v>1004</v>
      </c>
      <c r="J270" s="28">
        <v>2</v>
      </c>
      <c r="K270" s="28" t="s">
        <v>407</v>
      </c>
      <c r="L270" s="28" t="s">
        <v>868</v>
      </c>
      <c r="M270" s="28" t="s">
        <v>9</v>
      </c>
      <c r="N270" s="28" t="str">
        <f t="shared" si="145"/>
        <v>AE1</v>
      </c>
      <c r="O270" s="81"/>
      <c r="P270" s="81">
        <f t="shared" si="146"/>
        <v>0</v>
      </c>
      <c r="Q270" s="81">
        <f t="shared" si="147"/>
        <v>0</v>
      </c>
      <c r="R270" s="81">
        <f t="shared" si="148"/>
        <v>0</v>
      </c>
      <c r="S270" s="81"/>
      <c r="T270" s="82">
        <f t="shared" si="149"/>
        <v>0</v>
      </c>
      <c r="U270" s="82">
        <f t="shared" si="150"/>
        <v>0</v>
      </c>
      <c r="V270" s="82">
        <f t="shared" si="151"/>
        <v>0</v>
      </c>
      <c r="W270" s="83">
        <v>0</v>
      </c>
      <c r="X270" s="83">
        <v>0</v>
      </c>
      <c r="Y270" s="83">
        <v>0</v>
      </c>
      <c r="Z270" s="84">
        <f>ROUND((IF(($O270&lt;=700000),0,IF(((VLOOKUP($M270,'Loyalty - Effec - 15July'!$B$5:$C$17,2,0)*$O270)&lt;=120000),(VLOOKUP($M270,'Loyalty - Effec - 15July'!$B$5:$C$17,2,0)*$O270),120000))),0)</f>
        <v>0</v>
      </c>
      <c r="AA270" s="84">
        <f>ROUND(VLOOKUP($M270,'Loyalty - Effec - 15July'!$B$5:$D$17,3,0)*$O270,0)</f>
        <v>0</v>
      </c>
      <c r="AB270" s="85">
        <f t="shared" si="152"/>
        <v>0</v>
      </c>
      <c r="AC270" s="86">
        <f t="shared" si="153"/>
        <v>0</v>
      </c>
      <c r="AD270" s="87">
        <f t="shared" si="154"/>
        <v>0</v>
      </c>
      <c r="AE270" s="88">
        <f t="shared" si="155"/>
        <v>0</v>
      </c>
      <c r="AF270" s="88">
        <f t="shared" si="156"/>
        <v>0</v>
      </c>
      <c r="AG270" s="49" t="s">
        <v>249</v>
      </c>
      <c r="AH270" s="49" t="s">
        <v>912</v>
      </c>
      <c r="AI270" s="50"/>
      <c r="AJ270" s="46"/>
      <c r="AK270" s="46"/>
      <c r="AL270" s="46"/>
      <c r="AM270" s="51">
        <f>IF($AL270=4,VLOOKUP($AR270,'Loyalty Incentive v1'!$L$3:$Q$15,2,FALSE),
IF($AL270=3,VLOOKUP($AR270,'Loyalty Incentive v1'!$L$3:$Q$15,3,FALSE),
IF($AL270=2,VLOOKUP($AR270,'Loyalty Incentive v1'!$L$3:$Q$15,4,FALSE),
IF($AL270=1,VLOOKUP($AR270,'Loyalty Incentive v1'!$L$3:$Q$15,5,FALSE),
IF($AL270=0,VLOOKUP($AR270,'Loyalty Incentive v1'!$L$3:$Q$15,6,FALSE),0)))))</f>
        <v>0</v>
      </c>
      <c r="AN270" s="51">
        <f>IFERROR(IF(I270&gt;="1",AM270,VLOOKUP(VALUE(I270),'Loyalty - Effec - 15July'!$I$5:$J$16,2,0)*AM270),0)</f>
        <v>0</v>
      </c>
      <c r="AO270" s="51">
        <v>0</v>
      </c>
      <c r="AP270" s="51">
        <f t="shared" si="157"/>
        <v>0</v>
      </c>
      <c r="AQ270" s="46" t="str">
        <f t="shared" si="169"/>
        <v>No</v>
      </c>
      <c r="AR270" s="46" t="str">
        <f t="shared" si="170"/>
        <v>AE1</v>
      </c>
      <c r="AS270" s="46" t="b">
        <f t="shared" si="171"/>
        <v>1</v>
      </c>
      <c r="AT270" s="82">
        <f t="shared" si="175"/>
        <v>0</v>
      </c>
      <c r="AU270" s="81">
        <f t="shared" si="158"/>
        <v>0</v>
      </c>
      <c r="AV270" s="81">
        <f t="shared" si="159"/>
        <v>0</v>
      </c>
      <c r="AW270" s="81">
        <f t="shared" si="160"/>
        <v>0</v>
      </c>
      <c r="AX270" s="85"/>
      <c r="AY270" s="81">
        <f t="shared" si="161"/>
        <v>0</v>
      </c>
      <c r="AZ270" s="83">
        <f t="shared" si="162"/>
        <v>0</v>
      </c>
      <c r="BA270" s="81">
        <f t="shared" si="163"/>
        <v>0</v>
      </c>
      <c r="BB270" s="83">
        <v>0</v>
      </c>
      <c r="BC270" s="83">
        <v>0</v>
      </c>
      <c r="BD270" s="83">
        <v>0</v>
      </c>
      <c r="BE270" s="84">
        <f>ROUND((IF(($AT270&lt;=700000),0,IF(((VLOOKUP($AR270,'Loyalty - Effec - 15July'!$B$5:$C$17,2,0)*$AT270)&lt;=120000),(VLOOKUP($AR270,'Loyalty - Effec - 15July'!$B$5:$C$17,2,0)*$AT270),120000))),0)</f>
        <v>0</v>
      </c>
      <c r="BF270" s="83">
        <f>ROUND(VLOOKUP($AR270,'Loyalty - Effec - 15July'!$B$5:$D$17,3,0)*$AT270,0)</f>
        <v>0</v>
      </c>
      <c r="BG270" s="85">
        <f t="shared" si="164"/>
        <v>0</v>
      </c>
      <c r="BH270" s="83">
        <f t="shared" si="165"/>
        <v>0</v>
      </c>
      <c r="BI270" s="85">
        <f t="shared" si="166"/>
        <v>0</v>
      </c>
      <c r="BJ270" s="85">
        <f t="shared" si="167"/>
        <v>0</v>
      </c>
      <c r="BK270" s="85">
        <f t="shared" si="168"/>
        <v>0</v>
      </c>
      <c r="BL270" s="85">
        <f t="shared" si="172"/>
        <v>0</v>
      </c>
      <c r="BM270" s="85">
        <f t="shared" si="173"/>
        <v>0</v>
      </c>
      <c r="BN270" s="85">
        <f t="shared" si="174"/>
        <v>0</v>
      </c>
      <c r="BO270" s="46" t="s">
        <v>85</v>
      </c>
      <c r="BP270" s="46"/>
      <c r="BQ270" s="46"/>
      <c r="BU270" s="47">
        <f t="shared" si="176"/>
        <v>0</v>
      </c>
      <c r="BV270" s="53" t="s">
        <v>534</v>
      </c>
      <c r="BW270" s="53" t="s">
        <v>932</v>
      </c>
      <c r="BX270" s="53" t="s">
        <v>755</v>
      </c>
      <c r="BY270" s="53"/>
      <c r="BZ270" s="53"/>
    </row>
    <row r="271" spans="1:78">
      <c r="A271" s="42" t="s">
        <v>535</v>
      </c>
      <c r="B271" s="28" t="s">
        <v>79</v>
      </c>
      <c r="C271" s="28" t="s">
        <v>80</v>
      </c>
      <c r="D271" s="28" t="s">
        <v>932</v>
      </c>
      <c r="F271" s="28" t="s">
        <v>901</v>
      </c>
      <c r="G271" s="44" t="s">
        <v>756</v>
      </c>
      <c r="H271" s="45">
        <v>44963</v>
      </c>
      <c r="I271" s="46" t="s">
        <v>1004</v>
      </c>
      <c r="J271" s="28">
        <v>2</v>
      </c>
      <c r="K271" s="28" t="s">
        <v>407</v>
      </c>
      <c r="L271" s="28" t="s">
        <v>868</v>
      </c>
      <c r="M271" s="28" t="s">
        <v>9</v>
      </c>
      <c r="N271" s="28" t="str">
        <f t="shared" si="145"/>
        <v>AE1</v>
      </c>
      <c r="O271" s="81"/>
      <c r="P271" s="81">
        <f t="shared" si="146"/>
        <v>0</v>
      </c>
      <c r="Q271" s="81">
        <f t="shared" si="147"/>
        <v>0</v>
      </c>
      <c r="R271" s="81">
        <f t="shared" si="148"/>
        <v>0</v>
      </c>
      <c r="S271" s="81"/>
      <c r="T271" s="82">
        <f t="shared" si="149"/>
        <v>0</v>
      </c>
      <c r="U271" s="82">
        <f t="shared" si="150"/>
        <v>0</v>
      </c>
      <c r="V271" s="82">
        <f t="shared" si="151"/>
        <v>0</v>
      </c>
      <c r="W271" s="83">
        <v>0</v>
      </c>
      <c r="X271" s="83">
        <v>0</v>
      </c>
      <c r="Y271" s="83">
        <v>0</v>
      </c>
      <c r="Z271" s="84">
        <f>ROUND((IF(($O271&lt;=700000),0,IF(((VLOOKUP($M271,'Loyalty - Effec - 15July'!$B$5:$C$17,2,0)*$O271)&lt;=120000),(VLOOKUP($M271,'Loyalty - Effec - 15July'!$B$5:$C$17,2,0)*$O271),120000))),0)</f>
        <v>0</v>
      </c>
      <c r="AA271" s="84">
        <f>ROUND(VLOOKUP($M271,'Loyalty - Effec - 15July'!$B$5:$D$17,3,0)*$O271,0)</f>
        <v>0</v>
      </c>
      <c r="AB271" s="85">
        <f t="shared" si="152"/>
        <v>0</v>
      </c>
      <c r="AC271" s="86">
        <f t="shared" si="153"/>
        <v>0</v>
      </c>
      <c r="AD271" s="87">
        <f t="shared" si="154"/>
        <v>0</v>
      </c>
      <c r="AE271" s="88">
        <f t="shared" si="155"/>
        <v>0</v>
      </c>
      <c r="AF271" s="88">
        <f t="shared" si="156"/>
        <v>0</v>
      </c>
      <c r="AG271" s="49" t="s">
        <v>261</v>
      </c>
      <c r="AH271" s="49" t="s">
        <v>912</v>
      </c>
      <c r="AI271" s="50"/>
      <c r="AJ271" s="46"/>
      <c r="AK271" s="46"/>
      <c r="AL271" s="46"/>
      <c r="AM271" s="51">
        <f>IF($AL271=4,VLOOKUP($AR271,'Loyalty Incentive v1'!$L$3:$Q$15,2,FALSE),
IF($AL271=3,VLOOKUP($AR271,'Loyalty Incentive v1'!$L$3:$Q$15,3,FALSE),
IF($AL271=2,VLOOKUP($AR271,'Loyalty Incentive v1'!$L$3:$Q$15,4,FALSE),
IF($AL271=1,VLOOKUP($AR271,'Loyalty Incentive v1'!$L$3:$Q$15,5,FALSE),
IF($AL271=0,VLOOKUP($AR271,'Loyalty Incentive v1'!$L$3:$Q$15,6,FALSE),0)))))</f>
        <v>0</v>
      </c>
      <c r="AN271" s="51">
        <f>IFERROR(IF(I271&gt;="1",AM271,VLOOKUP(VALUE(I271),'Loyalty - Effec - 15July'!$I$5:$J$16,2,0)*AM271),0)</f>
        <v>0</v>
      </c>
      <c r="AO271" s="51">
        <v>0</v>
      </c>
      <c r="AP271" s="51">
        <f t="shared" si="157"/>
        <v>0</v>
      </c>
      <c r="AQ271" s="46" t="str">
        <f t="shared" si="169"/>
        <v>No</v>
      </c>
      <c r="AR271" s="46" t="str">
        <f t="shared" si="170"/>
        <v>AE1</v>
      </c>
      <c r="AS271" s="46" t="b">
        <f t="shared" si="171"/>
        <v>1</v>
      </c>
      <c r="AT271" s="82">
        <f t="shared" si="175"/>
        <v>0</v>
      </c>
      <c r="AU271" s="81">
        <f t="shared" si="158"/>
        <v>0</v>
      </c>
      <c r="AV271" s="81">
        <f t="shared" si="159"/>
        <v>0</v>
      </c>
      <c r="AW271" s="81">
        <f t="shared" si="160"/>
        <v>0</v>
      </c>
      <c r="AX271" s="85"/>
      <c r="AY271" s="81">
        <f t="shared" si="161"/>
        <v>0</v>
      </c>
      <c r="AZ271" s="83">
        <f t="shared" si="162"/>
        <v>0</v>
      </c>
      <c r="BA271" s="81">
        <f t="shared" si="163"/>
        <v>0</v>
      </c>
      <c r="BB271" s="83">
        <v>0</v>
      </c>
      <c r="BC271" s="83">
        <v>0</v>
      </c>
      <c r="BD271" s="83">
        <v>0</v>
      </c>
      <c r="BE271" s="84">
        <f>ROUND((IF(($AT271&lt;=700000),0,IF(((VLOOKUP($AR271,'Loyalty - Effec - 15July'!$B$5:$C$17,2,0)*$AT271)&lt;=120000),(VLOOKUP($AR271,'Loyalty - Effec - 15July'!$B$5:$C$17,2,0)*$AT271),120000))),0)</f>
        <v>0</v>
      </c>
      <c r="BF271" s="83">
        <f>ROUND(VLOOKUP($AR271,'Loyalty - Effec - 15July'!$B$5:$D$17,3,0)*$AT271,0)</f>
        <v>0</v>
      </c>
      <c r="BG271" s="85">
        <f t="shared" si="164"/>
        <v>0</v>
      </c>
      <c r="BH271" s="83">
        <f t="shared" si="165"/>
        <v>0</v>
      </c>
      <c r="BI271" s="85">
        <f t="shared" si="166"/>
        <v>0</v>
      </c>
      <c r="BJ271" s="85">
        <f t="shared" si="167"/>
        <v>0</v>
      </c>
      <c r="BK271" s="85">
        <f t="shared" si="168"/>
        <v>0</v>
      </c>
      <c r="BL271" s="85">
        <f t="shared" si="172"/>
        <v>0</v>
      </c>
      <c r="BM271" s="85">
        <f t="shared" si="173"/>
        <v>0</v>
      </c>
      <c r="BN271" s="85">
        <f t="shared" si="174"/>
        <v>0</v>
      </c>
      <c r="BO271" s="46" t="s">
        <v>85</v>
      </c>
      <c r="BP271" s="46"/>
      <c r="BQ271" s="46"/>
      <c r="BU271" s="47">
        <f t="shared" si="176"/>
        <v>0</v>
      </c>
      <c r="BV271" s="53" t="s">
        <v>535</v>
      </c>
      <c r="BW271" s="53" t="s">
        <v>932</v>
      </c>
      <c r="BX271" s="53" t="s">
        <v>756</v>
      </c>
      <c r="BY271" s="53"/>
      <c r="BZ271" s="53"/>
    </row>
    <row r="272" spans="1:78">
      <c r="A272" s="42" t="s">
        <v>536</v>
      </c>
      <c r="B272" s="28" t="s">
        <v>79</v>
      </c>
      <c r="C272" s="28" t="s">
        <v>80</v>
      </c>
      <c r="D272" s="28" t="s">
        <v>932</v>
      </c>
      <c r="F272" s="28" t="s">
        <v>901</v>
      </c>
      <c r="G272" s="44" t="s">
        <v>757</v>
      </c>
      <c r="H272" s="45">
        <v>44972</v>
      </c>
      <c r="I272" s="46" t="s">
        <v>1004</v>
      </c>
      <c r="J272" s="28">
        <v>2</v>
      </c>
      <c r="K272" s="28" t="s">
        <v>93</v>
      </c>
      <c r="L272" s="28" t="s">
        <v>873</v>
      </c>
      <c r="M272" s="28" t="s">
        <v>2</v>
      </c>
      <c r="N272" s="28" t="str">
        <f t="shared" si="145"/>
        <v>AE4</v>
      </c>
      <c r="O272" s="81"/>
      <c r="P272" s="81">
        <f t="shared" si="146"/>
        <v>0</v>
      </c>
      <c r="Q272" s="81">
        <f t="shared" si="147"/>
        <v>0</v>
      </c>
      <c r="R272" s="81">
        <f t="shared" si="148"/>
        <v>0</v>
      </c>
      <c r="S272" s="81"/>
      <c r="T272" s="82">
        <f t="shared" si="149"/>
        <v>0</v>
      </c>
      <c r="U272" s="82">
        <f t="shared" si="150"/>
        <v>0</v>
      </c>
      <c r="V272" s="82">
        <f t="shared" si="151"/>
        <v>0</v>
      </c>
      <c r="W272" s="83">
        <v>0</v>
      </c>
      <c r="X272" s="83">
        <v>0</v>
      </c>
      <c r="Y272" s="83">
        <v>0</v>
      </c>
      <c r="Z272" s="84">
        <f>ROUND((IF(($O272&lt;=700000),0,IF(((VLOOKUP($M272,'Loyalty - Effec - 15July'!$B$5:$C$17,2,0)*$O272)&lt;=120000),(VLOOKUP($M272,'Loyalty - Effec - 15July'!$B$5:$C$17,2,0)*$O272),120000))),0)</f>
        <v>0</v>
      </c>
      <c r="AA272" s="84">
        <f>ROUND(VLOOKUP($M272,'Loyalty - Effec - 15July'!$B$5:$D$17,3,0)*$O272,0)</f>
        <v>0</v>
      </c>
      <c r="AB272" s="85">
        <f t="shared" si="152"/>
        <v>0</v>
      </c>
      <c r="AC272" s="86">
        <f t="shared" si="153"/>
        <v>0</v>
      </c>
      <c r="AD272" s="87">
        <f t="shared" si="154"/>
        <v>0</v>
      </c>
      <c r="AE272" s="88">
        <f t="shared" si="155"/>
        <v>0</v>
      </c>
      <c r="AF272" s="88">
        <f t="shared" si="156"/>
        <v>0</v>
      </c>
      <c r="AG272" s="49" t="s">
        <v>913</v>
      </c>
      <c r="AH272" s="49" t="s">
        <v>909</v>
      </c>
      <c r="AI272" s="50"/>
      <c r="AJ272" s="46"/>
      <c r="AK272" s="46"/>
      <c r="AL272" s="46"/>
      <c r="AM272" s="51">
        <f>IF($AL272=4,VLOOKUP($AR272,'Loyalty Incentive v1'!$L$3:$Q$15,2,FALSE),
IF($AL272=3,VLOOKUP($AR272,'Loyalty Incentive v1'!$L$3:$Q$15,3,FALSE),
IF($AL272=2,VLOOKUP($AR272,'Loyalty Incentive v1'!$L$3:$Q$15,4,FALSE),
IF($AL272=1,VLOOKUP($AR272,'Loyalty Incentive v1'!$L$3:$Q$15,5,FALSE),
IF($AL272=0,VLOOKUP($AR272,'Loyalty Incentive v1'!$L$3:$Q$15,6,FALSE),0)))))</f>
        <v>0</v>
      </c>
      <c r="AN272" s="51">
        <f>IFERROR(IF(I272&gt;="1",AM272,VLOOKUP(VALUE(I272),'Loyalty - Effec - 15July'!$I$5:$J$16,2,0)*AM272),0)</f>
        <v>0</v>
      </c>
      <c r="AO272" s="51">
        <v>0</v>
      </c>
      <c r="AP272" s="51">
        <f t="shared" si="157"/>
        <v>0</v>
      </c>
      <c r="AQ272" s="46" t="str">
        <f t="shared" si="169"/>
        <v>No</v>
      </c>
      <c r="AR272" s="46" t="str">
        <f t="shared" si="170"/>
        <v>AE4</v>
      </c>
      <c r="AS272" s="46" t="b">
        <f t="shared" si="171"/>
        <v>1</v>
      </c>
      <c r="AT272" s="82">
        <f t="shared" si="175"/>
        <v>0</v>
      </c>
      <c r="AU272" s="81">
        <f t="shared" si="158"/>
        <v>0</v>
      </c>
      <c r="AV272" s="81">
        <f t="shared" si="159"/>
        <v>0</v>
      </c>
      <c r="AW272" s="81">
        <f t="shared" si="160"/>
        <v>0</v>
      </c>
      <c r="AX272" s="85"/>
      <c r="AY272" s="81">
        <f t="shared" si="161"/>
        <v>0</v>
      </c>
      <c r="AZ272" s="83">
        <f t="shared" si="162"/>
        <v>0</v>
      </c>
      <c r="BA272" s="81">
        <f t="shared" si="163"/>
        <v>0</v>
      </c>
      <c r="BB272" s="83">
        <v>0</v>
      </c>
      <c r="BC272" s="83">
        <v>0</v>
      </c>
      <c r="BD272" s="83">
        <v>0</v>
      </c>
      <c r="BE272" s="84">
        <f>ROUND((IF(($AT272&lt;=700000),0,IF(((VLOOKUP($AR272,'Loyalty - Effec - 15July'!$B$5:$C$17,2,0)*$AT272)&lt;=120000),(VLOOKUP($AR272,'Loyalty - Effec - 15July'!$B$5:$C$17,2,0)*$AT272),120000))),0)</f>
        <v>0</v>
      </c>
      <c r="BF272" s="83">
        <f>ROUND(VLOOKUP($AR272,'Loyalty - Effec - 15July'!$B$5:$D$17,3,0)*$AT272,0)</f>
        <v>0</v>
      </c>
      <c r="BG272" s="85">
        <f t="shared" si="164"/>
        <v>0</v>
      </c>
      <c r="BH272" s="83">
        <f t="shared" si="165"/>
        <v>0</v>
      </c>
      <c r="BI272" s="85">
        <f t="shared" si="166"/>
        <v>0</v>
      </c>
      <c r="BJ272" s="85">
        <f t="shared" si="167"/>
        <v>0</v>
      </c>
      <c r="BK272" s="85">
        <f t="shared" si="168"/>
        <v>0</v>
      </c>
      <c r="BL272" s="85">
        <f t="shared" si="172"/>
        <v>0</v>
      </c>
      <c r="BM272" s="85">
        <f t="shared" si="173"/>
        <v>0</v>
      </c>
      <c r="BN272" s="85">
        <f t="shared" si="174"/>
        <v>0</v>
      </c>
      <c r="BO272" s="46" t="s">
        <v>85</v>
      </c>
      <c r="BP272" s="46"/>
      <c r="BQ272" s="46"/>
      <c r="BU272" s="47">
        <f t="shared" si="176"/>
        <v>0</v>
      </c>
      <c r="BV272" s="53" t="s">
        <v>536</v>
      </c>
      <c r="BW272" s="53" t="s">
        <v>932</v>
      </c>
      <c r="BX272" s="53" t="s">
        <v>757</v>
      </c>
      <c r="BY272" s="53"/>
      <c r="BZ272" s="53"/>
    </row>
    <row r="273" spans="1:78">
      <c r="A273" s="42" t="s">
        <v>537</v>
      </c>
      <c r="B273" s="28" t="s">
        <v>79</v>
      </c>
      <c r="C273" s="28" t="s">
        <v>80</v>
      </c>
      <c r="D273" s="28" t="s">
        <v>932</v>
      </c>
      <c r="F273" s="28" t="s">
        <v>901</v>
      </c>
      <c r="G273" s="44" t="s">
        <v>758</v>
      </c>
      <c r="H273" s="45">
        <v>44972</v>
      </c>
      <c r="I273" s="46" t="s">
        <v>1004</v>
      </c>
      <c r="J273" s="28">
        <v>2</v>
      </c>
      <c r="K273" s="28" t="s">
        <v>93</v>
      </c>
      <c r="L273" s="28" t="s">
        <v>873</v>
      </c>
      <c r="M273" s="28" t="s">
        <v>3</v>
      </c>
      <c r="N273" s="28" t="str">
        <f t="shared" si="145"/>
        <v>AE5</v>
      </c>
      <c r="O273" s="81"/>
      <c r="P273" s="81">
        <f t="shared" si="146"/>
        <v>0</v>
      </c>
      <c r="Q273" s="81">
        <f t="shared" si="147"/>
        <v>0</v>
      </c>
      <c r="R273" s="81">
        <f t="shared" si="148"/>
        <v>0</v>
      </c>
      <c r="S273" s="81"/>
      <c r="T273" s="82">
        <f t="shared" si="149"/>
        <v>0</v>
      </c>
      <c r="U273" s="82">
        <f t="shared" si="150"/>
        <v>0</v>
      </c>
      <c r="V273" s="82">
        <f t="shared" si="151"/>
        <v>0</v>
      </c>
      <c r="W273" s="83">
        <v>0</v>
      </c>
      <c r="X273" s="83">
        <v>0</v>
      </c>
      <c r="Y273" s="83">
        <v>0</v>
      </c>
      <c r="Z273" s="84">
        <f>ROUND((IF(($O273&lt;=700000),0,IF(((VLOOKUP($M273,'Loyalty - Effec - 15July'!$B$5:$C$17,2,0)*$O273)&lt;=120000),(VLOOKUP($M273,'Loyalty - Effec - 15July'!$B$5:$C$17,2,0)*$O273),120000))),0)</f>
        <v>0</v>
      </c>
      <c r="AA273" s="84">
        <f>ROUND(VLOOKUP($M273,'Loyalty - Effec - 15July'!$B$5:$D$17,3,0)*$O273,0)</f>
        <v>0</v>
      </c>
      <c r="AB273" s="85">
        <f t="shared" si="152"/>
        <v>0</v>
      </c>
      <c r="AC273" s="86">
        <f t="shared" si="153"/>
        <v>0</v>
      </c>
      <c r="AD273" s="87">
        <f t="shared" si="154"/>
        <v>0</v>
      </c>
      <c r="AE273" s="88">
        <f t="shared" si="155"/>
        <v>0</v>
      </c>
      <c r="AF273" s="88">
        <f t="shared" si="156"/>
        <v>0</v>
      </c>
      <c r="AG273" s="49" t="s">
        <v>212</v>
      </c>
      <c r="AH273" s="49" t="s">
        <v>928</v>
      </c>
      <c r="AI273" s="50"/>
      <c r="AJ273" s="46"/>
      <c r="AK273" s="46"/>
      <c r="AL273" s="46"/>
      <c r="AM273" s="51">
        <f>IF($AL273=4,VLOOKUP($AR273,'Loyalty Incentive v1'!$L$3:$Q$15,2,FALSE),
IF($AL273=3,VLOOKUP($AR273,'Loyalty Incentive v1'!$L$3:$Q$15,3,FALSE),
IF($AL273=2,VLOOKUP($AR273,'Loyalty Incentive v1'!$L$3:$Q$15,4,FALSE),
IF($AL273=1,VLOOKUP($AR273,'Loyalty Incentive v1'!$L$3:$Q$15,5,FALSE),
IF($AL273=0,VLOOKUP($AR273,'Loyalty Incentive v1'!$L$3:$Q$15,6,FALSE),0)))))</f>
        <v>0</v>
      </c>
      <c r="AN273" s="51">
        <f>IFERROR(IF(I273&gt;="1",AM273,VLOOKUP(VALUE(I273),'Loyalty - Effec - 15July'!$I$5:$J$16,2,0)*AM273),0)</f>
        <v>0</v>
      </c>
      <c r="AO273" s="51">
        <v>0</v>
      </c>
      <c r="AP273" s="51">
        <f t="shared" si="157"/>
        <v>0</v>
      </c>
      <c r="AQ273" s="46" t="str">
        <f t="shared" si="169"/>
        <v>No</v>
      </c>
      <c r="AR273" s="46" t="str">
        <f t="shared" si="170"/>
        <v>AE5</v>
      </c>
      <c r="AS273" s="46" t="b">
        <f t="shared" si="171"/>
        <v>1</v>
      </c>
      <c r="AT273" s="82">
        <f t="shared" si="175"/>
        <v>0</v>
      </c>
      <c r="AU273" s="81">
        <f t="shared" si="158"/>
        <v>0</v>
      </c>
      <c r="AV273" s="81">
        <f t="shared" si="159"/>
        <v>0</v>
      </c>
      <c r="AW273" s="81">
        <f t="shared" si="160"/>
        <v>0</v>
      </c>
      <c r="AX273" s="85"/>
      <c r="AY273" s="81">
        <f t="shared" si="161"/>
        <v>0</v>
      </c>
      <c r="AZ273" s="83">
        <f t="shared" si="162"/>
        <v>0</v>
      </c>
      <c r="BA273" s="81">
        <f t="shared" si="163"/>
        <v>0</v>
      </c>
      <c r="BB273" s="83">
        <v>0</v>
      </c>
      <c r="BC273" s="83">
        <v>0</v>
      </c>
      <c r="BD273" s="83">
        <v>0</v>
      </c>
      <c r="BE273" s="84">
        <f>ROUND((IF(($AT273&lt;=700000),0,IF(((VLOOKUP($AR273,'Loyalty - Effec - 15July'!$B$5:$C$17,2,0)*$AT273)&lt;=120000),(VLOOKUP($AR273,'Loyalty - Effec - 15July'!$B$5:$C$17,2,0)*$AT273),120000))),0)</f>
        <v>0</v>
      </c>
      <c r="BF273" s="83">
        <f>ROUND(VLOOKUP($AR273,'Loyalty - Effec - 15July'!$B$5:$D$17,3,0)*$AT273,0)</f>
        <v>0</v>
      </c>
      <c r="BG273" s="85">
        <f t="shared" si="164"/>
        <v>0</v>
      </c>
      <c r="BH273" s="83">
        <f t="shared" si="165"/>
        <v>0</v>
      </c>
      <c r="BI273" s="85">
        <f t="shared" si="166"/>
        <v>0</v>
      </c>
      <c r="BJ273" s="85">
        <f t="shared" si="167"/>
        <v>0</v>
      </c>
      <c r="BK273" s="85">
        <f t="shared" si="168"/>
        <v>0</v>
      </c>
      <c r="BL273" s="85">
        <f t="shared" si="172"/>
        <v>0</v>
      </c>
      <c r="BM273" s="85">
        <f t="shared" si="173"/>
        <v>0</v>
      </c>
      <c r="BN273" s="85">
        <f t="shared" si="174"/>
        <v>0</v>
      </c>
      <c r="BO273" s="46" t="s">
        <v>85</v>
      </c>
      <c r="BP273" s="46"/>
      <c r="BQ273" s="46"/>
      <c r="BU273" s="47">
        <f t="shared" si="176"/>
        <v>0</v>
      </c>
      <c r="BV273" s="53" t="s">
        <v>537</v>
      </c>
      <c r="BW273" s="53" t="s">
        <v>932</v>
      </c>
      <c r="BX273" s="53" t="s">
        <v>758</v>
      </c>
      <c r="BY273" s="53"/>
      <c r="BZ273" s="53"/>
    </row>
    <row r="274" spans="1:78">
      <c r="A274" s="42" t="s">
        <v>538</v>
      </c>
      <c r="B274" s="28" t="s">
        <v>79</v>
      </c>
      <c r="C274" s="28" t="s">
        <v>80</v>
      </c>
      <c r="D274" s="28" t="s">
        <v>932</v>
      </c>
      <c r="F274" s="28" t="s">
        <v>901</v>
      </c>
      <c r="G274" s="44" t="s">
        <v>759</v>
      </c>
      <c r="H274" s="45">
        <v>44972</v>
      </c>
      <c r="I274" s="46" t="s">
        <v>1004</v>
      </c>
      <c r="J274" s="28">
        <v>2</v>
      </c>
      <c r="K274" s="28" t="s">
        <v>413</v>
      </c>
      <c r="L274" s="28" t="s">
        <v>880</v>
      </c>
      <c r="M274" s="28" t="s">
        <v>0</v>
      </c>
      <c r="N274" s="28" t="str">
        <f t="shared" si="145"/>
        <v>AE2</v>
      </c>
      <c r="O274" s="81"/>
      <c r="P274" s="81">
        <f t="shared" si="146"/>
        <v>0</v>
      </c>
      <c r="Q274" s="81">
        <f t="shared" si="147"/>
        <v>0</v>
      </c>
      <c r="R274" s="81">
        <f t="shared" si="148"/>
        <v>0</v>
      </c>
      <c r="S274" s="81"/>
      <c r="T274" s="82">
        <f t="shared" si="149"/>
        <v>0</v>
      </c>
      <c r="U274" s="82">
        <f t="shared" si="150"/>
        <v>0</v>
      </c>
      <c r="V274" s="82">
        <f t="shared" si="151"/>
        <v>0</v>
      </c>
      <c r="W274" s="83">
        <v>0</v>
      </c>
      <c r="X274" s="83">
        <v>0</v>
      </c>
      <c r="Y274" s="83">
        <v>0</v>
      </c>
      <c r="Z274" s="84">
        <f>ROUND((IF(($O274&lt;=700000),0,IF(((VLOOKUP($M274,'Loyalty - Effec - 15July'!$B$5:$C$17,2,0)*$O274)&lt;=120000),(VLOOKUP($M274,'Loyalty - Effec - 15July'!$B$5:$C$17,2,0)*$O274),120000))),0)</f>
        <v>0</v>
      </c>
      <c r="AA274" s="84">
        <f>ROUND(VLOOKUP($M274,'Loyalty - Effec - 15July'!$B$5:$D$17,3,0)*$O274,0)</f>
        <v>0</v>
      </c>
      <c r="AB274" s="85">
        <f t="shared" si="152"/>
        <v>0</v>
      </c>
      <c r="AC274" s="86">
        <f t="shared" si="153"/>
        <v>0</v>
      </c>
      <c r="AD274" s="87">
        <f t="shared" si="154"/>
        <v>0</v>
      </c>
      <c r="AE274" s="88">
        <f t="shared" si="155"/>
        <v>0</v>
      </c>
      <c r="AF274" s="88">
        <f t="shared" si="156"/>
        <v>0</v>
      </c>
      <c r="AG274" s="49" t="s">
        <v>251</v>
      </c>
      <c r="AH274" s="49" t="s">
        <v>126</v>
      </c>
      <c r="AI274" s="50"/>
      <c r="AJ274" s="46"/>
      <c r="AK274" s="46"/>
      <c r="AL274" s="46"/>
      <c r="AM274" s="51">
        <f>IF($AL274=4,VLOOKUP($AR274,'Loyalty Incentive v1'!$L$3:$Q$15,2,FALSE),
IF($AL274=3,VLOOKUP($AR274,'Loyalty Incentive v1'!$L$3:$Q$15,3,FALSE),
IF($AL274=2,VLOOKUP($AR274,'Loyalty Incentive v1'!$L$3:$Q$15,4,FALSE),
IF($AL274=1,VLOOKUP($AR274,'Loyalty Incentive v1'!$L$3:$Q$15,5,FALSE),
IF($AL274=0,VLOOKUP($AR274,'Loyalty Incentive v1'!$L$3:$Q$15,6,FALSE),0)))))</f>
        <v>0</v>
      </c>
      <c r="AN274" s="51">
        <f>IFERROR(IF(I274&gt;="1",AM274,VLOOKUP(VALUE(I274),'Loyalty - Effec - 15July'!$I$5:$J$16,2,0)*AM274),0)</f>
        <v>0</v>
      </c>
      <c r="AO274" s="51">
        <v>0</v>
      </c>
      <c r="AP274" s="51">
        <f t="shared" si="157"/>
        <v>0</v>
      </c>
      <c r="AQ274" s="46" t="str">
        <f t="shared" si="169"/>
        <v>No</v>
      </c>
      <c r="AR274" s="46" t="str">
        <f t="shared" si="170"/>
        <v>AE2</v>
      </c>
      <c r="AS274" s="46" t="b">
        <f t="shared" si="171"/>
        <v>1</v>
      </c>
      <c r="AT274" s="82">
        <f t="shared" si="175"/>
        <v>0</v>
      </c>
      <c r="AU274" s="81">
        <f t="shared" si="158"/>
        <v>0</v>
      </c>
      <c r="AV274" s="81">
        <f t="shared" si="159"/>
        <v>0</v>
      </c>
      <c r="AW274" s="81">
        <f t="shared" si="160"/>
        <v>0</v>
      </c>
      <c r="AX274" s="85"/>
      <c r="AY274" s="81">
        <f t="shared" si="161"/>
        <v>0</v>
      </c>
      <c r="AZ274" s="83">
        <f t="shared" si="162"/>
        <v>0</v>
      </c>
      <c r="BA274" s="81">
        <f t="shared" si="163"/>
        <v>0</v>
      </c>
      <c r="BB274" s="83">
        <v>0</v>
      </c>
      <c r="BC274" s="83">
        <v>0</v>
      </c>
      <c r="BD274" s="83">
        <v>0</v>
      </c>
      <c r="BE274" s="84">
        <f>ROUND((IF(($AT274&lt;=700000),0,IF(((VLOOKUP($AR274,'Loyalty - Effec - 15July'!$B$5:$C$17,2,0)*$AT274)&lt;=120000),(VLOOKUP($AR274,'Loyalty - Effec - 15July'!$B$5:$C$17,2,0)*$AT274),120000))),0)</f>
        <v>0</v>
      </c>
      <c r="BF274" s="83">
        <f>ROUND(VLOOKUP($AR274,'Loyalty - Effec - 15July'!$B$5:$D$17,3,0)*$AT274,0)</f>
        <v>0</v>
      </c>
      <c r="BG274" s="85">
        <f t="shared" si="164"/>
        <v>0</v>
      </c>
      <c r="BH274" s="83">
        <f t="shared" si="165"/>
        <v>0</v>
      </c>
      <c r="BI274" s="85">
        <f t="shared" si="166"/>
        <v>0</v>
      </c>
      <c r="BJ274" s="85">
        <f t="shared" si="167"/>
        <v>0</v>
      </c>
      <c r="BK274" s="85">
        <f t="shared" si="168"/>
        <v>0</v>
      </c>
      <c r="BL274" s="85">
        <f t="shared" si="172"/>
        <v>0</v>
      </c>
      <c r="BM274" s="85">
        <f t="shared" si="173"/>
        <v>0</v>
      </c>
      <c r="BN274" s="85">
        <f t="shared" si="174"/>
        <v>0</v>
      </c>
      <c r="BO274" s="46" t="s">
        <v>85</v>
      </c>
      <c r="BP274" s="46"/>
      <c r="BQ274" s="46"/>
      <c r="BU274" s="47">
        <f t="shared" si="176"/>
        <v>0</v>
      </c>
      <c r="BV274" s="53" t="s">
        <v>538</v>
      </c>
      <c r="BW274" s="53" t="s">
        <v>932</v>
      </c>
      <c r="BX274" s="53" t="s">
        <v>759</v>
      </c>
      <c r="BY274" s="53"/>
      <c r="BZ274" s="53"/>
    </row>
    <row r="275" spans="1:78">
      <c r="A275" s="42" t="s">
        <v>539</v>
      </c>
      <c r="B275" s="28" t="s">
        <v>79</v>
      </c>
      <c r="C275" s="28" t="s">
        <v>80</v>
      </c>
      <c r="D275" s="28" t="s">
        <v>932</v>
      </c>
      <c r="F275" s="28" t="s">
        <v>901</v>
      </c>
      <c r="G275" s="44" t="s">
        <v>760</v>
      </c>
      <c r="H275" s="45">
        <v>44972</v>
      </c>
      <c r="I275" s="46" t="s">
        <v>1004</v>
      </c>
      <c r="J275" s="28">
        <v>2</v>
      </c>
      <c r="K275" s="28" t="s">
        <v>413</v>
      </c>
      <c r="L275" s="28" t="s">
        <v>880</v>
      </c>
      <c r="M275" s="28" t="s">
        <v>2</v>
      </c>
      <c r="N275" s="28" t="str">
        <f t="shared" si="145"/>
        <v>AE4</v>
      </c>
      <c r="O275" s="81"/>
      <c r="P275" s="81">
        <f t="shared" si="146"/>
        <v>0</v>
      </c>
      <c r="Q275" s="81">
        <f t="shared" si="147"/>
        <v>0</v>
      </c>
      <c r="R275" s="81">
        <f t="shared" si="148"/>
        <v>0</v>
      </c>
      <c r="S275" s="81"/>
      <c r="T275" s="82">
        <f t="shared" si="149"/>
        <v>0</v>
      </c>
      <c r="U275" s="82">
        <f t="shared" si="150"/>
        <v>0</v>
      </c>
      <c r="V275" s="82">
        <f t="shared" si="151"/>
        <v>0</v>
      </c>
      <c r="W275" s="83">
        <v>0</v>
      </c>
      <c r="X275" s="83">
        <v>0</v>
      </c>
      <c r="Y275" s="83">
        <v>0</v>
      </c>
      <c r="Z275" s="84">
        <f>ROUND((IF(($O275&lt;=700000),0,IF(((VLOOKUP($M275,'Loyalty - Effec - 15July'!$B$5:$C$17,2,0)*$O275)&lt;=120000),(VLOOKUP($M275,'Loyalty - Effec - 15July'!$B$5:$C$17,2,0)*$O275),120000))),0)</f>
        <v>0</v>
      </c>
      <c r="AA275" s="84">
        <f>ROUND(VLOOKUP($M275,'Loyalty - Effec - 15July'!$B$5:$D$17,3,0)*$O275,0)</f>
        <v>0</v>
      </c>
      <c r="AB275" s="85">
        <f t="shared" si="152"/>
        <v>0</v>
      </c>
      <c r="AC275" s="86">
        <f t="shared" si="153"/>
        <v>0</v>
      </c>
      <c r="AD275" s="87">
        <f t="shared" si="154"/>
        <v>0</v>
      </c>
      <c r="AE275" s="88">
        <f t="shared" si="155"/>
        <v>0</v>
      </c>
      <c r="AF275" s="88">
        <f t="shared" si="156"/>
        <v>0</v>
      </c>
      <c r="AG275" s="49" t="s">
        <v>921</v>
      </c>
      <c r="AH275" s="49" t="s">
        <v>120</v>
      </c>
      <c r="AI275" s="50"/>
      <c r="AJ275" s="46"/>
      <c r="AK275" s="46"/>
      <c r="AL275" s="46"/>
      <c r="AM275" s="51">
        <f>IF($AL275=4,VLOOKUP($AR275,'Loyalty Incentive v1'!$L$3:$Q$15,2,FALSE),
IF($AL275=3,VLOOKUP($AR275,'Loyalty Incentive v1'!$L$3:$Q$15,3,FALSE),
IF($AL275=2,VLOOKUP($AR275,'Loyalty Incentive v1'!$L$3:$Q$15,4,FALSE),
IF($AL275=1,VLOOKUP($AR275,'Loyalty Incentive v1'!$L$3:$Q$15,5,FALSE),
IF($AL275=0,VLOOKUP($AR275,'Loyalty Incentive v1'!$L$3:$Q$15,6,FALSE),0)))))</f>
        <v>0</v>
      </c>
      <c r="AN275" s="51">
        <f>IFERROR(IF(I275&gt;="1",AM275,VLOOKUP(VALUE(I275),'Loyalty - Effec - 15July'!$I$5:$J$16,2,0)*AM275),0)</f>
        <v>0</v>
      </c>
      <c r="AO275" s="51">
        <v>0</v>
      </c>
      <c r="AP275" s="51">
        <f t="shared" si="157"/>
        <v>0</v>
      </c>
      <c r="AQ275" s="46" t="str">
        <f t="shared" si="169"/>
        <v>No</v>
      </c>
      <c r="AR275" s="46" t="str">
        <f t="shared" si="170"/>
        <v>AE4</v>
      </c>
      <c r="AS275" s="46" t="b">
        <f t="shared" si="171"/>
        <v>1</v>
      </c>
      <c r="AT275" s="82">
        <f t="shared" si="175"/>
        <v>0</v>
      </c>
      <c r="AU275" s="81">
        <f t="shared" si="158"/>
        <v>0</v>
      </c>
      <c r="AV275" s="81">
        <f t="shared" si="159"/>
        <v>0</v>
      </c>
      <c r="AW275" s="81">
        <f t="shared" si="160"/>
        <v>0</v>
      </c>
      <c r="AX275" s="85"/>
      <c r="AY275" s="81">
        <f t="shared" si="161"/>
        <v>0</v>
      </c>
      <c r="AZ275" s="83">
        <f t="shared" si="162"/>
        <v>0</v>
      </c>
      <c r="BA275" s="81">
        <f t="shared" si="163"/>
        <v>0</v>
      </c>
      <c r="BB275" s="83">
        <v>0</v>
      </c>
      <c r="BC275" s="83">
        <v>0</v>
      </c>
      <c r="BD275" s="83">
        <v>0</v>
      </c>
      <c r="BE275" s="84">
        <f>ROUND((IF(($AT275&lt;=700000),0,IF(((VLOOKUP($AR275,'Loyalty - Effec - 15July'!$B$5:$C$17,2,0)*$AT275)&lt;=120000),(VLOOKUP($AR275,'Loyalty - Effec - 15July'!$B$5:$C$17,2,0)*$AT275),120000))),0)</f>
        <v>0</v>
      </c>
      <c r="BF275" s="83">
        <f>ROUND(VLOOKUP($AR275,'Loyalty - Effec - 15July'!$B$5:$D$17,3,0)*$AT275,0)</f>
        <v>0</v>
      </c>
      <c r="BG275" s="85">
        <f t="shared" si="164"/>
        <v>0</v>
      </c>
      <c r="BH275" s="83">
        <f t="shared" si="165"/>
        <v>0</v>
      </c>
      <c r="BI275" s="85">
        <f t="shared" si="166"/>
        <v>0</v>
      </c>
      <c r="BJ275" s="85">
        <f t="shared" si="167"/>
        <v>0</v>
      </c>
      <c r="BK275" s="85">
        <f t="shared" si="168"/>
        <v>0</v>
      </c>
      <c r="BL275" s="85">
        <f t="shared" si="172"/>
        <v>0</v>
      </c>
      <c r="BM275" s="85">
        <f t="shared" si="173"/>
        <v>0</v>
      </c>
      <c r="BN275" s="85">
        <f t="shared" si="174"/>
        <v>0</v>
      </c>
      <c r="BO275" s="46" t="s">
        <v>85</v>
      </c>
      <c r="BP275" s="46"/>
      <c r="BQ275" s="46"/>
      <c r="BU275" s="47">
        <f t="shared" si="176"/>
        <v>0</v>
      </c>
      <c r="BV275" s="53" t="s">
        <v>539</v>
      </c>
      <c r="BW275" s="53" t="s">
        <v>932</v>
      </c>
      <c r="BX275" s="53" t="s">
        <v>760</v>
      </c>
      <c r="BY275" s="53"/>
      <c r="BZ275" s="53"/>
    </row>
    <row r="276" spans="1:78">
      <c r="A276" s="42" t="s">
        <v>540</v>
      </c>
      <c r="B276" s="28" t="s">
        <v>79</v>
      </c>
      <c r="C276" s="28" t="s">
        <v>80</v>
      </c>
      <c r="D276" s="28" t="s">
        <v>932</v>
      </c>
      <c r="F276" s="28" t="s">
        <v>902</v>
      </c>
      <c r="G276" s="44" t="s">
        <v>761</v>
      </c>
      <c r="H276" s="45">
        <v>44972</v>
      </c>
      <c r="I276" s="46" t="s">
        <v>1004</v>
      </c>
      <c r="J276" s="28">
        <v>2</v>
      </c>
      <c r="K276" s="28" t="s">
        <v>417</v>
      </c>
      <c r="L276" s="28" t="s">
        <v>872</v>
      </c>
      <c r="M276" s="28" t="s">
        <v>0</v>
      </c>
      <c r="N276" s="28" t="str">
        <f t="shared" si="145"/>
        <v>AE2</v>
      </c>
      <c r="O276" s="81"/>
      <c r="P276" s="81">
        <f t="shared" si="146"/>
        <v>0</v>
      </c>
      <c r="Q276" s="81">
        <f t="shared" si="147"/>
        <v>0</v>
      </c>
      <c r="R276" s="81">
        <f t="shared" si="148"/>
        <v>0</v>
      </c>
      <c r="S276" s="81"/>
      <c r="T276" s="82">
        <f t="shared" si="149"/>
        <v>0</v>
      </c>
      <c r="U276" s="82">
        <f t="shared" si="150"/>
        <v>0</v>
      </c>
      <c r="V276" s="82">
        <f t="shared" si="151"/>
        <v>0</v>
      </c>
      <c r="W276" s="83">
        <v>0</v>
      </c>
      <c r="X276" s="83">
        <v>0</v>
      </c>
      <c r="Y276" s="83">
        <v>0</v>
      </c>
      <c r="Z276" s="84">
        <f>ROUND((IF(($O276&lt;=700000),0,IF(((VLOOKUP($M276,'Loyalty - Effec - 15July'!$B$5:$C$17,2,0)*$O276)&lt;=120000),(VLOOKUP($M276,'Loyalty - Effec - 15July'!$B$5:$C$17,2,0)*$O276),120000))),0)</f>
        <v>0</v>
      </c>
      <c r="AA276" s="84">
        <f>ROUND(VLOOKUP($M276,'Loyalty - Effec - 15July'!$B$5:$D$17,3,0)*$O276,0)</f>
        <v>0</v>
      </c>
      <c r="AB276" s="85">
        <f t="shared" si="152"/>
        <v>0</v>
      </c>
      <c r="AC276" s="86">
        <f t="shared" si="153"/>
        <v>0</v>
      </c>
      <c r="AD276" s="87">
        <f t="shared" si="154"/>
        <v>0</v>
      </c>
      <c r="AE276" s="88">
        <f t="shared" si="155"/>
        <v>0</v>
      </c>
      <c r="AF276" s="88">
        <f t="shared" si="156"/>
        <v>0</v>
      </c>
      <c r="AG276" s="49" t="s">
        <v>165</v>
      </c>
      <c r="AH276" s="49" t="s">
        <v>120</v>
      </c>
      <c r="AI276" s="50"/>
      <c r="AJ276" s="46"/>
      <c r="AK276" s="46"/>
      <c r="AL276" s="46"/>
      <c r="AM276" s="51">
        <f>IF($AL276=4,VLOOKUP($AR276,'Loyalty Incentive v1'!$L$3:$Q$15,2,FALSE),
IF($AL276=3,VLOOKUP($AR276,'Loyalty Incentive v1'!$L$3:$Q$15,3,FALSE),
IF($AL276=2,VLOOKUP($AR276,'Loyalty Incentive v1'!$L$3:$Q$15,4,FALSE),
IF($AL276=1,VLOOKUP($AR276,'Loyalty Incentive v1'!$L$3:$Q$15,5,FALSE),
IF($AL276=0,VLOOKUP($AR276,'Loyalty Incentive v1'!$L$3:$Q$15,6,FALSE),0)))))</f>
        <v>0</v>
      </c>
      <c r="AN276" s="51">
        <f>IFERROR(IF(I276&gt;="1",AM276,VLOOKUP(VALUE(I276),'Loyalty - Effec - 15July'!$I$5:$J$16,2,0)*AM276),0)</f>
        <v>0</v>
      </c>
      <c r="AO276" s="51">
        <v>0</v>
      </c>
      <c r="AP276" s="51">
        <f t="shared" si="157"/>
        <v>0</v>
      </c>
      <c r="AQ276" s="46" t="str">
        <f t="shared" si="169"/>
        <v>No</v>
      </c>
      <c r="AR276" s="46" t="str">
        <f t="shared" si="170"/>
        <v>AE2</v>
      </c>
      <c r="AS276" s="46" t="b">
        <f t="shared" si="171"/>
        <v>1</v>
      </c>
      <c r="AT276" s="82">
        <f t="shared" si="175"/>
        <v>0</v>
      </c>
      <c r="AU276" s="81">
        <f t="shared" si="158"/>
        <v>0</v>
      </c>
      <c r="AV276" s="81">
        <f t="shared" si="159"/>
        <v>0</v>
      </c>
      <c r="AW276" s="81">
        <f t="shared" si="160"/>
        <v>0</v>
      </c>
      <c r="AX276" s="85"/>
      <c r="AY276" s="81">
        <f t="shared" si="161"/>
        <v>0</v>
      </c>
      <c r="AZ276" s="83">
        <f t="shared" si="162"/>
        <v>0</v>
      </c>
      <c r="BA276" s="81">
        <f t="shared" si="163"/>
        <v>0</v>
      </c>
      <c r="BB276" s="83">
        <v>0</v>
      </c>
      <c r="BC276" s="83">
        <v>0</v>
      </c>
      <c r="BD276" s="83">
        <v>0</v>
      </c>
      <c r="BE276" s="84">
        <f>ROUND((IF(($AT276&lt;=700000),0,IF(((VLOOKUP($AR276,'Loyalty - Effec - 15July'!$B$5:$C$17,2,0)*$AT276)&lt;=120000),(VLOOKUP($AR276,'Loyalty - Effec - 15July'!$B$5:$C$17,2,0)*$AT276),120000))),0)</f>
        <v>0</v>
      </c>
      <c r="BF276" s="83">
        <f>ROUND(VLOOKUP($AR276,'Loyalty - Effec - 15July'!$B$5:$D$17,3,0)*$AT276,0)</f>
        <v>0</v>
      </c>
      <c r="BG276" s="85">
        <f t="shared" si="164"/>
        <v>0</v>
      </c>
      <c r="BH276" s="83">
        <f t="shared" si="165"/>
        <v>0</v>
      </c>
      <c r="BI276" s="85">
        <f t="shared" si="166"/>
        <v>0</v>
      </c>
      <c r="BJ276" s="85">
        <f t="shared" si="167"/>
        <v>0</v>
      </c>
      <c r="BK276" s="85">
        <f t="shared" si="168"/>
        <v>0</v>
      </c>
      <c r="BL276" s="85">
        <f t="shared" si="172"/>
        <v>0</v>
      </c>
      <c r="BM276" s="85">
        <f t="shared" si="173"/>
        <v>0</v>
      </c>
      <c r="BN276" s="85">
        <f t="shared" si="174"/>
        <v>0</v>
      </c>
      <c r="BO276" s="46" t="s">
        <v>85</v>
      </c>
      <c r="BP276" s="46"/>
      <c r="BQ276" s="46"/>
      <c r="BU276" s="47">
        <f t="shared" si="176"/>
        <v>0</v>
      </c>
      <c r="BV276" s="53" t="s">
        <v>540</v>
      </c>
      <c r="BW276" s="53" t="s">
        <v>932</v>
      </c>
      <c r="BX276" s="53" t="s">
        <v>761</v>
      </c>
      <c r="BY276" s="53"/>
      <c r="BZ276" s="53"/>
    </row>
    <row r="277" spans="1:78">
      <c r="A277" s="42" t="s">
        <v>541</v>
      </c>
      <c r="B277" s="28" t="s">
        <v>79</v>
      </c>
      <c r="C277" s="28" t="s">
        <v>80</v>
      </c>
      <c r="D277" s="28" t="s">
        <v>932</v>
      </c>
      <c r="F277" s="28" t="s">
        <v>901</v>
      </c>
      <c r="G277" s="44" t="s">
        <v>762</v>
      </c>
      <c r="H277" s="45">
        <v>44986</v>
      </c>
      <c r="I277" s="46" t="s">
        <v>1004</v>
      </c>
      <c r="J277" s="28">
        <v>2</v>
      </c>
      <c r="K277" s="28" t="s">
        <v>417</v>
      </c>
      <c r="L277" s="28" t="s">
        <v>872</v>
      </c>
      <c r="M277" s="28" t="s">
        <v>0</v>
      </c>
      <c r="N277" s="28" t="str">
        <f t="shared" si="145"/>
        <v>AE2</v>
      </c>
      <c r="O277" s="81"/>
      <c r="P277" s="81">
        <f t="shared" si="146"/>
        <v>0</v>
      </c>
      <c r="Q277" s="81">
        <f t="shared" si="147"/>
        <v>0</v>
      </c>
      <c r="R277" s="81">
        <f t="shared" si="148"/>
        <v>0</v>
      </c>
      <c r="S277" s="81"/>
      <c r="T277" s="82">
        <f t="shared" si="149"/>
        <v>0</v>
      </c>
      <c r="U277" s="82">
        <f t="shared" si="150"/>
        <v>0</v>
      </c>
      <c r="V277" s="82">
        <f t="shared" si="151"/>
        <v>0</v>
      </c>
      <c r="W277" s="83">
        <v>0</v>
      </c>
      <c r="X277" s="83">
        <v>0</v>
      </c>
      <c r="Y277" s="83">
        <v>0</v>
      </c>
      <c r="Z277" s="84">
        <f>ROUND((IF(($O277&lt;=700000),0,IF(((VLOOKUP($M277,'Loyalty - Effec - 15July'!$B$5:$C$17,2,0)*$O277)&lt;=120000),(VLOOKUP($M277,'Loyalty - Effec - 15July'!$B$5:$C$17,2,0)*$O277),120000))),0)</f>
        <v>0</v>
      </c>
      <c r="AA277" s="84">
        <f>ROUND(VLOOKUP($M277,'Loyalty - Effec - 15July'!$B$5:$D$17,3,0)*$O277,0)</f>
        <v>0</v>
      </c>
      <c r="AB277" s="85">
        <f t="shared" si="152"/>
        <v>0</v>
      </c>
      <c r="AC277" s="86">
        <f t="shared" si="153"/>
        <v>0</v>
      </c>
      <c r="AD277" s="87">
        <f t="shared" si="154"/>
        <v>0</v>
      </c>
      <c r="AE277" s="88">
        <f t="shared" si="155"/>
        <v>0</v>
      </c>
      <c r="AF277" s="88">
        <f t="shared" si="156"/>
        <v>0</v>
      </c>
      <c r="AG277" s="49" t="s">
        <v>202</v>
      </c>
      <c r="AH277" s="49" t="s">
        <v>909</v>
      </c>
      <c r="AI277" s="50"/>
      <c r="AJ277" s="46"/>
      <c r="AK277" s="46"/>
      <c r="AL277" s="46"/>
      <c r="AM277" s="51">
        <f>IF($AL277=4,VLOOKUP($AR277,'Loyalty Incentive v1'!$L$3:$Q$15,2,FALSE),
IF($AL277=3,VLOOKUP($AR277,'Loyalty Incentive v1'!$L$3:$Q$15,3,FALSE),
IF($AL277=2,VLOOKUP($AR277,'Loyalty Incentive v1'!$L$3:$Q$15,4,FALSE),
IF($AL277=1,VLOOKUP($AR277,'Loyalty Incentive v1'!$L$3:$Q$15,5,FALSE),
IF($AL277=0,VLOOKUP($AR277,'Loyalty Incentive v1'!$L$3:$Q$15,6,FALSE),0)))))</f>
        <v>0</v>
      </c>
      <c r="AN277" s="51">
        <f>IFERROR(IF(I277&gt;="1",AM277,VLOOKUP(VALUE(I277),'Loyalty - Effec - 15July'!$I$5:$J$16,2,0)*AM277),0)</f>
        <v>0</v>
      </c>
      <c r="AO277" s="51">
        <v>0</v>
      </c>
      <c r="AP277" s="51">
        <f t="shared" si="157"/>
        <v>0</v>
      </c>
      <c r="AQ277" s="46" t="str">
        <f t="shared" si="169"/>
        <v>No</v>
      </c>
      <c r="AR277" s="46" t="str">
        <f t="shared" si="170"/>
        <v>AE2</v>
      </c>
      <c r="AS277" s="46" t="b">
        <f t="shared" si="171"/>
        <v>1</v>
      </c>
      <c r="AT277" s="82">
        <f t="shared" si="175"/>
        <v>0</v>
      </c>
      <c r="AU277" s="81">
        <f t="shared" si="158"/>
        <v>0</v>
      </c>
      <c r="AV277" s="81">
        <f t="shared" si="159"/>
        <v>0</v>
      </c>
      <c r="AW277" s="81">
        <f t="shared" si="160"/>
        <v>0</v>
      </c>
      <c r="AX277" s="85"/>
      <c r="AY277" s="81">
        <f t="shared" si="161"/>
        <v>0</v>
      </c>
      <c r="AZ277" s="83">
        <f t="shared" si="162"/>
        <v>0</v>
      </c>
      <c r="BA277" s="81">
        <f t="shared" si="163"/>
        <v>0</v>
      </c>
      <c r="BB277" s="83">
        <v>0</v>
      </c>
      <c r="BC277" s="83">
        <v>0</v>
      </c>
      <c r="BD277" s="83">
        <v>0</v>
      </c>
      <c r="BE277" s="84">
        <f>ROUND((IF(($AT277&lt;=700000),0,IF(((VLOOKUP($AR277,'Loyalty - Effec - 15July'!$B$5:$C$17,2,0)*$AT277)&lt;=120000),(VLOOKUP($AR277,'Loyalty - Effec - 15July'!$B$5:$C$17,2,0)*$AT277),120000))),0)</f>
        <v>0</v>
      </c>
      <c r="BF277" s="83">
        <f>ROUND(VLOOKUP($AR277,'Loyalty - Effec - 15July'!$B$5:$D$17,3,0)*$AT277,0)</f>
        <v>0</v>
      </c>
      <c r="BG277" s="85">
        <f t="shared" si="164"/>
        <v>0</v>
      </c>
      <c r="BH277" s="83">
        <f t="shared" si="165"/>
        <v>0</v>
      </c>
      <c r="BI277" s="85">
        <f t="shared" si="166"/>
        <v>0</v>
      </c>
      <c r="BJ277" s="85">
        <f t="shared" si="167"/>
        <v>0</v>
      </c>
      <c r="BK277" s="85">
        <f t="shared" si="168"/>
        <v>0</v>
      </c>
      <c r="BL277" s="85">
        <f t="shared" si="172"/>
        <v>0</v>
      </c>
      <c r="BM277" s="85">
        <f t="shared" si="173"/>
        <v>0</v>
      </c>
      <c r="BN277" s="85">
        <f t="shared" si="174"/>
        <v>0</v>
      </c>
      <c r="BO277" s="46" t="s">
        <v>85</v>
      </c>
      <c r="BP277" s="46"/>
      <c r="BQ277" s="46"/>
      <c r="BU277" s="47">
        <f t="shared" si="176"/>
        <v>0</v>
      </c>
      <c r="BV277" s="53" t="s">
        <v>541</v>
      </c>
      <c r="BW277" s="53" t="s">
        <v>932</v>
      </c>
      <c r="BX277" s="53" t="s">
        <v>762</v>
      </c>
      <c r="BY277" s="53"/>
      <c r="BZ277" s="53"/>
    </row>
    <row r="278" spans="1:78">
      <c r="A278" s="42" t="s">
        <v>542</v>
      </c>
      <c r="B278" s="28" t="s">
        <v>79</v>
      </c>
      <c r="C278" s="28" t="s">
        <v>80</v>
      </c>
      <c r="D278" s="28" t="s">
        <v>932</v>
      </c>
      <c r="F278" s="28" t="s">
        <v>902</v>
      </c>
      <c r="G278" s="44" t="s">
        <v>763</v>
      </c>
      <c r="H278" s="45">
        <v>44993</v>
      </c>
      <c r="I278" s="46" t="s">
        <v>1005</v>
      </c>
      <c r="J278" s="28">
        <v>2</v>
      </c>
      <c r="K278" s="28" t="s">
        <v>417</v>
      </c>
      <c r="L278" s="28" t="s">
        <v>872</v>
      </c>
      <c r="M278" s="28" t="s">
        <v>9</v>
      </c>
      <c r="N278" s="28" t="str">
        <f t="shared" si="145"/>
        <v>AE1</v>
      </c>
      <c r="O278" s="81"/>
      <c r="P278" s="81">
        <f t="shared" si="146"/>
        <v>0</v>
      </c>
      <c r="Q278" s="81">
        <f t="shared" si="147"/>
        <v>0</v>
      </c>
      <c r="R278" s="81">
        <f t="shared" si="148"/>
        <v>0</v>
      </c>
      <c r="S278" s="81"/>
      <c r="T278" s="82">
        <f t="shared" si="149"/>
        <v>0</v>
      </c>
      <c r="U278" s="82">
        <f t="shared" si="150"/>
        <v>0</v>
      </c>
      <c r="V278" s="82">
        <f t="shared" si="151"/>
        <v>0</v>
      </c>
      <c r="W278" s="83">
        <v>0</v>
      </c>
      <c r="X278" s="83">
        <v>0</v>
      </c>
      <c r="Y278" s="83">
        <v>0</v>
      </c>
      <c r="Z278" s="84">
        <f>ROUND((IF(($O278&lt;=700000),0,IF(((VLOOKUP($M278,'Loyalty - Effec - 15July'!$B$5:$C$17,2,0)*$O278)&lt;=120000),(VLOOKUP($M278,'Loyalty - Effec - 15July'!$B$5:$C$17,2,0)*$O278),120000))),0)</f>
        <v>0</v>
      </c>
      <c r="AA278" s="84">
        <f>ROUND(VLOOKUP($M278,'Loyalty - Effec - 15July'!$B$5:$D$17,3,0)*$O278,0)</f>
        <v>0</v>
      </c>
      <c r="AB278" s="85">
        <f t="shared" si="152"/>
        <v>0</v>
      </c>
      <c r="AC278" s="86">
        <f t="shared" si="153"/>
        <v>0</v>
      </c>
      <c r="AD278" s="87">
        <f t="shared" si="154"/>
        <v>0</v>
      </c>
      <c r="AE278" s="88">
        <f t="shared" si="155"/>
        <v>0</v>
      </c>
      <c r="AF278" s="88">
        <f t="shared" si="156"/>
        <v>0</v>
      </c>
      <c r="AG278" s="49" t="s">
        <v>144</v>
      </c>
      <c r="AH278" s="49" t="s">
        <v>909</v>
      </c>
      <c r="AI278" s="50"/>
      <c r="AJ278" s="46"/>
      <c r="AK278" s="46"/>
      <c r="AL278" s="46"/>
      <c r="AM278" s="51">
        <f>IF($AL278=4,VLOOKUP($AR278,'Loyalty Incentive v1'!$L$3:$Q$15,2,FALSE),
IF($AL278=3,VLOOKUP($AR278,'Loyalty Incentive v1'!$L$3:$Q$15,3,FALSE),
IF($AL278=2,VLOOKUP($AR278,'Loyalty Incentive v1'!$L$3:$Q$15,4,FALSE),
IF($AL278=1,VLOOKUP($AR278,'Loyalty Incentive v1'!$L$3:$Q$15,5,FALSE),
IF($AL278=0,VLOOKUP($AR278,'Loyalty Incentive v1'!$L$3:$Q$15,6,FALSE),0)))))</f>
        <v>0</v>
      </c>
      <c r="AN278" s="51">
        <f>IFERROR(IF(I278&gt;="1",AM278,VLOOKUP(VALUE(I278),'Loyalty - Effec - 15July'!$I$5:$J$16,2,0)*AM278),0)</f>
        <v>0</v>
      </c>
      <c r="AO278" s="51">
        <v>0</v>
      </c>
      <c r="AP278" s="51">
        <f t="shared" si="157"/>
        <v>0</v>
      </c>
      <c r="AQ278" s="46" t="str">
        <f t="shared" si="169"/>
        <v>No</v>
      </c>
      <c r="AR278" s="46" t="str">
        <f t="shared" si="170"/>
        <v>AE1</v>
      </c>
      <c r="AS278" s="46" t="b">
        <f t="shared" si="171"/>
        <v>1</v>
      </c>
      <c r="AT278" s="82">
        <f t="shared" ref="AT278:AT309" si="177">O278+(O278*AP278)</f>
        <v>0</v>
      </c>
      <c r="AU278" s="81">
        <f t="shared" si="158"/>
        <v>0</v>
      </c>
      <c r="AV278" s="81">
        <f t="shared" si="159"/>
        <v>0</v>
      </c>
      <c r="AW278" s="81">
        <f t="shared" si="160"/>
        <v>0</v>
      </c>
      <c r="AX278" s="85"/>
      <c r="AY278" s="81">
        <f t="shared" si="161"/>
        <v>0</v>
      </c>
      <c r="AZ278" s="83">
        <f t="shared" si="162"/>
        <v>0</v>
      </c>
      <c r="BA278" s="81">
        <f t="shared" si="163"/>
        <v>0</v>
      </c>
      <c r="BB278" s="83">
        <v>0</v>
      </c>
      <c r="BC278" s="83">
        <v>0</v>
      </c>
      <c r="BD278" s="83">
        <v>0</v>
      </c>
      <c r="BE278" s="84">
        <f>ROUND((IF(($AT278&lt;=700000),0,IF(((VLOOKUP($AR278,'Loyalty - Effec - 15July'!$B$5:$C$17,2,0)*$AT278)&lt;=120000),(VLOOKUP($AR278,'Loyalty - Effec - 15July'!$B$5:$C$17,2,0)*$AT278),120000))),0)</f>
        <v>0</v>
      </c>
      <c r="BF278" s="83">
        <f>ROUND(VLOOKUP($AR278,'Loyalty - Effec - 15July'!$B$5:$D$17,3,0)*$AT278,0)</f>
        <v>0</v>
      </c>
      <c r="BG278" s="85">
        <f t="shared" si="164"/>
        <v>0</v>
      </c>
      <c r="BH278" s="83">
        <f t="shared" si="165"/>
        <v>0</v>
      </c>
      <c r="BI278" s="85">
        <f t="shared" si="166"/>
        <v>0</v>
      </c>
      <c r="BJ278" s="85">
        <f t="shared" si="167"/>
        <v>0</v>
      </c>
      <c r="BK278" s="85">
        <f t="shared" si="168"/>
        <v>0</v>
      </c>
      <c r="BL278" s="85">
        <f t="shared" si="172"/>
        <v>0</v>
      </c>
      <c r="BM278" s="85">
        <f t="shared" si="173"/>
        <v>0</v>
      </c>
      <c r="BN278" s="85">
        <f t="shared" si="174"/>
        <v>0</v>
      </c>
      <c r="BO278" s="46" t="s">
        <v>85</v>
      </c>
      <c r="BP278" s="46"/>
      <c r="BQ278" s="46"/>
      <c r="BU278" s="47">
        <f t="shared" si="176"/>
        <v>0</v>
      </c>
      <c r="BV278" s="53" t="s">
        <v>542</v>
      </c>
      <c r="BW278" s="53" t="s">
        <v>932</v>
      </c>
      <c r="BX278" s="53" t="s">
        <v>763</v>
      </c>
      <c r="BY278" s="53"/>
      <c r="BZ278" s="53"/>
    </row>
    <row r="279" spans="1:78">
      <c r="A279" s="42" t="s">
        <v>543</v>
      </c>
      <c r="B279" s="28" t="s">
        <v>79</v>
      </c>
      <c r="C279" s="28" t="s">
        <v>80</v>
      </c>
      <c r="D279" s="28" t="s">
        <v>932</v>
      </c>
      <c r="F279" s="28" t="s">
        <v>901</v>
      </c>
      <c r="G279" s="44" t="s">
        <v>764</v>
      </c>
      <c r="H279" s="45">
        <v>44993</v>
      </c>
      <c r="I279" s="46" t="s">
        <v>1005</v>
      </c>
      <c r="J279" s="28">
        <v>2</v>
      </c>
      <c r="K279" s="28" t="s">
        <v>93</v>
      </c>
      <c r="L279" s="28" t="s">
        <v>873</v>
      </c>
      <c r="M279" s="28" t="s">
        <v>2</v>
      </c>
      <c r="N279" s="28" t="str">
        <f t="shared" si="145"/>
        <v>AE4</v>
      </c>
      <c r="O279" s="81"/>
      <c r="P279" s="81">
        <f t="shared" si="146"/>
        <v>0</v>
      </c>
      <c r="Q279" s="81">
        <f t="shared" si="147"/>
        <v>0</v>
      </c>
      <c r="R279" s="81">
        <f t="shared" si="148"/>
        <v>0</v>
      </c>
      <c r="S279" s="81"/>
      <c r="T279" s="82">
        <f t="shared" si="149"/>
        <v>0</v>
      </c>
      <c r="U279" s="82">
        <f t="shared" si="150"/>
        <v>0</v>
      </c>
      <c r="V279" s="82">
        <f t="shared" si="151"/>
        <v>0</v>
      </c>
      <c r="W279" s="83">
        <v>0</v>
      </c>
      <c r="X279" s="83">
        <v>0</v>
      </c>
      <c r="Y279" s="83">
        <v>0</v>
      </c>
      <c r="Z279" s="84">
        <f>ROUND((IF(($O279&lt;=700000),0,IF(((VLOOKUP($M279,'Loyalty - Effec - 15July'!$B$5:$C$17,2,0)*$O279)&lt;=120000),(VLOOKUP($M279,'Loyalty - Effec - 15July'!$B$5:$C$17,2,0)*$O279),120000))),0)</f>
        <v>0</v>
      </c>
      <c r="AA279" s="84">
        <f>ROUND(VLOOKUP($M279,'Loyalty - Effec - 15July'!$B$5:$D$17,3,0)*$O279,0)</f>
        <v>0</v>
      </c>
      <c r="AB279" s="85">
        <f t="shared" si="152"/>
        <v>0</v>
      </c>
      <c r="AC279" s="86">
        <f t="shared" si="153"/>
        <v>0</v>
      </c>
      <c r="AD279" s="87">
        <f t="shared" si="154"/>
        <v>0</v>
      </c>
      <c r="AE279" s="88">
        <f t="shared" si="155"/>
        <v>0</v>
      </c>
      <c r="AF279" s="88">
        <f t="shared" si="156"/>
        <v>0</v>
      </c>
      <c r="AG279" s="49" t="s">
        <v>212</v>
      </c>
      <c r="AH279" s="49" t="s">
        <v>928</v>
      </c>
      <c r="AI279" s="50"/>
      <c r="AJ279" s="46"/>
      <c r="AK279" s="46"/>
      <c r="AL279" s="46"/>
      <c r="AM279" s="51">
        <f>IF($AL279=4,VLOOKUP($AR279,'Loyalty Incentive v1'!$L$3:$Q$15,2,FALSE),
IF($AL279=3,VLOOKUP($AR279,'Loyalty Incentive v1'!$L$3:$Q$15,3,FALSE),
IF($AL279=2,VLOOKUP($AR279,'Loyalty Incentive v1'!$L$3:$Q$15,4,FALSE),
IF($AL279=1,VLOOKUP($AR279,'Loyalty Incentive v1'!$L$3:$Q$15,5,FALSE),
IF($AL279=0,VLOOKUP($AR279,'Loyalty Incentive v1'!$L$3:$Q$15,6,FALSE),0)))))</f>
        <v>0</v>
      </c>
      <c r="AN279" s="51">
        <f>IFERROR(IF(I279&gt;="1",AM279,VLOOKUP(VALUE(I279),'Loyalty - Effec - 15July'!$I$5:$J$16,2,0)*AM279),0)</f>
        <v>0</v>
      </c>
      <c r="AO279" s="51">
        <v>0</v>
      </c>
      <c r="AP279" s="51">
        <f t="shared" si="157"/>
        <v>0</v>
      </c>
      <c r="AQ279" s="46" t="str">
        <f t="shared" si="169"/>
        <v>No</v>
      </c>
      <c r="AR279" s="46" t="str">
        <f t="shared" si="170"/>
        <v>AE4</v>
      </c>
      <c r="AS279" s="46" t="b">
        <f t="shared" si="171"/>
        <v>1</v>
      </c>
      <c r="AT279" s="82">
        <f t="shared" si="177"/>
        <v>0</v>
      </c>
      <c r="AU279" s="81">
        <f t="shared" si="158"/>
        <v>0</v>
      </c>
      <c r="AV279" s="81">
        <f t="shared" si="159"/>
        <v>0</v>
      </c>
      <c r="AW279" s="81">
        <f t="shared" si="160"/>
        <v>0</v>
      </c>
      <c r="AX279" s="85"/>
      <c r="AY279" s="81">
        <f t="shared" si="161"/>
        <v>0</v>
      </c>
      <c r="AZ279" s="83">
        <f t="shared" si="162"/>
        <v>0</v>
      </c>
      <c r="BA279" s="81">
        <f t="shared" si="163"/>
        <v>0</v>
      </c>
      <c r="BB279" s="83">
        <v>0</v>
      </c>
      <c r="BC279" s="83">
        <v>0</v>
      </c>
      <c r="BD279" s="83">
        <v>0</v>
      </c>
      <c r="BE279" s="84">
        <f>ROUND((IF(($AT279&lt;=700000),0,IF(((VLOOKUP($AR279,'Loyalty - Effec - 15July'!$B$5:$C$17,2,0)*$AT279)&lt;=120000),(VLOOKUP($AR279,'Loyalty - Effec - 15July'!$B$5:$C$17,2,0)*$AT279),120000))),0)</f>
        <v>0</v>
      </c>
      <c r="BF279" s="83">
        <f>ROUND(VLOOKUP($AR279,'Loyalty - Effec - 15July'!$B$5:$D$17,3,0)*$AT279,0)</f>
        <v>0</v>
      </c>
      <c r="BG279" s="85">
        <f t="shared" si="164"/>
        <v>0</v>
      </c>
      <c r="BH279" s="83">
        <f t="shared" si="165"/>
        <v>0</v>
      </c>
      <c r="BI279" s="85">
        <f t="shared" si="166"/>
        <v>0</v>
      </c>
      <c r="BJ279" s="85">
        <f t="shared" si="167"/>
        <v>0</v>
      </c>
      <c r="BK279" s="85">
        <f t="shared" si="168"/>
        <v>0</v>
      </c>
      <c r="BL279" s="85">
        <f t="shared" si="172"/>
        <v>0</v>
      </c>
      <c r="BM279" s="85">
        <f t="shared" si="173"/>
        <v>0</v>
      </c>
      <c r="BN279" s="85">
        <f t="shared" si="174"/>
        <v>0</v>
      </c>
      <c r="BO279" s="46" t="s">
        <v>85</v>
      </c>
      <c r="BP279" s="46"/>
      <c r="BQ279" s="46"/>
      <c r="BU279" s="47">
        <f t="shared" si="176"/>
        <v>0</v>
      </c>
      <c r="BV279" s="53" t="s">
        <v>543</v>
      </c>
      <c r="BW279" s="53" t="s">
        <v>932</v>
      </c>
      <c r="BX279" s="53" t="s">
        <v>764</v>
      </c>
      <c r="BY279" s="53"/>
      <c r="BZ279" s="53"/>
    </row>
    <row r="280" spans="1:78">
      <c r="A280" s="42" t="s">
        <v>544</v>
      </c>
      <c r="B280" s="28" t="s">
        <v>79</v>
      </c>
      <c r="C280" s="28" t="s">
        <v>80</v>
      </c>
      <c r="D280" s="28" t="s">
        <v>932</v>
      </c>
      <c r="F280" s="28" t="s">
        <v>901</v>
      </c>
      <c r="G280" s="44" t="s">
        <v>765</v>
      </c>
      <c r="H280" s="45">
        <v>44993</v>
      </c>
      <c r="I280" s="46" t="s">
        <v>1005</v>
      </c>
      <c r="J280" s="28">
        <v>2</v>
      </c>
      <c r="K280" s="28" t="s">
        <v>407</v>
      </c>
      <c r="L280" s="28" t="s">
        <v>868</v>
      </c>
      <c r="M280" s="28" t="s">
        <v>9</v>
      </c>
      <c r="N280" s="28" t="str">
        <f t="shared" si="145"/>
        <v>AE1</v>
      </c>
      <c r="O280" s="81"/>
      <c r="P280" s="81">
        <f t="shared" si="146"/>
        <v>0</v>
      </c>
      <c r="Q280" s="81">
        <f t="shared" si="147"/>
        <v>0</v>
      </c>
      <c r="R280" s="81">
        <f t="shared" si="148"/>
        <v>0</v>
      </c>
      <c r="S280" s="81"/>
      <c r="T280" s="82">
        <f t="shared" si="149"/>
        <v>0</v>
      </c>
      <c r="U280" s="82">
        <f t="shared" si="150"/>
        <v>0</v>
      </c>
      <c r="V280" s="82">
        <f t="shared" si="151"/>
        <v>0</v>
      </c>
      <c r="W280" s="83">
        <v>0</v>
      </c>
      <c r="X280" s="83">
        <v>0</v>
      </c>
      <c r="Y280" s="83">
        <v>0</v>
      </c>
      <c r="Z280" s="84">
        <f>ROUND((IF(($O280&lt;=700000),0,IF(((VLOOKUP($M280,'Loyalty - Effec - 15July'!$B$5:$C$17,2,0)*$O280)&lt;=120000),(VLOOKUP($M280,'Loyalty - Effec - 15July'!$B$5:$C$17,2,0)*$O280),120000))),0)</f>
        <v>0</v>
      </c>
      <c r="AA280" s="84">
        <f>ROUND(VLOOKUP($M280,'Loyalty - Effec - 15July'!$B$5:$D$17,3,0)*$O280,0)</f>
        <v>0</v>
      </c>
      <c r="AB280" s="85">
        <f t="shared" si="152"/>
        <v>0</v>
      </c>
      <c r="AC280" s="86">
        <f t="shared" si="153"/>
        <v>0</v>
      </c>
      <c r="AD280" s="87">
        <f t="shared" si="154"/>
        <v>0</v>
      </c>
      <c r="AE280" s="88">
        <f t="shared" si="155"/>
        <v>0</v>
      </c>
      <c r="AF280" s="88">
        <f t="shared" si="156"/>
        <v>0</v>
      </c>
      <c r="AG280" s="49" t="s">
        <v>103</v>
      </c>
      <c r="AH280" s="49" t="s">
        <v>349</v>
      </c>
      <c r="AI280" s="50"/>
      <c r="AJ280" s="46"/>
      <c r="AK280" s="46"/>
      <c r="AL280" s="46"/>
      <c r="AM280" s="51">
        <f>IF($AL280=4,VLOOKUP($AR280,'Loyalty Incentive v1'!$L$3:$Q$15,2,FALSE),
IF($AL280=3,VLOOKUP($AR280,'Loyalty Incentive v1'!$L$3:$Q$15,3,FALSE),
IF($AL280=2,VLOOKUP($AR280,'Loyalty Incentive v1'!$L$3:$Q$15,4,FALSE),
IF($AL280=1,VLOOKUP($AR280,'Loyalty Incentive v1'!$L$3:$Q$15,5,FALSE),
IF($AL280=0,VLOOKUP($AR280,'Loyalty Incentive v1'!$L$3:$Q$15,6,FALSE),0)))))</f>
        <v>0</v>
      </c>
      <c r="AN280" s="51">
        <f>IFERROR(IF(I280&gt;="1",AM280,VLOOKUP(VALUE(I280),'Loyalty - Effec - 15July'!$I$5:$J$16,2,0)*AM280),0)</f>
        <v>0</v>
      </c>
      <c r="AO280" s="51">
        <v>0</v>
      </c>
      <c r="AP280" s="51">
        <f t="shared" si="157"/>
        <v>0</v>
      </c>
      <c r="AQ280" s="46" t="str">
        <f t="shared" si="169"/>
        <v>No</v>
      </c>
      <c r="AR280" s="46" t="str">
        <f t="shared" si="170"/>
        <v>AE1</v>
      </c>
      <c r="AS280" s="46" t="b">
        <f t="shared" si="171"/>
        <v>1</v>
      </c>
      <c r="AT280" s="82">
        <f t="shared" si="177"/>
        <v>0</v>
      </c>
      <c r="AU280" s="81">
        <f t="shared" si="158"/>
        <v>0</v>
      </c>
      <c r="AV280" s="81">
        <f t="shared" si="159"/>
        <v>0</v>
      </c>
      <c r="AW280" s="81">
        <f t="shared" si="160"/>
        <v>0</v>
      </c>
      <c r="AX280" s="85"/>
      <c r="AY280" s="81">
        <f t="shared" si="161"/>
        <v>0</v>
      </c>
      <c r="AZ280" s="83">
        <f t="shared" si="162"/>
        <v>0</v>
      </c>
      <c r="BA280" s="81">
        <f t="shared" si="163"/>
        <v>0</v>
      </c>
      <c r="BB280" s="83">
        <v>0</v>
      </c>
      <c r="BC280" s="83">
        <v>0</v>
      </c>
      <c r="BD280" s="83">
        <v>0</v>
      </c>
      <c r="BE280" s="84">
        <f>ROUND((IF(($AT280&lt;=700000),0,IF(((VLOOKUP($AR280,'Loyalty - Effec - 15July'!$B$5:$C$17,2,0)*$AT280)&lt;=120000),(VLOOKUP($AR280,'Loyalty - Effec - 15July'!$B$5:$C$17,2,0)*$AT280),120000))),0)</f>
        <v>0</v>
      </c>
      <c r="BF280" s="83">
        <f>ROUND(VLOOKUP($AR280,'Loyalty - Effec - 15July'!$B$5:$D$17,3,0)*$AT280,0)</f>
        <v>0</v>
      </c>
      <c r="BG280" s="85">
        <f t="shared" si="164"/>
        <v>0</v>
      </c>
      <c r="BH280" s="83">
        <f t="shared" si="165"/>
        <v>0</v>
      </c>
      <c r="BI280" s="85">
        <f t="shared" si="166"/>
        <v>0</v>
      </c>
      <c r="BJ280" s="85">
        <f t="shared" si="167"/>
        <v>0</v>
      </c>
      <c r="BK280" s="85">
        <f t="shared" si="168"/>
        <v>0</v>
      </c>
      <c r="BL280" s="85">
        <f t="shared" si="172"/>
        <v>0</v>
      </c>
      <c r="BM280" s="85">
        <f t="shared" si="173"/>
        <v>0</v>
      </c>
      <c r="BN280" s="85">
        <f t="shared" si="174"/>
        <v>0</v>
      </c>
      <c r="BO280" s="46" t="s">
        <v>85</v>
      </c>
      <c r="BP280" s="46"/>
      <c r="BQ280" s="46"/>
      <c r="BU280" s="47">
        <f t="shared" si="176"/>
        <v>0</v>
      </c>
      <c r="BV280" s="53" t="s">
        <v>544</v>
      </c>
      <c r="BW280" s="53" t="s">
        <v>932</v>
      </c>
      <c r="BX280" s="53" t="s">
        <v>765</v>
      </c>
      <c r="BY280" s="53"/>
      <c r="BZ280" s="53"/>
    </row>
    <row r="281" spans="1:78">
      <c r="A281" s="42" t="s">
        <v>545</v>
      </c>
      <c r="B281" s="28" t="s">
        <v>79</v>
      </c>
      <c r="C281" s="28" t="s">
        <v>80</v>
      </c>
      <c r="D281" s="28" t="s">
        <v>932</v>
      </c>
      <c r="F281" s="28" t="s">
        <v>901</v>
      </c>
      <c r="G281" s="44" t="s">
        <v>766</v>
      </c>
      <c r="H281" s="45">
        <v>44993</v>
      </c>
      <c r="I281" s="46" t="s">
        <v>1005</v>
      </c>
      <c r="J281" s="28">
        <v>2</v>
      </c>
      <c r="K281" s="28" t="s">
        <v>407</v>
      </c>
      <c r="L281" s="28" t="s">
        <v>868</v>
      </c>
      <c r="M281" s="28" t="s">
        <v>9</v>
      </c>
      <c r="N281" s="28" t="str">
        <f t="shared" si="145"/>
        <v>AE1</v>
      </c>
      <c r="O281" s="81"/>
      <c r="P281" s="81">
        <f t="shared" si="146"/>
        <v>0</v>
      </c>
      <c r="Q281" s="81">
        <f t="shared" si="147"/>
        <v>0</v>
      </c>
      <c r="R281" s="81">
        <f t="shared" si="148"/>
        <v>0</v>
      </c>
      <c r="S281" s="81"/>
      <c r="T281" s="82">
        <f t="shared" si="149"/>
        <v>0</v>
      </c>
      <c r="U281" s="82">
        <f t="shared" si="150"/>
        <v>0</v>
      </c>
      <c r="V281" s="82">
        <f t="shared" si="151"/>
        <v>0</v>
      </c>
      <c r="W281" s="83">
        <v>0</v>
      </c>
      <c r="X281" s="83">
        <v>0</v>
      </c>
      <c r="Y281" s="83">
        <v>0</v>
      </c>
      <c r="Z281" s="84">
        <f>ROUND((IF(($O281&lt;=700000),0,IF(((VLOOKUP($M281,'Loyalty - Effec - 15July'!$B$5:$C$17,2,0)*$O281)&lt;=120000),(VLOOKUP($M281,'Loyalty - Effec - 15July'!$B$5:$C$17,2,0)*$O281),120000))),0)</f>
        <v>0</v>
      </c>
      <c r="AA281" s="84">
        <f>ROUND(VLOOKUP($M281,'Loyalty - Effec - 15July'!$B$5:$D$17,3,0)*$O281,0)</f>
        <v>0</v>
      </c>
      <c r="AB281" s="85">
        <f t="shared" si="152"/>
        <v>0</v>
      </c>
      <c r="AC281" s="86">
        <f t="shared" si="153"/>
        <v>0</v>
      </c>
      <c r="AD281" s="87">
        <f t="shared" si="154"/>
        <v>0</v>
      </c>
      <c r="AE281" s="88">
        <f t="shared" si="155"/>
        <v>0</v>
      </c>
      <c r="AF281" s="88">
        <f t="shared" si="156"/>
        <v>0</v>
      </c>
      <c r="AG281" s="49" t="s">
        <v>702</v>
      </c>
      <c r="AH281" s="49" t="s">
        <v>349</v>
      </c>
      <c r="AI281" s="50"/>
      <c r="AJ281" s="46"/>
      <c r="AK281" s="46"/>
      <c r="AL281" s="46"/>
      <c r="AM281" s="51">
        <f>IF($AL281=4,VLOOKUP($AR281,'Loyalty Incentive v1'!$L$3:$Q$15,2,FALSE),
IF($AL281=3,VLOOKUP($AR281,'Loyalty Incentive v1'!$L$3:$Q$15,3,FALSE),
IF($AL281=2,VLOOKUP($AR281,'Loyalty Incentive v1'!$L$3:$Q$15,4,FALSE),
IF($AL281=1,VLOOKUP($AR281,'Loyalty Incentive v1'!$L$3:$Q$15,5,FALSE),
IF($AL281=0,VLOOKUP($AR281,'Loyalty Incentive v1'!$L$3:$Q$15,6,FALSE),0)))))</f>
        <v>0</v>
      </c>
      <c r="AN281" s="51">
        <f>IFERROR(IF(I281&gt;="1",AM281,VLOOKUP(VALUE(I281),'Loyalty - Effec - 15July'!$I$5:$J$16,2,0)*AM281),0)</f>
        <v>0</v>
      </c>
      <c r="AO281" s="51">
        <v>0</v>
      </c>
      <c r="AP281" s="51">
        <f t="shared" si="157"/>
        <v>0</v>
      </c>
      <c r="AQ281" s="46" t="str">
        <f t="shared" si="169"/>
        <v>No</v>
      </c>
      <c r="AR281" s="46" t="str">
        <f t="shared" si="170"/>
        <v>AE1</v>
      </c>
      <c r="AS281" s="46" t="b">
        <f t="shared" si="171"/>
        <v>1</v>
      </c>
      <c r="AT281" s="82">
        <f t="shared" si="177"/>
        <v>0</v>
      </c>
      <c r="AU281" s="81">
        <f t="shared" si="158"/>
        <v>0</v>
      </c>
      <c r="AV281" s="81">
        <f t="shared" si="159"/>
        <v>0</v>
      </c>
      <c r="AW281" s="81">
        <f t="shared" si="160"/>
        <v>0</v>
      </c>
      <c r="AX281" s="85"/>
      <c r="AY281" s="81">
        <f t="shared" si="161"/>
        <v>0</v>
      </c>
      <c r="AZ281" s="83">
        <f t="shared" si="162"/>
        <v>0</v>
      </c>
      <c r="BA281" s="81">
        <f t="shared" si="163"/>
        <v>0</v>
      </c>
      <c r="BB281" s="83">
        <v>0</v>
      </c>
      <c r="BC281" s="83">
        <v>0</v>
      </c>
      <c r="BD281" s="83">
        <v>0</v>
      </c>
      <c r="BE281" s="84">
        <f>ROUND((IF(($AT281&lt;=700000),0,IF(((VLOOKUP($AR281,'Loyalty - Effec - 15July'!$B$5:$C$17,2,0)*$AT281)&lt;=120000),(VLOOKUP($AR281,'Loyalty - Effec - 15July'!$B$5:$C$17,2,0)*$AT281),120000))),0)</f>
        <v>0</v>
      </c>
      <c r="BF281" s="83">
        <f>ROUND(VLOOKUP($AR281,'Loyalty - Effec - 15July'!$B$5:$D$17,3,0)*$AT281,0)</f>
        <v>0</v>
      </c>
      <c r="BG281" s="85">
        <f t="shared" si="164"/>
        <v>0</v>
      </c>
      <c r="BH281" s="83">
        <f t="shared" si="165"/>
        <v>0</v>
      </c>
      <c r="BI281" s="85">
        <f t="shared" si="166"/>
        <v>0</v>
      </c>
      <c r="BJ281" s="85">
        <f t="shared" si="167"/>
        <v>0</v>
      </c>
      <c r="BK281" s="85">
        <f t="shared" si="168"/>
        <v>0</v>
      </c>
      <c r="BL281" s="85">
        <f t="shared" si="172"/>
        <v>0</v>
      </c>
      <c r="BM281" s="85">
        <f t="shared" si="173"/>
        <v>0</v>
      </c>
      <c r="BN281" s="85">
        <f t="shared" si="174"/>
        <v>0</v>
      </c>
      <c r="BO281" s="46" t="s">
        <v>85</v>
      </c>
      <c r="BP281" s="46"/>
      <c r="BQ281" s="46"/>
      <c r="BU281" s="47">
        <f t="shared" si="176"/>
        <v>0</v>
      </c>
      <c r="BV281" s="53" t="s">
        <v>545</v>
      </c>
      <c r="BW281" s="53" t="s">
        <v>932</v>
      </c>
      <c r="BX281" s="53" t="s">
        <v>766</v>
      </c>
      <c r="BY281" s="53"/>
      <c r="BZ281" s="53"/>
    </row>
    <row r="282" spans="1:78">
      <c r="A282" s="42" t="s">
        <v>546</v>
      </c>
      <c r="B282" s="28" t="s">
        <v>79</v>
      </c>
      <c r="C282" s="28" t="s">
        <v>80</v>
      </c>
      <c r="D282" s="28" t="s">
        <v>932</v>
      </c>
      <c r="F282" s="28" t="s">
        <v>901</v>
      </c>
      <c r="G282" s="44" t="s">
        <v>767</v>
      </c>
      <c r="H282" s="45">
        <v>44993</v>
      </c>
      <c r="I282" s="46" t="s">
        <v>1005</v>
      </c>
      <c r="J282" s="28">
        <v>2</v>
      </c>
      <c r="K282" s="28" t="s">
        <v>407</v>
      </c>
      <c r="L282" s="28" t="s">
        <v>868</v>
      </c>
      <c r="M282" s="28" t="s">
        <v>9</v>
      </c>
      <c r="N282" s="28" t="str">
        <f t="shared" si="145"/>
        <v>AE1</v>
      </c>
      <c r="O282" s="81"/>
      <c r="P282" s="81">
        <f t="shared" si="146"/>
        <v>0</v>
      </c>
      <c r="Q282" s="81">
        <f t="shared" si="147"/>
        <v>0</v>
      </c>
      <c r="R282" s="81">
        <f t="shared" si="148"/>
        <v>0</v>
      </c>
      <c r="S282" s="81"/>
      <c r="T282" s="82">
        <f t="shared" si="149"/>
        <v>0</v>
      </c>
      <c r="U282" s="82">
        <f t="shared" si="150"/>
        <v>0</v>
      </c>
      <c r="V282" s="82">
        <f t="shared" si="151"/>
        <v>0</v>
      </c>
      <c r="W282" s="83">
        <v>0</v>
      </c>
      <c r="X282" s="83">
        <v>0</v>
      </c>
      <c r="Y282" s="83">
        <v>0</v>
      </c>
      <c r="Z282" s="84">
        <f>ROUND((IF(($O282&lt;=700000),0,IF(((VLOOKUP($M282,'Loyalty - Effec - 15July'!$B$5:$C$17,2,0)*$O282)&lt;=120000),(VLOOKUP($M282,'Loyalty - Effec - 15July'!$B$5:$C$17,2,0)*$O282),120000))),0)</f>
        <v>0</v>
      </c>
      <c r="AA282" s="84">
        <f>ROUND(VLOOKUP($M282,'Loyalty - Effec - 15July'!$B$5:$D$17,3,0)*$O282,0)</f>
        <v>0</v>
      </c>
      <c r="AB282" s="85">
        <f t="shared" si="152"/>
        <v>0</v>
      </c>
      <c r="AC282" s="86">
        <f t="shared" si="153"/>
        <v>0</v>
      </c>
      <c r="AD282" s="87">
        <f t="shared" si="154"/>
        <v>0</v>
      </c>
      <c r="AE282" s="88">
        <f t="shared" si="155"/>
        <v>0</v>
      </c>
      <c r="AF282" s="88">
        <f t="shared" si="156"/>
        <v>0</v>
      </c>
      <c r="AG282" s="49" t="s">
        <v>702</v>
      </c>
      <c r="AH282" s="49" t="s">
        <v>349</v>
      </c>
      <c r="AI282" s="50"/>
      <c r="AJ282" s="46"/>
      <c r="AK282" s="46"/>
      <c r="AL282" s="46"/>
      <c r="AM282" s="51">
        <f>IF($AL282=4,VLOOKUP($AR282,'Loyalty Incentive v1'!$L$3:$Q$15,2,FALSE),
IF($AL282=3,VLOOKUP($AR282,'Loyalty Incentive v1'!$L$3:$Q$15,3,FALSE),
IF($AL282=2,VLOOKUP($AR282,'Loyalty Incentive v1'!$L$3:$Q$15,4,FALSE),
IF($AL282=1,VLOOKUP($AR282,'Loyalty Incentive v1'!$L$3:$Q$15,5,FALSE),
IF($AL282=0,VLOOKUP($AR282,'Loyalty Incentive v1'!$L$3:$Q$15,6,FALSE),0)))))</f>
        <v>0</v>
      </c>
      <c r="AN282" s="51">
        <f>IFERROR(IF(I282&gt;="1",AM282,VLOOKUP(VALUE(I282),'Loyalty - Effec - 15July'!$I$5:$J$16,2,0)*AM282),0)</f>
        <v>0</v>
      </c>
      <c r="AO282" s="51">
        <v>0</v>
      </c>
      <c r="AP282" s="51">
        <f t="shared" si="157"/>
        <v>0</v>
      </c>
      <c r="AQ282" s="46" t="str">
        <f t="shared" si="169"/>
        <v>No</v>
      </c>
      <c r="AR282" s="46" t="str">
        <f t="shared" si="170"/>
        <v>AE1</v>
      </c>
      <c r="AS282" s="46" t="b">
        <f t="shared" si="171"/>
        <v>1</v>
      </c>
      <c r="AT282" s="82">
        <f t="shared" si="177"/>
        <v>0</v>
      </c>
      <c r="AU282" s="81">
        <f t="shared" si="158"/>
        <v>0</v>
      </c>
      <c r="AV282" s="81">
        <f t="shared" si="159"/>
        <v>0</v>
      </c>
      <c r="AW282" s="81">
        <f t="shared" si="160"/>
        <v>0</v>
      </c>
      <c r="AX282" s="85"/>
      <c r="AY282" s="81">
        <f t="shared" si="161"/>
        <v>0</v>
      </c>
      <c r="AZ282" s="83">
        <f t="shared" si="162"/>
        <v>0</v>
      </c>
      <c r="BA282" s="81">
        <f t="shared" si="163"/>
        <v>0</v>
      </c>
      <c r="BB282" s="83">
        <v>0</v>
      </c>
      <c r="BC282" s="83">
        <v>0</v>
      </c>
      <c r="BD282" s="83">
        <v>0</v>
      </c>
      <c r="BE282" s="84">
        <f>ROUND((IF(($AT282&lt;=700000),0,IF(((VLOOKUP($AR282,'Loyalty - Effec - 15July'!$B$5:$C$17,2,0)*$AT282)&lt;=120000),(VLOOKUP($AR282,'Loyalty - Effec - 15July'!$B$5:$C$17,2,0)*$AT282),120000))),0)</f>
        <v>0</v>
      </c>
      <c r="BF282" s="83">
        <f>ROUND(VLOOKUP($AR282,'Loyalty - Effec - 15July'!$B$5:$D$17,3,0)*$AT282,0)</f>
        <v>0</v>
      </c>
      <c r="BG282" s="85">
        <f t="shared" si="164"/>
        <v>0</v>
      </c>
      <c r="BH282" s="83">
        <f t="shared" si="165"/>
        <v>0</v>
      </c>
      <c r="BI282" s="85">
        <f t="shared" si="166"/>
        <v>0</v>
      </c>
      <c r="BJ282" s="85">
        <f t="shared" si="167"/>
        <v>0</v>
      </c>
      <c r="BK282" s="85">
        <f t="shared" si="168"/>
        <v>0</v>
      </c>
      <c r="BL282" s="85">
        <f t="shared" si="172"/>
        <v>0</v>
      </c>
      <c r="BM282" s="85">
        <f t="shared" si="173"/>
        <v>0</v>
      </c>
      <c r="BN282" s="85">
        <f t="shared" si="174"/>
        <v>0</v>
      </c>
      <c r="BO282" s="46" t="s">
        <v>85</v>
      </c>
      <c r="BP282" s="46"/>
      <c r="BQ282" s="46"/>
      <c r="BU282" s="47">
        <f t="shared" si="176"/>
        <v>0</v>
      </c>
      <c r="BV282" s="53" t="s">
        <v>546</v>
      </c>
      <c r="BW282" s="53" t="s">
        <v>932</v>
      </c>
      <c r="BX282" s="53" t="s">
        <v>767</v>
      </c>
      <c r="BY282" s="53"/>
      <c r="BZ282" s="53"/>
    </row>
    <row r="283" spans="1:78">
      <c r="A283" s="42" t="s">
        <v>547</v>
      </c>
      <c r="B283" s="28" t="s">
        <v>79</v>
      </c>
      <c r="C283" s="28" t="s">
        <v>80</v>
      </c>
      <c r="D283" s="28" t="s">
        <v>932</v>
      </c>
      <c r="F283" s="28" t="s">
        <v>901</v>
      </c>
      <c r="G283" s="44" t="s">
        <v>768</v>
      </c>
      <c r="H283" s="45">
        <v>44993</v>
      </c>
      <c r="I283" s="46" t="s">
        <v>1005</v>
      </c>
      <c r="J283" s="28">
        <v>2</v>
      </c>
      <c r="K283" s="28" t="s">
        <v>407</v>
      </c>
      <c r="L283" s="28" t="s">
        <v>868</v>
      </c>
      <c r="M283" s="28" t="s">
        <v>9</v>
      </c>
      <c r="N283" s="28" t="str">
        <f t="shared" si="145"/>
        <v>AE1</v>
      </c>
      <c r="O283" s="81"/>
      <c r="P283" s="81">
        <f t="shared" si="146"/>
        <v>0</v>
      </c>
      <c r="Q283" s="81">
        <f t="shared" si="147"/>
        <v>0</v>
      </c>
      <c r="R283" s="81">
        <f t="shared" si="148"/>
        <v>0</v>
      </c>
      <c r="S283" s="81"/>
      <c r="T283" s="82">
        <f t="shared" si="149"/>
        <v>0</v>
      </c>
      <c r="U283" s="82">
        <f t="shared" si="150"/>
        <v>0</v>
      </c>
      <c r="V283" s="82">
        <f t="shared" si="151"/>
        <v>0</v>
      </c>
      <c r="W283" s="83">
        <v>0</v>
      </c>
      <c r="X283" s="83">
        <v>0</v>
      </c>
      <c r="Y283" s="83">
        <v>0</v>
      </c>
      <c r="Z283" s="84">
        <f>ROUND((IF(($O283&lt;=700000),0,IF(((VLOOKUP($M283,'Loyalty - Effec - 15July'!$B$5:$C$17,2,0)*$O283)&lt;=120000),(VLOOKUP($M283,'Loyalty - Effec - 15July'!$B$5:$C$17,2,0)*$O283),120000))),0)</f>
        <v>0</v>
      </c>
      <c r="AA283" s="84">
        <f>ROUND(VLOOKUP($M283,'Loyalty - Effec - 15July'!$B$5:$D$17,3,0)*$O283,0)</f>
        <v>0</v>
      </c>
      <c r="AB283" s="85">
        <f t="shared" si="152"/>
        <v>0</v>
      </c>
      <c r="AC283" s="86">
        <f t="shared" si="153"/>
        <v>0</v>
      </c>
      <c r="AD283" s="87">
        <f t="shared" si="154"/>
        <v>0</v>
      </c>
      <c r="AE283" s="88">
        <f t="shared" si="155"/>
        <v>0</v>
      </c>
      <c r="AF283" s="88">
        <f t="shared" si="156"/>
        <v>0</v>
      </c>
      <c r="AG283" s="49" t="s">
        <v>702</v>
      </c>
      <c r="AH283" s="49" t="s">
        <v>349</v>
      </c>
      <c r="AI283" s="50"/>
      <c r="AJ283" s="46"/>
      <c r="AK283" s="46"/>
      <c r="AL283" s="46"/>
      <c r="AM283" s="51">
        <f>IF($AL283=4,VLOOKUP($AR283,'Loyalty Incentive v1'!$L$3:$Q$15,2,FALSE),
IF($AL283=3,VLOOKUP($AR283,'Loyalty Incentive v1'!$L$3:$Q$15,3,FALSE),
IF($AL283=2,VLOOKUP($AR283,'Loyalty Incentive v1'!$L$3:$Q$15,4,FALSE),
IF($AL283=1,VLOOKUP($AR283,'Loyalty Incentive v1'!$L$3:$Q$15,5,FALSE),
IF($AL283=0,VLOOKUP($AR283,'Loyalty Incentive v1'!$L$3:$Q$15,6,FALSE),0)))))</f>
        <v>0</v>
      </c>
      <c r="AN283" s="51">
        <f>IFERROR(IF(I283&gt;="1",AM283,VLOOKUP(VALUE(I283),'Loyalty - Effec - 15July'!$I$5:$J$16,2,0)*AM283),0)</f>
        <v>0</v>
      </c>
      <c r="AO283" s="51">
        <v>0</v>
      </c>
      <c r="AP283" s="51">
        <f t="shared" si="157"/>
        <v>0</v>
      </c>
      <c r="AQ283" s="46" t="str">
        <f t="shared" si="169"/>
        <v>No</v>
      </c>
      <c r="AR283" s="46" t="str">
        <f t="shared" si="170"/>
        <v>AE1</v>
      </c>
      <c r="AS283" s="46" t="b">
        <f t="shared" si="171"/>
        <v>1</v>
      </c>
      <c r="AT283" s="82">
        <f t="shared" si="177"/>
        <v>0</v>
      </c>
      <c r="AU283" s="81">
        <f t="shared" si="158"/>
        <v>0</v>
      </c>
      <c r="AV283" s="81">
        <f t="shared" si="159"/>
        <v>0</v>
      </c>
      <c r="AW283" s="81">
        <f t="shared" si="160"/>
        <v>0</v>
      </c>
      <c r="AX283" s="85"/>
      <c r="AY283" s="81">
        <f t="shared" si="161"/>
        <v>0</v>
      </c>
      <c r="AZ283" s="83">
        <f t="shared" si="162"/>
        <v>0</v>
      </c>
      <c r="BA283" s="81">
        <f t="shared" si="163"/>
        <v>0</v>
      </c>
      <c r="BB283" s="83">
        <v>0</v>
      </c>
      <c r="BC283" s="83">
        <v>0</v>
      </c>
      <c r="BD283" s="83">
        <v>0</v>
      </c>
      <c r="BE283" s="84">
        <f>ROUND((IF(($AT283&lt;=700000),0,IF(((VLOOKUP($AR283,'Loyalty - Effec - 15July'!$B$5:$C$17,2,0)*$AT283)&lt;=120000),(VLOOKUP($AR283,'Loyalty - Effec - 15July'!$B$5:$C$17,2,0)*$AT283),120000))),0)</f>
        <v>0</v>
      </c>
      <c r="BF283" s="83">
        <f>ROUND(VLOOKUP($AR283,'Loyalty - Effec - 15July'!$B$5:$D$17,3,0)*$AT283,0)</f>
        <v>0</v>
      </c>
      <c r="BG283" s="85">
        <f t="shared" si="164"/>
        <v>0</v>
      </c>
      <c r="BH283" s="83">
        <f t="shared" si="165"/>
        <v>0</v>
      </c>
      <c r="BI283" s="85">
        <f t="shared" si="166"/>
        <v>0</v>
      </c>
      <c r="BJ283" s="85">
        <f t="shared" si="167"/>
        <v>0</v>
      </c>
      <c r="BK283" s="85">
        <f t="shared" si="168"/>
        <v>0</v>
      </c>
      <c r="BL283" s="85">
        <f t="shared" si="172"/>
        <v>0</v>
      </c>
      <c r="BM283" s="85">
        <f t="shared" si="173"/>
        <v>0</v>
      </c>
      <c r="BN283" s="85">
        <f t="shared" si="174"/>
        <v>0</v>
      </c>
      <c r="BO283" s="46" t="s">
        <v>85</v>
      </c>
      <c r="BP283" s="46"/>
      <c r="BQ283" s="46"/>
      <c r="BU283" s="47">
        <f t="shared" si="176"/>
        <v>0</v>
      </c>
      <c r="BV283" s="53" t="s">
        <v>547</v>
      </c>
      <c r="BW283" s="53" t="s">
        <v>932</v>
      </c>
      <c r="BX283" s="53" t="s">
        <v>768</v>
      </c>
      <c r="BY283" s="53"/>
      <c r="BZ283" s="53"/>
    </row>
    <row r="284" spans="1:78">
      <c r="A284" s="42" t="s">
        <v>548</v>
      </c>
      <c r="B284" s="28" t="s">
        <v>79</v>
      </c>
      <c r="C284" s="28" t="s">
        <v>80</v>
      </c>
      <c r="D284" s="28" t="s">
        <v>932</v>
      </c>
      <c r="F284" s="28" t="s">
        <v>901</v>
      </c>
      <c r="G284" s="44" t="s">
        <v>769</v>
      </c>
      <c r="H284" s="45">
        <v>44993</v>
      </c>
      <c r="I284" s="46" t="s">
        <v>1005</v>
      </c>
      <c r="J284" s="28">
        <v>2</v>
      </c>
      <c r="K284" s="28" t="s">
        <v>407</v>
      </c>
      <c r="L284" s="28" t="s">
        <v>868</v>
      </c>
      <c r="M284" s="28" t="s">
        <v>9</v>
      </c>
      <c r="N284" s="28" t="str">
        <f t="shared" si="145"/>
        <v>AE1</v>
      </c>
      <c r="O284" s="81"/>
      <c r="P284" s="81">
        <f t="shared" si="146"/>
        <v>0</v>
      </c>
      <c r="Q284" s="81">
        <f t="shared" si="147"/>
        <v>0</v>
      </c>
      <c r="R284" s="81">
        <f t="shared" si="148"/>
        <v>0</v>
      </c>
      <c r="S284" s="81"/>
      <c r="T284" s="82">
        <f t="shared" si="149"/>
        <v>0</v>
      </c>
      <c r="U284" s="82">
        <f t="shared" si="150"/>
        <v>0</v>
      </c>
      <c r="V284" s="82">
        <f t="shared" si="151"/>
        <v>0</v>
      </c>
      <c r="W284" s="83">
        <v>0</v>
      </c>
      <c r="X284" s="83">
        <v>0</v>
      </c>
      <c r="Y284" s="83">
        <v>0</v>
      </c>
      <c r="Z284" s="84">
        <f>ROUND((IF(($O284&lt;=700000),0,IF(((VLOOKUP($M284,'Loyalty - Effec - 15July'!$B$5:$C$17,2,0)*$O284)&lt;=120000),(VLOOKUP($M284,'Loyalty - Effec - 15July'!$B$5:$C$17,2,0)*$O284),120000))),0)</f>
        <v>0</v>
      </c>
      <c r="AA284" s="84">
        <f>ROUND(VLOOKUP($M284,'Loyalty - Effec - 15July'!$B$5:$D$17,3,0)*$O284,0)</f>
        <v>0</v>
      </c>
      <c r="AB284" s="85">
        <f t="shared" si="152"/>
        <v>0</v>
      </c>
      <c r="AC284" s="86">
        <f t="shared" si="153"/>
        <v>0</v>
      </c>
      <c r="AD284" s="87">
        <f t="shared" si="154"/>
        <v>0</v>
      </c>
      <c r="AE284" s="88">
        <f t="shared" si="155"/>
        <v>0</v>
      </c>
      <c r="AF284" s="88">
        <f t="shared" si="156"/>
        <v>0</v>
      </c>
      <c r="AG284" s="49" t="s">
        <v>702</v>
      </c>
      <c r="AH284" s="49" t="s">
        <v>349</v>
      </c>
      <c r="AI284" s="50"/>
      <c r="AJ284" s="46"/>
      <c r="AK284" s="46"/>
      <c r="AL284" s="46"/>
      <c r="AM284" s="51">
        <f>IF($AL284=4,VLOOKUP($AR284,'Loyalty Incentive v1'!$L$3:$Q$15,2,FALSE),
IF($AL284=3,VLOOKUP($AR284,'Loyalty Incentive v1'!$L$3:$Q$15,3,FALSE),
IF($AL284=2,VLOOKUP($AR284,'Loyalty Incentive v1'!$L$3:$Q$15,4,FALSE),
IF($AL284=1,VLOOKUP($AR284,'Loyalty Incentive v1'!$L$3:$Q$15,5,FALSE),
IF($AL284=0,VLOOKUP($AR284,'Loyalty Incentive v1'!$L$3:$Q$15,6,FALSE),0)))))</f>
        <v>0</v>
      </c>
      <c r="AN284" s="51">
        <f>IFERROR(IF(I284&gt;="1",AM284,VLOOKUP(VALUE(I284),'Loyalty - Effec - 15July'!$I$5:$J$16,2,0)*AM284),0)</f>
        <v>0</v>
      </c>
      <c r="AO284" s="51">
        <v>0</v>
      </c>
      <c r="AP284" s="51">
        <f t="shared" si="157"/>
        <v>0</v>
      </c>
      <c r="AQ284" s="46" t="str">
        <f t="shared" si="169"/>
        <v>No</v>
      </c>
      <c r="AR284" s="46" t="str">
        <f t="shared" si="170"/>
        <v>AE1</v>
      </c>
      <c r="AS284" s="46" t="b">
        <f t="shared" si="171"/>
        <v>1</v>
      </c>
      <c r="AT284" s="82">
        <f t="shared" si="177"/>
        <v>0</v>
      </c>
      <c r="AU284" s="81">
        <f t="shared" si="158"/>
        <v>0</v>
      </c>
      <c r="AV284" s="81">
        <f t="shared" si="159"/>
        <v>0</v>
      </c>
      <c r="AW284" s="81">
        <f t="shared" si="160"/>
        <v>0</v>
      </c>
      <c r="AX284" s="85"/>
      <c r="AY284" s="81">
        <f t="shared" si="161"/>
        <v>0</v>
      </c>
      <c r="AZ284" s="83">
        <f t="shared" si="162"/>
        <v>0</v>
      </c>
      <c r="BA284" s="81">
        <f t="shared" si="163"/>
        <v>0</v>
      </c>
      <c r="BB284" s="83">
        <v>0</v>
      </c>
      <c r="BC284" s="83">
        <v>0</v>
      </c>
      <c r="BD284" s="83">
        <v>0</v>
      </c>
      <c r="BE284" s="84">
        <f>ROUND((IF(($AT284&lt;=700000),0,IF(((VLOOKUP($AR284,'Loyalty - Effec - 15July'!$B$5:$C$17,2,0)*$AT284)&lt;=120000),(VLOOKUP($AR284,'Loyalty - Effec - 15July'!$B$5:$C$17,2,0)*$AT284),120000))),0)</f>
        <v>0</v>
      </c>
      <c r="BF284" s="83">
        <f>ROUND(VLOOKUP($AR284,'Loyalty - Effec - 15July'!$B$5:$D$17,3,0)*$AT284,0)</f>
        <v>0</v>
      </c>
      <c r="BG284" s="85">
        <f t="shared" si="164"/>
        <v>0</v>
      </c>
      <c r="BH284" s="83">
        <f t="shared" si="165"/>
        <v>0</v>
      </c>
      <c r="BI284" s="85">
        <f t="shared" si="166"/>
        <v>0</v>
      </c>
      <c r="BJ284" s="85">
        <f t="shared" si="167"/>
        <v>0</v>
      </c>
      <c r="BK284" s="85">
        <f t="shared" si="168"/>
        <v>0</v>
      </c>
      <c r="BL284" s="85">
        <f t="shared" si="172"/>
        <v>0</v>
      </c>
      <c r="BM284" s="85">
        <f t="shared" si="173"/>
        <v>0</v>
      </c>
      <c r="BN284" s="85">
        <f t="shared" si="174"/>
        <v>0</v>
      </c>
      <c r="BO284" s="46" t="s">
        <v>85</v>
      </c>
      <c r="BP284" s="46"/>
      <c r="BQ284" s="46"/>
      <c r="BU284" s="47">
        <f t="shared" si="176"/>
        <v>0</v>
      </c>
      <c r="BV284" s="53" t="s">
        <v>548</v>
      </c>
      <c r="BW284" s="53" t="s">
        <v>932</v>
      </c>
      <c r="BX284" s="53" t="s">
        <v>769</v>
      </c>
      <c r="BY284" s="53"/>
      <c r="BZ284" s="53"/>
    </row>
    <row r="285" spans="1:78">
      <c r="A285" s="42" t="s">
        <v>549</v>
      </c>
      <c r="B285" s="28" t="s">
        <v>79</v>
      </c>
      <c r="C285" s="28" t="s">
        <v>80</v>
      </c>
      <c r="D285" s="28" t="s">
        <v>932</v>
      </c>
      <c r="F285" s="28" t="s">
        <v>901</v>
      </c>
      <c r="G285" s="44" t="s">
        <v>770</v>
      </c>
      <c r="H285" s="45">
        <v>45000</v>
      </c>
      <c r="I285" s="46" t="s">
        <v>1005</v>
      </c>
      <c r="J285" s="28">
        <v>2</v>
      </c>
      <c r="K285" s="28" t="s">
        <v>413</v>
      </c>
      <c r="L285" s="28" t="s">
        <v>880</v>
      </c>
      <c r="M285" s="28" t="s">
        <v>1</v>
      </c>
      <c r="N285" s="28" t="str">
        <f t="shared" si="145"/>
        <v>AE3</v>
      </c>
      <c r="O285" s="81"/>
      <c r="P285" s="81">
        <f t="shared" si="146"/>
        <v>0</v>
      </c>
      <c r="Q285" s="81">
        <f t="shared" si="147"/>
        <v>0</v>
      </c>
      <c r="R285" s="81">
        <f t="shared" si="148"/>
        <v>0</v>
      </c>
      <c r="S285" s="81"/>
      <c r="T285" s="82">
        <f t="shared" si="149"/>
        <v>0</v>
      </c>
      <c r="U285" s="82">
        <f t="shared" si="150"/>
        <v>0</v>
      </c>
      <c r="V285" s="82">
        <f t="shared" si="151"/>
        <v>0</v>
      </c>
      <c r="W285" s="83">
        <v>0</v>
      </c>
      <c r="X285" s="83">
        <v>0</v>
      </c>
      <c r="Y285" s="83">
        <v>0</v>
      </c>
      <c r="Z285" s="84">
        <f>ROUND((IF(($O285&lt;=700000),0,IF(((VLOOKUP($M285,'Loyalty - Effec - 15July'!$B$5:$C$17,2,0)*$O285)&lt;=120000),(VLOOKUP($M285,'Loyalty - Effec - 15July'!$B$5:$C$17,2,0)*$O285),120000))),0)</f>
        <v>0</v>
      </c>
      <c r="AA285" s="84">
        <f>ROUND(VLOOKUP($M285,'Loyalty - Effec - 15July'!$B$5:$D$17,3,0)*$O285,0)</f>
        <v>0</v>
      </c>
      <c r="AB285" s="85">
        <f t="shared" si="152"/>
        <v>0</v>
      </c>
      <c r="AC285" s="86">
        <f t="shared" si="153"/>
        <v>0</v>
      </c>
      <c r="AD285" s="87">
        <f t="shared" si="154"/>
        <v>0</v>
      </c>
      <c r="AE285" s="88">
        <f t="shared" si="155"/>
        <v>0</v>
      </c>
      <c r="AF285" s="88">
        <f t="shared" si="156"/>
        <v>0</v>
      </c>
      <c r="AG285" s="49" t="s">
        <v>655</v>
      </c>
      <c r="AH285" s="49" t="s">
        <v>126</v>
      </c>
      <c r="AI285" s="50"/>
      <c r="AJ285" s="46"/>
      <c r="AK285" s="46"/>
      <c r="AL285" s="46"/>
      <c r="AM285" s="51">
        <f>IF($AL285=4,VLOOKUP($AR285,'Loyalty Incentive v1'!$L$3:$Q$15,2,FALSE),
IF($AL285=3,VLOOKUP($AR285,'Loyalty Incentive v1'!$L$3:$Q$15,3,FALSE),
IF($AL285=2,VLOOKUP($AR285,'Loyalty Incentive v1'!$L$3:$Q$15,4,FALSE),
IF($AL285=1,VLOOKUP($AR285,'Loyalty Incentive v1'!$L$3:$Q$15,5,FALSE),
IF($AL285=0,VLOOKUP($AR285,'Loyalty Incentive v1'!$L$3:$Q$15,6,FALSE),0)))))</f>
        <v>0</v>
      </c>
      <c r="AN285" s="51">
        <f>IFERROR(IF(I285&gt;="1",AM285,VLOOKUP(VALUE(I285),'Loyalty - Effec - 15July'!$I$5:$J$16,2,0)*AM285),0)</f>
        <v>0</v>
      </c>
      <c r="AO285" s="51">
        <v>0</v>
      </c>
      <c r="AP285" s="51">
        <f t="shared" si="157"/>
        <v>0</v>
      </c>
      <c r="AQ285" s="46" t="str">
        <f t="shared" si="169"/>
        <v>No</v>
      </c>
      <c r="AR285" s="46" t="str">
        <f t="shared" si="170"/>
        <v>AE3</v>
      </c>
      <c r="AS285" s="46" t="b">
        <f t="shared" si="171"/>
        <v>1</v>
      </c>
      <c r="AT285" s="82">
        <f t="shared" si="177"/>
        <v>0</v>
      </c>
      <c r="AU285" s="81">
        <f t="shared" si="158"/>
        <v>0</v>
      </c>
      <c r="AV285" s="81">
        <f t="shared" si="159"/>
        <v>0</v>
      </c>
      <c r="AW285" s="81">
        <f t="shared" si="160"/>
        <v>0</v>
      </c>
      <c r="AX285" s="85"/>
      <c r="AY285" s="81">
        <f t="shared" si="161"/>
        <v>0</v>
      </c>
      <c r="AZ285" s="83">
        <f t="shared" si="162"/>
        <v>0</v>
      </c>
      <c r="BA285" s="81">
        <f t="shared" si="163"/>
        <v>0</v>
      </c>
      <c r="BB285" s="83">
        <v>0</v>
      </c>
      <c r="BC285" s="83">
        <v>0</v>
      </c>
      <c r="BD285" s="83">
        <v>0</v>
      </c>
      <c r="BE285" s="84">
        <f>ROUND((IF(($AT285&lt;=700000),0,IF(((VLOOKUP($AR285,'Loyalty - Effec - 15July'!$B$5:$C$17,2,0)*$AT285)&lt;=120000),(VLOOKUP($AR285,'Loyalty - Effec - 15July'!$B$5:$C$17,2,0)*$AT285),120000))),0)</f>
        <v>0</v>
      </c>
      <c r="BF285" s="83">
        <f>ROUND(VLOOKUP($AR285,'Loyalty - Effec - 15July'!$B$5:$D$17,3,0)*$AT285,0)</f>
        <v>0</v>
      </c>
      <c r="BG285" s="85">
        <f t="shared" si="164"/>
        <v>0</v>
      </c>
      <c r="BH285" s="83">
        <f t="shared" si="165"/>
        <v>0</v>
      </c>
      <c r="BI285" s="85">
        <f t="shared" si="166"/>
        <v>0</v>
      </c>
      <c r="BJ285" s="85">
        <f t="shared" si="167"/>
        <v>0</v>
      </c>
      <c r="BK285" s="85">
        <f t="shared" si="168"/>
        <v>0</v>
      </c>
      <c r="BL285" s="85">
        <f t="shared" si="172"/>
        <v>0</v>
      </c>
      <c r="BM285" s="85">
        <f t="shared" si="173"/>
        <v>0</v>
      </c>
      <c r="BN285" s="85">
        <f t="shared" si="174"/>
        <v>0</v>
      </c>
      <c r="BO285" s="46" t="s">
        <v>85</v>
      </c>
      <c r="BP285" s="46"/>
      <c r="BQ285" s="46"/>
      <c r="BU285" s="47">
        <f t="shared" si="176"/>
        <v>0</v>
      </c>
      <c r="BV285" s="53" t="s">
        <v>549</v>
      </c>
      <c r="BW285" s="53" t="s">
        <v>932</v>
      </c>
      <c r="BX285" s="53" t="s">
        <v>770</v>
      </c>
      <c r="BY285" s="53"/>
      <c r="BZ285" s="53"/>
    </row>
    <row r="286" spans="1:78">
      <c r="A286" s="42" t="s">
        <v>550</v>
      </c>
      <c r="B286" s="28" t="s">
        <v>79</v>
      </c>
      <c r="C286" s="28" t="s">
        <v>80</v>
      </c>
      <c r="D286" s="28" t="s">
        <v>932</v>
      </c>
      <c r="F286" s="28" t="s">
        <v>901</v>
      </c>
      <c r="G286" s="44" t="s">
        <v>771</v>
      </c>
      <c r="H286" s="45">
        <v>45000</v>
      </c>
      <c r="I286" s="46" t="s">
        <v>1005</v>
      </c>
      <c r="J286" s="28">
        <v>2</v>
      </c>
      <c r="K286" s="28" t="s">
        <v>413</v>
      </c>
      <c r="L286" s="28" t="s">
        <v>880</v>
      </c>
      <c r="M286" s="28" t="s">
        <v>1</v>
      </c>
      <c r="N286" s="28" t="str">
        <f t="shared" si="145"/>
        <v>AE3</v>
      </c>
      <c r="O286" s="81"/>
      <c r="P286" s="81">
        <f t="shared" si="146"/>
        <v>0</v>
      </c>
      <c r="Q286" s="81">
        <f t="shared" si="147"/>
        <v>0</v>
      </c>
      <c r="R286" s="81">
        <f t="shared" si="148"/>
        <v>0</v>
      </c>
      <c r="S286" s="81"/>
      <c r="T286" s="82">
        <f t="shared" si="149"/>
        <v>0</v>
      </c>
      <c r="U286" s="82">
        <f t="shared" si="150"/>
        <v>0</v>
      </c>
      <c r="V286" s="82">
        <f t="shared" si="151"/>
        <v>0</v>
      </c>
      <c r="W286" s="83">
        <v>0</v>
      </c>
      <c r="X286" s="83">
        <v>0</v>
      </c>
      <c r="Y286" s="83">
        <v>0</v>
      </c>
      <c r="Z286" s="84">
        <f>ROUND((IF(($O286&lt;=700000),0,IF(((VLOOKUP($M286,'Loyalty - Effec - 15July'!$B$5:$C$17,2,0)*$O286)&lt;=120000),(VLOOKUP($M286,'Loyalty - Effec - 15July'!$B$5:$C$17,2,0)*$O286),120000))),0)</f>
        <v>0</v>
      </c>
      <c r="AA286" s="84">
        <f>ROUND(VLOOKUP($M286,'Loyalty - Effec - 15July'!$B$5:$D$17,3,0)*$O286,0)</f>
        <v>0</v>
      </c>
      <c r="AB286" s="85">
        <f t="shared" si="152"/>
        <v>0</v>
      </c>
      <c r="AC286" s="86">
        <f t="shared" si="153"/>
        <v>0</v>
      </c>
      <c r="AD286" s="87">
        <f t="shared" si="154"/>
        <v>0</v>
      </c>
      <c r="AE286" s="88">
        <f t="shared" si="155"/>
        <v>0</v>
      </c>
      <c r="AF286" s="88">
        <f t="shared" si="156"/>
        <v>0</v>
      </c>
      <c r="AG286" s="49" t="s">
        <v>100</v>
      </c>
      <c r="AH286" s="49" t="s">
        <v>126</v>
      </c>
      <c r="AI286" s="50"/>
      <c r="AJ286" s="46"/>
      <c r="AK286" s="46"/>
      <c r="AL286" s="46"/>
      <c r="AM286" s="51">
        <f>IF($AL286=4,VLOOKUP($AR286,'Loyalty Incentive v1'!$L$3:$Q$15,2,FALSE),
IF($AL286=3,VLOOKUP($AR286,'Loyalty Incentive v1'!$L$3:$Q$15,3,FALSE),
IF($AL286=2,VLOOKUP($AR286,'Loyalty Incentive v1'!$L$3:$Q$15,4,FALSE),
IF($AL286=1,VLOOKUP($AR286,'Loyalty Incentive v1'!$L$3:$Q$15,5,FALSE),
IF($AL286=0,VLOOKUP($AR286,'Loyalty Incentive v1'!$L$3:$Q$15,6,FALSE),0)))))</f>
        <v>0</v>
      </c>
      <c r="AN286" s="51">
        <f>IFERROR(IF(I286&gt;="1",AM286,VLOOKUP(VALUE(I286),'Loyalty - Effec - 15July'!$I$5:$J$16,2,0)*AM286),0)</f>
        <v>0</v>
      </c>
      <c r="AO286" s="51">
        <v>0</v>
      </c>
      <c r="AP286" s="51">
        <f t="shared" si="157"/>
        <v>0</v>
      </c>
      <c r="AQ286" s="46" t="str">
        <f t="shared" si="169"/>
        <v>No</v>
      </c>
      <c r="AR286" s="46" t="str">
        <f t="shared" si="170"/>
        <v>AE3</v>
      </c>
      <c r="AS286" s="46" t="b">
        <f t="shared" si="171"/>
        <v>1</v>
      </c>
      <c r="AT286" s="82">
        <f t="shared" si="177"/>
        <v>0</v>
      </c>
      <c r="AU286" s="81">
        <f t="shared" si="158"/>
        <v>0</v>
      </c>
      <c r="AV286" s="81">
        <f t="shared" si="159"/>
        <v>0</v>
      </c>
      <c r="AW286" s="81">
        <f t="shared" si="160"/>
        <v>0</v>
      </c>
      <c r="AX286" s="85"/>
      <c r="AY286" s="81">
        <f t="shared" si="161"/>
        <v>0</v>
      </c>
      <c r="AZ286" s="83">
        <f t="shared" si="162"/>
        <v>0</v>
      </c>
      <c r="BA286" s="81">
        <f t="shared" si="163"/>
        <v>0</v>
      </c>
      <c r="BB286" s="83">
        <v>0</v>
      </c>
      <c r="BC286" s="83">
        <v>0</v>
      </c>
      <c r="BD286" s="83">
        <v>0</v>
      </c>
      <c r="BE286" s="84">
        <f>ROUND((IF(($AT286&lt;=700000),0,IF(((VLOOKUP($AR286,'Loyalty - Effec - 15July'!$B$5:$C$17,2,0)*$AT286)&lt;=120000),(VLOOKUP($AR286,'Loyalty - Effec - 15July'!$B$5:$C$17,2,0)*$AT286),120000))),0)</f>
        <v>0</v>
      </c>
      <c r="BF286" s="83">
        <f>ROUND(VLOOKUP($AR286,'Loyalty - Effec - 15July'!$B$5:$D$17,3,0)*$AT286,0)</f>
        <v>0</v>
      </c>
      <c r="BG286" s="85">
        <f t="shared" si="164"/>
        <v>0</v>
      </c>
      <c r="BH286" s="83">
        <f t="shared" si="165"/>
        <v>0</v>
      </c>
      <c r="BI286" s="85">
        <f t="shared" si="166"/>
        <v>0</v>
      </c>
      <c r="BJ286" s="85">
        <f t="shared" si="167"/>
        <v>0</v>
      </c>
      <c r="BK286" s="85">
        <f t="shared" si="168"/>
        <v>0</v>
      </c>
      <c r="BL286" s="85">
        <f t="shared" si="172"/>
        <v>0</v>
      </c>
      <c r="BM286" s="85">
        <f t="shared" si="173"/>
        <v>0</v>
      </c>
      <c r="BN286" s="85">
        <f t="shared" si="174"/>
        <v>0</v>
      </c>
      <c r="BO286" s="46" t="s">
        <v>85</v>
      </c>
      <c r="BP286" s="46"/>
      <c r="BQ286" s="46"/>
      <c r="BU286" s="47">
        <f t="shared" si="176"/>
        <v>0</v>
      </c>
      <c r="BV286" s="53" t="s">
        <v>550</v>
      </c>
      <c r="BW286" s="53" t="s">
        <v>932</v>
      </c>
      <c r="BX286" s="53" t="s">
        <v>771</v>
      </c>
      <c r="BY286" s="53"/>
      <c r="BZ286" s="53"/>
    </row>
    <row r="287" spans="1:78">
      <c r="A287" s="42" t="s">
        <v>551</v>
      </c>
      <c r="B287" s="28" t="s">
        <v>79</v>
      </c>
      <c r="C287" s="28" t="s">
        <v>80</v>
      </c>
      <c r="D287" s="28" t="s">
        <v>932</v>
      </c>
      <c r="F287" s="28" t="s">
        <v>901</v>
      </c>
      <c r="G287" s="44" t="s">
        <v>772</v>
      </c>
      <c r="H287" s="45">
        <v>45000</v>
      </c>
      <c r="I287" s="46" t="s">
        <v>1005</v>
      </c>
      <c r="J287" s="28">
        <v>2</v>
      </c>
      <c r="K287" s="28" t="s">
        <v>413</v>
      </c>
      <c r="L287" s="28" t="s">
        <v>880</v>
      </c>
      <c r="M287" s="28" t="s">
        <v>0</v>
      </c>
      <c r="N287" s="28" t="str">
        <f t="shared" si="145"/>
        <v>AE2</v>
      </c>
      <c r="O287" s="81"/>
      <c r="P287" s="81">
        <f t="shared" si="146"/>
        <v>0</v>
      </c>
      <c r="Q287" s="81">
        <f t="shared" si="147"/>
        <v>0</v>
      </c>
      <c r="R287" s="81">
        <f t="shared" si="148"/>
        <v>0</v>
      </c>
      <c r="S287" s="81"/>
      <c r="T287" s="82">
        <f t="shared" si="149"/>
        <v>0</v>
      </c>
      <c r="U287" s="82">
        <f t="shared" si="150"/>
        <v>0</v>
      </c>
      <c r="V287" s="82">
        <f t="shared" si="151"/>
        <v>0</v>
      </c>
      <c r="W287" s="83">
        <v>0</v>
      </c>
      <c r="X287" s="83">
        <v>0</v>
      </c>
      <c r="Y287" s="83">
        <v>0</v>
      </c>
      <c r="Z287" s="84">
        <f>ROUND((IF(($O287&lt;=700000),0,IF(((VLOOKUP($M287,'Loyalty - Effec - 15July'!$B$5:$C$17,2,0)*$O287)&lt;=120000),(VLOOKUP($M287,'Loyalty - Effec - 15July'!$B$5:$C$17,2,0)*$O287),120000))),0)</f>
        <v>0</v>
      </c>
      <c r="AA287" s="84">
        <f>ROUND(VLOOKUP($M287,'Loyalty - Effec - 15July'!$B$5:$D$17,3,0)*$O287,0)</f>
        <v>0</v>
      </c>
      <c r="AB287" s="85">
        <f t="shared" si="152"/>
        <v>0</v>
      </c>
      <c r="AC287" s="86">
        <f t="shared" si="153"/>
        <v>0</v>
      </c>
      <c r="AD287" s="87">
        <f t="shared" si="154"/>
        <v>0</v>
      </c>
      <c r="AE287" s="88">
        <f t="shared" si="155"/>
        <v>0</v>
      </c>
      <c r="AF287" s="88">
        <f t="shared" si="156"/>
        <v>0</v>
      </c>
      <c r="AG287" s="49" t="s">
        <v>921</v>
      </c>
      <c r="AH287" s="49" t="s">
        <v>120</v>
      </c>
      <c r="AI287" s="50"/>
      <c r="AJ287" s="46"/>
      <c r="AK287" s="46"/>
      <c r="AL287" s="46"/>
      <c r="AM287" s="51">
        <f>IF($AL287=4,VLOOKUP($AR287,'Loyalty Incentive v1'!$L$3:$Q$15,2,FALSE),
IF($AL287=3,VLOOKUP($AR287,'Loyalty Incentive v1'!$L$3:$Q$15,3,FALSE),
IF($AL287=2,VLOOKUP($AR287,'Loyalty Incentive v1'!$L$3:$Q$15,4,FALSE),
IF($AL287=1,VLOOKUP($AR287,'Loyalty Incentive v1'!$L$3:$Q$15,5,FALSE),
IF($AL287=0,VLOOKUP($AR287,'Loyalty Incentive v1'!$L$3:$Q$15,6,FALSE),0)))))</f>
        <v>0</v>
      </c>
      <c r="AN287" s="51">
        <f>IFERROR(IF(I287&gt;="1",AM287,VLOOKUP(VALUE(I287),'Loyalty - Effec - 15July'!$I$5:$J$16,2,0)*AM287),0)</f>
        <v>0</v>
      </c>
      <c r="AO287" s="51">
        <v>0</v>
      </c>
      <c r="AP287" s="51">
        <f t="shared" si="157"/>
        <v>0</v>
      </c>
      <c r="AQ287" s="46" t="str">
        <f t="shared" si="169"/>
        <v>No</v>
      </c>
      <c r="AR287" s="46" t="str">
        <f t="shared" si="170"/>
        <v>AE2</v>
      </c>
      <c r="AS287" s="46" t="b">
        <f t="shared" si="171"/>
        <v>1</v>
      </c>
      <c r="AT287" s="82">
        <f t="shared" si="177"/>
        <v>0</v>
      </c>
      <c r="AU287" s="81">
        <f t="shared" si="158"/>
        <v>0</v>
      </c>
      <c r="AV287" s="81">
        <f t="shared" si="159"/>
        <v>0</v>
      </c>
      <c r="AW287" s="81">
        <f t="shared" si="160"/>
        <v>0</v>
      </c>
      <c r="AX287" s="85"/>
      <c r="AY287" s="81">
        <f t="shared" si="161"/>
        <v>0</v>
      </c>
      <c r="AZ287" s="83">
        <f t="shared" si="162"/>
        <v>0</v>
      </c>
      <c r="BA287" s="81">
        <f t="shared" si="163"/>
        <v>0</v>
      </c>
      <c r="BB287" s="83">
        <v>0</v>
      </c>
      <c r="BC287" s="83">
        <v>0</v>
      </c>
      <c r="BD287" s="83">
        <v>0</v>
      </c>
      <c r="BE287" s="84">
        <f>ROUND((IF(($AT287&lt;=700000),0,IF(((VLOOKUP($AR287,'Loyalty - Effec - 15July'!$B$5:$C$17,2,0)*$AT287)&lt;=120000),(VLOOKUP($AR287,'Loyalty - Effec - 15July'!$B$5:$C$17,2,0)*$AT287),120000))),0)</f>
        <v>0</v>
      </c>
      <c r="BF287" s="83">
        <f>ROUND(VLOOKUP($AR287,'Loyalty - Effec - 15July'!$B$5:$D$17,3,0)*$AT287,0)</f>
        <v>0</v>
      </c>
      <c r="BG287" s="85">
        <f t="shared" si="164"/>
        <v>0</v>
      </c>
      <c r="BH287" s="83">
        <f t="shared" si="165"/>
        <v>0</v>
      </c>
      <c r="BI287" s="85">
        <f t="shared" si="166"/>
        <v>0</v>
      </c>
      <c r="BJ287" s="85">
        <f t="shared" si="167"/>
        <v>0</v>
      </c>
      <c r="BK287" s="85">
        <f t="shared" si="168"/>
        <v>0</v>
      </c>
      <c r="BL287" s="85">
        <f t="shared" si="172"/>
        <v>0</v>
      </c>
      <c r="BM287" s="85">
        <f t="shared" si="173"/>
        <v>0</v>
      </c>
      <c r="BN287" s="85">
        <f t="shared" si="174"/>
        <v>0</v>
      </c>
      <c r="BO287" s="46" t="s">
        <v>85</v>
      </c>
      <c r="BP287" s="46"/>
      <c r="BQ287" s="46"/>
      <c r="BU287" s="47">
        <f t="shared" si="176"/>
        <v>0</v>
      </c>
      <c r="BV287" s="53" t="s">
        <v>551</v>
      </c>
      <c r="BW287" s="53" t="s">
        <v>932</v>
      </c>
      <c r="BX287" s="53" t="s">
        <v>772</v>
      </c>
      <c r="BY287" s="53"/>
      <c r="BZ287" s="53"/>
    </row>
    <row r="288" spans="1:78">
      <c r="A288" s="42" t="s">
        <v>552</v>
      </c>
      <c r="B288" s="28" t="s">
        <v>79</v>
      </c>
      <c r="C288" s="28" t="s">
        <v>80</v>
      </c>
      <c r="D288" s="28" t="s">
        <v>932</v>
      </c>
      <c r="F288" s="28" t="s">
        <v>901</v>
      </c>
      <c r="G288" s="44" t="s">
        <v>773</v>
      </c>
      <c r="H288" s="45">
        <v>45000</v>
      </c>
      <c r="I288" s="46" t="s">
        <v>1005</v>
      </c>
      <c r="J288" s="28">
        <v>2</v>
      </c>
      <c r="K288" s="28" t="s">
        <v>413</v>
      </c>
      <c r="L288" s="28" t="s">
        <v>880</v>
      </c>
      <c r="M288" s="28" t="s">
        <v>2</v>
      </c>
      <c r="N288" s="28" t="str">
        <f t="shared" si="145"/>
        <v>AE4</v>
      </c>
      <c r="O288" s="81"/>
      <c r="P288" s="81">
        <f t="shared" si="146"/>
        <v>0</v>
      </c>
      <c r="Q288" s="81">
        <f t="shared" si="147"/>
        <v>0</v>
      </c>
      <c r="R288" s="81">
        <f t="shared" si="148"/>
        <v>0</v>
      </c>
      <c r="S288" s="81"/>
      <c r="T288" s="82">
        <f t="shared" si="149"/>
        <v>0</v>
      </c>
      <c r="U288" s="82">
        <f t="shared" si="150"/>
        <v>0</v>
      </c>
      <c r="V288" s="82">
        <f t="shared" si="151"/>
        <v>0</v>
      </c>
      <c r="W288" s="83">
        <v>0</v>
      </c>
      <c r="X288" s="83">
        <v>0</v>
      </c>
      <c r="Y288" s="83">
        <v>0</v>
      </c>
      <c r="Z288" s="84">
        <f>ROUND((IF(($O288&lt;=700000),0,IF(((VLOOKUP($M288,'Loyalty - Effec - 15July'!$B$5:$C$17,2,0)*$O288)&lt;=120000),(VLOOKUP($M288,'Loyalty - Effec - 15July'!$B$5:$C$17,2,0)*$O288),120000))),0)</f>
        <v>0</v>
      </c>
      <c r="AA288" s="84">
        <f>ROUND(VLOOKUP($M288,'Loyalty - Effec - 15July'!$B$5:$D$17,3,0)*$O288,0)</f>
        <v>0</v>
      </c>
      <c r="AB288" s="85">
        <f t="shared" si="152"/>
        <v>0</v>
      </c>
      <c r="AC288" s="86">
        <f t="shared" si="153"/>
        <v>0</v>
      </c>
      <c r="AD288" s="87">
        <f t="shared" si="154"/>
        <v>0</v>
      </c>
      <c r="AE288" s="88">
        <f t="shared" si="155"/>
        <v>0</v>
      </c>
      <c r="AF288" s="88">
        <f t="shared" si="156"/>
        <v>0</v>
      </c>
      <c r="AG288" s="49" t="s">
        <v>174</v>
      </c>
      <c r="AH288" s="49" t="s">
        <v>120</v>
      </c>
      <c r="AI288" s="50"/>
      <c r="AJ288" s="46"/>
      <c r="AK288" s="46"/>
      <c r="AL288" s="46"/>
      <c r="AM288" s="51">
        <f>IF($AL288=4,VLOOKUP($AR288,'Loyalty Incentive v1'!$L$3:$Q$15,2,FALSE),
IF($AL288=3,VLOOKUP($AR288,'Loyalty Incentive v1'!$L$3:$Q$15,3,FALSE),
IF($AL288=2,VLOOKUP($AR288,'Loyalty Incentive v1'!$L$3:$Q$15,4,FALSE),
IF($AL288=1,VLOOKUP($AR288,'Loyalty Incentive v1'!$L$3:$Q$15,5,FALSE),
IF($AL288=0,VLOOKUP($AR288,'Loyalty Incentive v1'!$L$3:$Q$15,6,FALSE),0)))))</f>
        <v>0</v>
      </c>
      <c r="AN288" s="51">
        <f>IFERROR(IF(I288&gt;="1",AM288,VLOOKUP(VALUE(I288),'Loyalty - Effec - 15July'!$I$5:$J$16,2,0)*AM288),0)</f>
        <v>0</v>
      </c>
      <c r="AO288" s="51">
        <v>0</v>
      </c>
      <c r="AP288" s="51">
        <f t="shared" si="157"/>
        <v>0</v>
      </c>
      <c r="AQ288" s="46" t="str">
        <f t="shared" si="169"/>
        <v>No</v>
      </c>
      <c r="AR288" s="46" t="str">
        <f t="shared" si="170"/>
        <v>AE4</v>
      </c>
      <c r="AS288" s="46" t="b">
        <f t="shared" si="171"/>
        <v>1</v>
      </c>
      <c r="AT288" s="82">
        <f t="shared" si="177"/>
        <v>0</v>
      </c>
      <c r="AU288" s="81">
        <f t="shared" si="158"/>
        <v>0</v>
      </c>
      <c r="AV288" s="81">
        <f t="shared" si="159"/>
        <v>0</v>
      </c>
      <c r="AW288" s="81">
        <f t="shared" si="160"/>
        <v>0</v>
      </c>
      <c r="AX288" s="85"/>
      <c r="AY288" s="81">
        <f t="shared" si="161"/>
        <v>0</v>
      </c>
      <c r="AZ288" s="83">
        <f t="shared" si="162"/>
        <v>0</v>
      </c>
      <c r="BA288" s="81">
        <f t="shared" si="163"/>
        <v>0</v>
      </c>
      <c r="BB288" s="83">
        <v>0</v>
      </c>
      <c r="BC288" s="83">
        <v>0</v>
      </c>
      <c r="BD288" s="83">
        <v>0</v>
      </c>
      <c r="BE288" s="84">
        <f>ROUND((IF(($AT288&lt;=700000),0,IF(((VLOOKUP($AR288,'Loyalty - Effec - 15July'!$B$5:$C$17,2,0)*$AT288)&lt;=120000),(VLOOKUP($AR288,'Loyalty - Effec - 15July'!$B$5:$C$17,2,0)*$AT288),120000))),0)</f>
        <v>0</v>
      </c>
      <c r="BF288" s="83">
        <f>ROUND(VLOOKUP($AR288,'Loyalty - Effec - 15July'!$B$5:$D$17,3,0)*$AT288,0)</f>
        <v>0</v>
      </c>
      <c r="BG288" s="85">
        <f t="shared" si="164"/>
        <v>0</v>
      </c>
      <c r="BH288" s="83">
        <f t="shared" si="165"/>
        <v>0</v>
      </c>
      <c r="BI288" s="85">
        <f t="shared" si="166"/>
        <v>0</v>
      </c>
      <c r="BJ288" s="85">
        <f t="shared" si="167"/>
        <v>0</v>
      </c>
      <c r="BK288" s="85">
        <f t="shared" si="168"/>
        <v>0</v>
      </c>
      <c r="BL288" s="85">
        <f t="shared" si="172"/>
        <v>0</v>
      </c>
      <c r="BM288" s="85">
        <f t="shared" si="173"/>
        <v>0</v>
      </c>
      <c r="BN288" s="85">
        <f t="shared" si="174"/>
        <v>0</v>
      </c>
      <c r="BO288" s="46" t="s">
        <v>85</v>
      </c>
      <c r="BP288" s="46"/>
      <c r="BQ288" s="46"/>
      <c r="BU288" s="47">
        <f t="shared" si="176"/>
        <v>0</v>
      </c>
      <c r="BV288" s="53" t="s">
        <v>552</v>
      </c>
      <c r="BW288" s="53" t="s">
        <v>932</v>
      </c>
      <c r="BX288" s="53" t="s">
        <v>773</v>
      </c>
      <c r="BY288" s="53"/>
      <c r="BZ288" s="53"/>
    </row>
    <row r="289" spans="1:79">
      <c r="A289" s="42" t="s">
        <v>553</v>
      </c>
      <c r="B289" s="28" t="s">
        <v>79</v>
      </c>
      <c r="C289" s="28" t="s">
        <v>80</v>
      </c>
      <c r="D289" s="28" t="s">
        <v>932</v>
      </c>
      <c r="F289" s="28" t="s">
        <v>901</v>
      </c>
      <c r="G289" s="44" t="s">
        <v>774</v>
      </c>
      <c r="H289" s="45">
        <v>45005</v>
      </c>
      <c r="I289" s="46" t="s">
        <v>1005</v>
      </c>
      <c r="J289" s="28">
        <v>2</v>
      </c>
      <c r="K289" s="28" t="s">
        <v>415</v>
      </c>
      <c r="L289" s="28" t="s">
        <v>84</v>
      </c>
      <c r="M289" s="28" t="s">
        <v>11</v>
      </c>
      <c r="N289" s="28" t="str">
        <f t="shared" si="145"/>
        <v>E4</v>
      </c>
      <c r="O289" s="81"/>
      <c r="P289" s="81">
        <f t="shared" si="146"/>
        <v>0</v>
      </c>
      <c r="Q289" s="81">
        <f t="shared" si="147"/>
        <v>0</v>
      </c>
      <c r="R289" s="81">
        <f t="shared" si="148"/>
        <v>0</v>
      </c>
      <c r="S289" s="81"/>
      <c r="T289" s="82">
        <f t="shared" si="149"/>
        <v>0</v>
      </c>
      <c r="U289" s="82">
        <f t="shared" si="150"/>
        <v>0</v>
      </c>
      <c r="V289" s="82">
        <f t="shared" si="151"/>
        <v>0</v>
      </c>
      <c r="W289" s="83">
        <v>0</v>
      </c>
      <c r="X289" s="83">
        <v>0</v>
      </c>
      <c r="Y289" s="83">
        <v>0</v>
      </c>
      <c r="Z289" s="84">
        <f>ROUND((IF(($O289&lt;=700000),0,IF(((VLOOKUP($M289,'Loyalty - Effec - 15July'!$B$5:$C$17,2,0)*$O289)&lt;=120000),(VLOOKUP($M289,'Loyalty - Effec - 15July'!$B$5:$C$17,2,0)*$O289),120000))),0)</f>
        <v>0</v>
      </c>
      <c r="AA289" s="84">
        <f>ROUND(VLOOKUP($M289,'Loyalty - Effec - 15July'!$B$5:$D$17,3,0)*$O289,0)</f>
        <v>0</v>
      </c>
      <c r="AB289" s="85">
        <f t="shared" si="152"/>
        <v>0</v>
      </c>
      <c r="AC289" s="86">
        <f t="shared" si="153"/>
        <v>0</v>
      </c>
      <c r="AD289" s="87">
        <f t="shared" si="154"/>
        <v>0</v>
      </c>
      <c r="AE289" s="88">
        <f t="shared" si="155"/>
        <v>0</v>
      </c>
      <c r="AF289" s="88">
        <f t="shared" si="156"/>
        <v>0</v>
      </c>
      <c r="AG289" s="49" t="s">
        <v>83</v>
      </c>
      <c r="AH289" s="49" t="s">
        <v>904</v>
      </c>
      <c r="AI289" s="50"/>
      <c r="AJ289" s="46"/>
      <c r="AK289" s="46"/>
      <c r="AL289" s="46"/>
      <c r="AM289" s="51">
        <f>IF($AL289=4,VLOOKUP($AR289,'Loyalty Incentive v1'!$L$3:$Q$15,2,FALSE),
IF($AL289=3,VLOOKUP($AR289,'Loyalty Incentive v1'!$L$3:$Q$15,3,FALSE),
IF($AL289=2,VLOOKUP($AR289,'Loyalty Incentive v1'!$L$3:$Q$15,4,FALSE),
IF($AL289=1,VLOOKUP($AR289,'Loyalty Incentive v1'!$L$3:$Q$15,5,FALSE),
IF($AL289=0,VLOOKUP($AR289,'Loyalty Incentive v1'!$L$3:$Q$15,6,FALSE),0)))))</f>
        <v>0</v>
      </c>
      <c r="AN289" s="51">
        <f>IFERROR(IF(I289&gt;="1",AM289,VLOOKUP(VALUE(I289),'Loyalty - Effec - 15July'!$I$5:$J$16,2,0)*AM289),0)</f>
        <v>0</v>
      </c>
      <c r="AO289" s="51">
        <v>0</v>
      </c>
      <c r="AP289" s="51">
        <f t="shared" si="157"/>
        <v>0</v>
      </c>
      <c r="AQ289" s="46" t="str">
        <f t="shared" si="169"/>
        <v>No</v>
      </c>
      <c r="AR289" s="46" t="str">
        <f t="shared" si="170"/>
        <v>E4</v>
      </c>
      <c r="AS289" s="46" t="b">
        <f t="shared" si="171"/>
        <v>1</v>
      </c>
      <c r="AT289" s="82">
        <f t="shared" si="177"/>
        <v>0</v>
      </c>
      <c r="AU289" s="81">
        <f t="shared" si="158"/>
        <v>0</v>
      </c>
      <c r="AV289" s="81">
        <f t="shared" si="159"/>
        <v>0</v>
      </c>
      <c r="AW289" s="81">
        <f t="shared" si="160"/>
        <v>0</v>
      </c>
      <c r="AX289" s="85"/>
      <c r="AY289" s="81">
        <f t="shared" si="161"/>
        <v>0</v>
      </c>
      <c r="AZ289" s="83">
        <f t="shared" si="162"/>
        <v>0</v>
      </c>
      <c r="BA289" s="81">
        <f t="shared" si="163"/>
        <v>0</v>
      </c>
      <c r="BB289" s="83">
        <v>0</v>
      </c>
      <c r="BC289" s="83">
        <v>0</v>
      </c>
      <c r="BD289" s="83">
        <v>0</v>
      </c>
      <c r="BE289" s="84">
        <f>ROUND((IF(($AT289&lt;=700000),0,IF(((VLOOKUP($AR289,'Loyalty - Effec - 15July'!$B$5:$C$17,2,0)*$AT289)&lt;=120000),(VLOOKUP($AR289,'Loyalty - Effec - 15July'!$B$5:$C$17,2,0)*$AT289),120000))),0)</f>
        <v>0</v>
      </c>
      <c r="BF289" s="83">
        <f>ROUND(VLOOKUP($AR289,'Loyalty - Effec - 15July'!$B$5:$D$17,3,0)*$AT289,0)</f>
        <v>0</v>
      </c>
      <c r="BG289" s="85">
        <f t="shared" si="164"/>
        <v>0</v>
      </c>
      <c r="BH289" s="83">
        <f t="shared" si="165"/>
        <v>0</v>
      </c>
      <c r="BI289" s="85">
        <f t="shared" si="166"/>
        <v>0</v>
      </c>
      <c r="BJ289" s="85">
        <f t="shared" si="167"/>
        <v>0</v>
      </c>
      <c r="BK289" s="85">
        <f t="shared" si="168"/>
        <v>0</v>
      </c>
      <c r="BL289" s="85">
        <f t="shared" si="172"/>
        <v>0</v>
      </c>
      <c r="BM289" s="85">
        <f t="shared" si="173"/>
        <v>0</v>
      </c>
      <c r="BN289" s="85">
        <f t="shared" si="174"/>
        <v>0</v>
      </c>
      <c r="BO289" s="46" t="s">
        <v>85</v>
      </c>
      <c r="BP289" s="46"/>
      <c r="BQ289" s="46"/>
      <c r="BU289" s="47">
        <f t="shared" si="176"/>
        <v>0</v>
      </c>
      <c r="BV289" s="53" t="s">
        <v>553</v>
      </c>
      <c r="BW289" s="53" t="s">
        <v>932</v>
      </c>
      <c r="BX289" s="53" t="s">
        <v>774</v>
      </c>
      <c r="BY289" s="53"/>
      <c r="BZ289" s="53"/>
    </row>
    <row r="290" spans="1:79">
      <c r="A290" s="42" t="s">
        <v>554</v>
      </c>
      <c r="B290" s="28" t="s">
        <v>79</v>
      </c>
      <c r="C290" s="28" t="s">
        <v>80</v>
      </c>
      <c r="D290" s="28" t="s">
        <v>932</v>
      </c>
      <c r="F290" s="28" t="s">
        <v>901</v>
      </c>
      <c r="G290" s="44" t="s">
        <v>775</v>
      </c>
      <c r="H290" s="45">
        <v>45014</v>
      </c>
      <c r="I290" s="46" t="s">
        <v>1005</v>
      </c>
      <c r="J290" s="28">
        <v>2</v>
      </c>
      <c r="K290" s="28" t="s">
        <v>93</v>
      </c>
      <c r="L290" s="28" t="s">
        <v>873</v>
      </c>
      <c r="M290" s="28" t="s">
        <v>3</v>
      </c>
      <c r="N290" s="28" t="str">
        <f t="shared" si="145"/>
        <v>AE5</v>
      </c>
      <c r="O290" s="81"/>
      <c r="P290" s="81">
        <f t="shared" si="146"/>
        <v>0</v>
      </c>
      <c r="Q290" s="81">
        <f t="shared" si="147"/>
        <v>0</v>
      </c>
      <c r="R290" s="81">
        <f t="shared" si="148"/>
        <v>0</v>
      </c>
      <c r="S290" s="81"/>
      <c r="T290" s="82">
        <f t="shared" si="149"/>
        <v>0</v>
      </c>
      <c r="U290" s="82">
        <f t="shared" si="150"/>
        <v>0</v>
      </c>
      <c r="V290" s="82">
        <f t="shared" si="151"/>
        <v>0</v>
      </c>
      <c r="W290" s="83">
        <v>0</v>
      </c>
      <c r="X290" s="83">
        <v>0</v>
      </c>
      <c r="Y290" s="83">
        <v>0</v>
      </c>
      <c r="Z290" s="84">
        <f>ROUND((IF(($O290&lt;=700000),0,IF(((VLOOKUP($M290,'Loyalty - Effec - 15July'!$B$5:$C$17,2,0)*$O290)&lt;=120000),(VLOOKUP($M290,'Loyalty - Effec - 15July'!$B$5:$C$17,2,0)*$O290),120000))),0)</f>
        <v>0</v>
      </c>
      <c r="AA290" s="84">
        <f>ROUND(VLOOKUP($M290,'Loyalty - Effec - 15July'!$B$5:$D$17,3,0)*$O290,0)</f>
        <v>0</v>
      </c>
      <c r="AB290" s="85">
        <f t="shared" si="152"/>
        <v>0</v>
      </c>
      <c r="AC290" s="86">
        <f t="shared" si="153"/>
        <v>0</v>
      </c>
      <c r="AD290" s="87">
        <f t="shared" si="154"/>
        <v>0</v>
      </c>
      <c r="AE290" s="88">
        <f t="shared" si="155"/>
        <v>0</v>
      </c>
      <c r="AF290" s="88">
        <f t="shared" si="156"/>
        <v>0</v>
      </c>
      <c r="AG290" s="49" t="s">
        <v>212</v>
      </c>
      <c r="AH290" s="49" t="s">
        <v>928</v>
      </c>
      <c r="AI290" s="50"/>
      <c r="AJ290" s="46"/>
      <c r="AK290" s="46"/>
      <c r="AL290" s="46"/>
      <c r="AM290" s="51">
        <f>IF($AL290=4,VLOOKUP($AR290,'Loyalty Incentive v1'!$L$3:$Q$15,2,FALSE),
IF($AL290=3,VLOOKUP($AR290,'Loyalty Incentive v1'!$L$3:$Q$15,3,FALSE),
IF($AL290=2,VLOOKUP($AR290,'Loyalty Incentive v1'!$L$3:$Q$15,4,FALSE),
IF($AL290=1,VLOOKUP($AR290,'Loyalty Incentive v1'!$L$3:$Q$15,5,FALSE),
IF($AL290=0,VLOOKUP($AR290,'Loyalty Incentive v1'!$L$3:$Q$15,6,FALSE),0)))))</f>
        <v>0</v>
      </c>
      <c r="AN290" s="51">
        <f>IFERROR(IF(I290&gt;="1",AM290,VLOOKUP(VALUE(I290),'Loyalty - Effec - 15July'!$I$5:$J$16,2,0)*AM290),0)</f>
        <v>0</v>
      </c>
      <c r="AO290" s="51">
        <v>0</v>
      </c>
      <c r="AP290" s="51">
        <f t="shared" si="157"/>
        <v>0</v>
      </c>
      <c r="AQ290" s="46" t="str">
        <f t="shared" si="169"/>
        <v>No</v>
      </c>
      <c r="AR290" s="46" t="str">
        <f t="shared" si="170"/>
        <v>AE5</v>
      </c>
      <c r="AS290" s="46" t="b">
        <f t="shared" si="171"/>
        <v>1</v>
      </c>
      <c r="AT290" s="82">
        <f t="shared" si="177"/>
        <v>0</v>
      </c>
      <c r="AU290" s="81">
        <f t="shared" si="158"/>
        <v>0</v>
      </c>
      <c r="AV290" s="81">
        <f t="shared" si="159"/>
        <v>0</v>
      </c>
      <c r="AW290" s="81">
        <f t="shared" si="160"/>
        <v>0</v>
      </c>
      <c r="AX290" s="85"/>
      <c r="AY290" s="81">
        <f t="shared" si="161"/>
        <v>0</v>
      </c>
      <c r="AZ290" s="83">
        <f t="shared" si="162"/>
        <v>0</v>
      </c>
      <c r="BA290" s="81">
        <f t="shared" si="163"/>
        <v>0</v>
      </c>
      <c r="BB290" s="83">
        <v>0</v>
      </c>
      <c r="BC290" s="83">
        <v>0</v>
      </c>
      <c r="BD290" s="83">
        <v>0</v>
      </c>
      <c r="BE290" s="84">
        <f>ROUND((IF(($AT290&lt;=700000),0,IF(((VLOOKUP($AR290,'Loyalty - Effec - 15July'!$B$5:$C$17,2,0)*$AT290)&lt;=120000),(VLOOKUP($AR290,'Loyalty - Effec - 15July'!$B$5:$C$17,2,0)*$AT290),120000))),0)</f>
        <v>0</v>
      </c>
      <c r="BF290" s="83">
        <f>ROUND(VLOOKUP($AR290,'Loyalty - Effec - 15July'!$B$5:$D$17,3,0)*$AT290,0)</f>
        <v>0</v>
      </c>
      <c r="BG290" s="85">
        <f t="shared" si="164"/>
        <v>0</v>
      </c>
      <c r="BH290" s="83">
        <f t="shared" si="165"/>
        <v>0</v>
      </c>
      <c r="BI290" s="85">
        <f t="shared" si="166"/>
        <v>0</v>
      </c>
      <c r="BJ290" s="85">
        <f t="shared" si="167"/>
        <v>0</v>
      </c>
      <c r="BK290" s="85">
        <f t="shared" si="168"/>
        <v>0</v>
      </c>
      <c r="BL290" s="85">
        <f t="shared" si="172"/>
        <v>0</v>
      </c>
      <c r="BM290" s="85">
        <f t="shared" si="173"/>
        <v>0</v>
      </c>
      <c r="BN290" s="85">
        <f t="shared" si="174"/>
        <v>0</v>
      </c>
      <c r="BO290" s="46" t="s">
        <v>85</v>
      </c>
      <c r="BP290" s="46"/>
      <c r="BQ290" s="46"/>
      <c r="BU290" s="47">
        <f t="shared" si="176"/>
        <v>0</v>
      </c>
      <c r="BV290" s="53" t="s">
        <v>554</v>
      </c>
      <c r="BW290" s="53" t="s">
        <v>932</v>
      </c>
      <c r="BX290" s="53" t="s">
        <v>775</v>
      </c>
      <c r="BY290" s="53"/>
      <c r="BZ290" s="53"/>
    </row>
    <row r="291" spans="1:79">
      <c r="A291" s="42" t="s">
        <v>555</v>
      </c>
      <c r="B291" s="28" t="s">
        <v>79</v>
      </c>
      <c r="C291" s="28" t="s">
        <v>80</v>
      </c>
      <c r="D291" s="28" t="s">
        <v>932</v>
      </c>
      <c r="F291" s="28" t="s">
        <v>901</v>
      </c>
      <c r="G291" s="44" t="s">
        <v>776</v>
      </c>
      <c r="H291" s="45">
        <v>45014</v>
      </c>
      <c r="I291" s="46" t="s">
        <v>1005</v>
      </c>
      <c r="J291" s="28">
        <v>2</v>
      </c>
      <c r="K291" s="28" t="s">
        <v>93</v>
      </c>
      <c r="L291" s="28" t="s">
        <v>873</v>
      </c>
      <c r="M291" s="28" t="s">
        <v>0</v>
      </c>
      <c r="N291" s="28" t="str">
        <f t="shared" si="145"/>
        <v>AE2</v>
      </c>
      <c r="O291" s="81"/>
      <c r="P291" s="81">
        <f t="shared" si="146"/>
        <v>0</v>
      </c>
      <c r="Q291" s="81">
        <f t="shared" si="147"/>
        <v>0</v>
      </c>
      <c r="R291" s="81">
        <f t="shared" si="148"/>
        <v>0</v>
      </c>
      <c r="S291" s="81"/>
      <c r="T291" s="82">
        <f t="shared" si="149"/>
        <v>0</v>
      </c>
      <c r="U291" s="82">
        <f t="shared" si="150"/>
        <v>0</v>
      </c>
      <c r="V291" s="82">
        <f t="shared" si="151"/>
        <v>0</v>
      </c>
      <c r="W291" s="83">
        <v>0</v>
      </c>
      <c r="X291" s="83">
        <v>0</v>
      </c>
      <c r="Y291" s="83">
        <v>0</v>
      </c>
      <c r="Z291" s="84">
        <f>ROUND((IF(($O291&lt;=700000),0,IF(((VLOOKUP($M291,'Loyalty - Effec - 15July'!$B$5:$C$17,2,0)*$O291)&lt;=120000),(VLOOKUP($M291,'Loyalty - Effec - 15July'!$B$5:$C$17,2,0)*$O291),120000))),0)</f>
        <v>0</v>
      </c>
      <c r="AA291" s="84">
        <f>ROUND(VLOOKUP($M291,'Loyalty - Effec - 15July'!$B$5:$D$17,3,0)*$O291,0)</f>
        <v>0</v>
      </c>
      <c r="AB291" s="85">
        <f t="shared" si="152"/>
        <v>0</v>
      </c>
      <c r="AC291" s="86">
        <f t="shared" si="153"/>
        <v>0</v>
      </c>
      <c r="AD291" s="87">
        <f t="shared" si="154"/>
        <v>0</v>
      </c>
      <c r="AE291" s="88">
        <f t="shared" si="155"/>
        <v>0</v>
      </c>
      <c r="AF291" s="88">
        <f t="shared" si="156"/>
        <v>0</v>
      </c>
      <c r="AG291" s="49" t="s">
        <v>212</v>
      </c>
      <c r="AH291" s="49" t="s">
        <v>928</v>
      </c>
      <c r="AI291" s="50"/>
      <c r="AJ291" s="46"/>
      <c r="AK291" s="46"/>
      <c r="AL291" s="46"/>
      <c r="AM291" s="51">
        <f>IF($AL291=4,VLOOKUP($AR291,'Loyalty Incentive v1'!$L$3:$Q$15,2,FALSE),
IF($AL291=3,VLOOKUP($AR291,'Loyalty Incentive v1'!$L$3:$Q$15,3,FALSE),
IF($AL291=2,VLOOKUP($AR291,'Loyalty Incentive v1'!$L$3:$Q$15,4,FALSE),
IF($AL291=1,VLOOKUP($AR291,'Loyalty Incentive v1'!$L$3:$Q$15,5,FALSE),
IF($AL291=0,VLOOKUP($AR291,'Loyalty Incentive v1'!$L$3:$Q$15,6,FALSE),0)))))</f>
        <v>0</v>
      </c>
      <c r="AN291" s="51">
        <f>IFERROR(IF(I291&gt;="1",AM291,VLOOKUP(VALUE(I291),'Loyalty - Effec - 15July'!$I$5:$J$16,2,0)*AM291),0)</f>
        <v>0</v>
      </c>
      <c r="AO291" s="51">
        <v>0</v>
      </c>
      <c r="AP291" s="51">
        <f t="shared" si="157"/>
        <v>0</v>
      </c>
      <c r="AQ291" s="46" t="str">
        <f t="shared" si="169"/>
        <v>No</v>
      </c>
      <c r="AR291" s="46" t="str">
        <f t="shared" si="170"/>
        <v>AE2</v>
      </c>
      <c r="AS291" s="46" t="b">
        <f t="shared" si="171"/>
        <v>1</v>
      </c>
      <c r="AT291" s="82">
        <f t="shared" si="177"/>
        <v>0</v>
      </c>
      <c r="AU291" s="81">
        <f t="shared" si="158"/>
        <v>0</v>
      </c>
      <c r="AV291" s="81">
        <f t="shared" si="159"/>
        <v>0</v>
      </c>
      <c r="AW291" s="81">
        <f t="shared" si="160"/>
        <v>0</v>
      </c>
      <c r="AX291" s="85"/>
      <c r="AY291" s="81">
        <f t="shared" si="161"/>
        <v>0</v>
      </c>
      <c r="AZ291" s="83">
        <f t="shared" si="162"/>
        <v>0</v>
      </c>
      <c r="BA291" s="81">
        <f t="shared" si="163"/>
        <v>0</v>
      </c>
      <c r="BB291" s="83">
        <v>0</v>
      </c>
      <c r="BC291" s="83">
        <v>0</v>
      </c>
      <c r="BD291" s="83">
        <v>0</v>
      </c>
      <c r="BE291" s="84">
        <f>ROUND((IF(($AT291&lt;=700000),0,IF(((VLOOKUP($AR291,'Loyalty - Effec - 15July'!$B$5:$C$17,2,0)*$AT291)&lt;=120000),(VLOOKUP($AR291,'Loyalty - Effec - 15July'!$B$5:$C$17,2,0)*$AT291),120000))),0)</f>
        <v>0</v>
      </c>
      <c r="BF291" s="83">
        <f>ROUND(VLOOKUP($AR291,'Loyalty - Effec - 15July'!$B$5:$D$17,3,0)*$AT291,0)</f>
        <v>0</v>
      </c>
      <c r="BG291" s="85">
        <f t="shared" si="164"/>
        <v>0</v>
      </c>
      <c r="BH291" s="83">
        <f t="shared" si="165"/>
        <v>0</v>
      </c>
      <c r="BI291" s="85">
        <f t="shared" si="166"/>
        <v>0</v>
      </c>
      <c r="BJ291" s="85">
        <f t="shared" si="167"/>
        <v>0</v>
      </c>
      <c r="BK291" s="85">
        <f t="shared" si="168"/>
        <v>0</v>
      </c>
      <c r="BL291" s="85">
        <f t="shared" si="172"/>
        <v>0</v>
      </c>
      <c r="BM291" s="85">
        <f t="shared" si="173"/>
        <v>0</v>
      </c>
      <c r="BN291" s="85">
        <f t="shared" si="174"/>
        <v>0</v>
      </c>
      <c r="BO291" s="46" t="s">
        <v>85</v>
      </c>
      <c r="BP291" s="46"/>
      <c r="BQ291" s="46"/>
      <c r="BU291" s="47">
        <f t="shared" si="176"/>
        <v>0</v>
      </c>
      <c r="BV291" s="53" t="s">
        <v>555</v>
      </c>
      <c r="BW291" s="53" t="s">
        <v>932</v>
      </c>
      <c r="BX291" s="53" t="s">
        <v>776</v>
      </c>
      <c r="BY291" s="53"/>
      <c r="BZ291" s="53"/>
    </row>
    <row r="292" spans="1:79">
      <c r="A292" s="42" t="s">
        <v>556</v>
      </c>
      <c r="B292" s="28" t="s">
        <v>79</v>
      </c>
      <c r="C292" s="28" t="s">
        <v>80</v>
      </c>
      <c r="D292" s="28" t="s">
        <v>932</v>
      </c>
      <c r="F292" s="28" t="s">
        <v>901</v>
      </c>
      <c r="G292" s="44" t="s">
        <v>777</v>
      </c>
      <c r="H292" s="45">
        <v>45014</v>
      </c>
      <c r="I292" s="46" t="s">
        <v>1005</v>
      </c>
      <c r="J292" s="28">
        <v>2</v>
      </c>
      <c r="K292" s="28" t="s">
        <v>413</v>
      </c>
      <c r="L292" s="28" t="s">
        <v>880</v>
      </c>
      <c r="M292" s="28" t="s">
        <v>3</v>
      </c>
      <c r="N292" s="28" t="str">
        <f t="shared" si="145"/>
        <v>AE5</v>
      </c>
      <c r="O292" s="81"/>
      <c r="P292" s="81">
        <f t="shared" si="146"/>
        <v>0</v>
      </c>
      <c r="Q292" s="81">
        <f t="shared" si="147"/>
        <v>0</v>
      </c>
      <c r="R292" s="81">
        <f t="shared" si="148"/>
        <v>0</v>
      </c>
      <c r="S292" s="81"/>
      <c r="T292" s="82">
        <f t="shared" si="149"/>
        <v>0</v>
      </c>
      <c r="U292" s="82">
        <f t="shared" si="150"/>
        <v>0</v>
      </c>
      <c r="V292" s="82">
        <f t="shared" si="151"/>
        <v>0</v>
      </c>
      <c r="W292" s="83">
        <v>0</v>
      </c>
      <c r="X292" s="83">
        <v>0</v>
      </c>
      <c r="Y292" s="83">
        <v>0</v>
      </c>
      <c r="Z292" s="84">
        <f>ROUND((IF(($O292&lt;=700000),0,IF(((VLOOKUP($M292,'Loyalty - Effec - 15July'!$B$5:$C$17,2,0)*$O292)&lt;=120000),(VLOOKUP($M292,'Loyalty - Effec - 15July'!$B$5:$C$17,2,0)*$O292),120000))),0)</f>
        <v>0</v>
      </c>
      <c r="AA292" s="84">
        <f>ROUND(VLOOKUP($M292,'Loyalty - Effec - 15July'!$B$5:$D$17,3,0)*$O292,0)</f>
        <v>0</v>
      </c>
      <c r="AB292" s="85">
        <f t="shared" si="152"/>
        <v>0</v>
      </c>
      <c r="AC292" s="86">
        <f t="shared" si="153"/>
        <v>0</v>
      </c>
      <c r="AD292" s="87">
        <f t="shared" si="154"/>
        <v>0</v>
      </c>
      <c r="AE292" s="88">
        <f t="shared" si="155"/>
        <v>0</v>
      </c>
      <c r="AF292" s="88">
        <f t="shared" si="156"/>
        <v>0</v>
      </c>
      <c r="AG292" s="49" t="s">
        <v>178</v>
      </c>
      <c r="AH292" s="49" t="s">
        <v>928</v>
      </c>
      <c r="AI292" s="50"/>
      <c r="AJ292" s="46"/>
      <c r="AK292" s="46"/>
      <c r="AL292" s="46"/>
      <c r="AM292" s="51">
        <f>IF($AL292=4,VLOOKUP($AR292,'Loyalty Incentive v1'!$L$3:$Q$15,2,FALSE),
IF($AL292=3,VLOOKUP($AR292,'Loyalty Incentive v1'!$L$3:$Q$15,3,FALSE),
IF($AL292=2,VLOOKUP($AR292,'Loyalty Incentive v1'!$L$3:$Q$15,4,FALSE),
IF($AL292=1,VLOOKUP($AR292,'Loyalty Incentive v1'!$L$3:$Q$15,5,FALSE),
IF($AL292=0,VLOOKUP($AR292,'Loyalty Incentive v1'!$L$3:$Q$15,6,FALSE),0)))))</f>
        <v>0</v>
      </c>
      <c r="AN292" s="51">
        <f>IFERROR(IF(I292&gt;="1",AM292,VLOOKUP(VALUE(I292),'Loyalty - Effec - 15July'!$I$5:$J$16,2,0)*AM292),0)</f>
        <v>0</v>
      </c>
      <c r="AO292" s="51">
        <v>0</v>
      </c>
      <c r="AP292" s="51">
        <f t="shared" si="157"/>
        <v>0</v>
      </c>
      <c r="AQ292" s="46" t="str">
        <f t="shared" si="169"/>
        <v>No</v>
      </c>
      <c r="AR292" s="46" t="str">
        <f t="shared" si="170"/>
        <v>AE5</v>
      </c>
      <c r="AS292" s="46" t="b">
        <f t="shared" si="171"/>
        <v>1</v>
      </c>
      <c r="AT292" s="82">
        <f t="shared" si="177"/>
        <v>0</v>
      </c>
      <c r="AU292" s="81">
        <f t="shared" si="158"/>
        <v>0</v>
      </c>
      <c r="AV292" s="81">
        <f t="shared" si="159"/>
        <v>0</v>
      </c>
      <c r="AW292" s="81">
        <f t="shared" si="160"/>
        <v>0</v>
      </c>
      <c r="AX292" s="85"/>
      <c r="AY292" s="81">
        <f t="shared" si="161"/>
        <v>0</v>
      </c>
      <c r="AZ292" s="83">
        <f t="shared" si="162"/>
        <v>0</v>
      </c>
      <c r="BA292" s="81">
        <f t="shared" si="163"/>
        <v>0</v>
      </c>
      <c r="BB292" s="83">
        <v>0</v>
      </c>
      <c r="BC292" s="83">
        <v>0</v>
      </c>
      <c r="BD292" s="83">
        <v>0</v>
      </c>
      <c r="BE292" s="84">
        <f>ROUND((IF(($AT292&lt;=700000),0,IF(((VLOOKUP($AR292,'Loyalty - Effec - 15July'!$B$5:$C$17,2,0)*$AT292)&lt;=120000),(VLOOKUP($AR292,'Loyalty - Effec - 15July'!$B$5:$C$17,2,0)*$AT292),120000))),0)</f>
        <v>0</v>
      </c>
      <c r="BF292" s="83">
        <f>ROUND(VLOOKUP($AR292,'Loyalty - Effec - 15July'!$B$5:$D$17,3,0)*$AT292,0)</f>
        <v>0</v>
      </c>
      <c r="BG292" s="85">
        <f t="shared" si="164"/>
        <v>0</v>
      </c>
      <c r="BH292" s="83">
        <f t="shared" si="165"/>
        <v>0</v>
      </c>
      <c r="BI292" s="85">
        <f t="shared" si="166"/>
        <v>0</v>
      </c>
      <c r="BJ292" s="85">
        <f t="shared" si="167"/>
        <v>0</v>
      </c>
      <c r="BK292" s="85">
        <f t="shared" si="168"/>
        <v>0</v>
      </c>
      <c r="BL292" s="85">
        <f t="shared" si="172"/>
        <v>0</v>
      </c>
      <c r="BM292" s="85">
        <f t="shared" si="173"/>
        <v>0</v>
      </c>
      <c r="BN292" s="85">
        <f t="shared" si="174"/>
        <v>0</v>
      </c>
      <c r="BO292" s="46" t="s">
        <v>85</v>
      </c>
      <c r="BP292" s="46"/>
      <c r="BQ292" s="46"/>
      <c r="BU292" s="47">
        <f t="shared" si="176"/>
        <v>0</v>
      </c>
      <c r="BV292" s="53" t="s">
        <v>556</v>
      </c>
      <c r="BW292" s="53" t="s">
        <v>932</v>
      </c>
      <c r="BX292" s="53" t="s">
        <v>777</v>
      </c>
      <c r="BY292" s="53"/>
      <c r="BZ292" s="53"/>
    </row>
    <row r="293" spans="1:79">
      <c r="A293" s="42" t="s">
        <v>557</v>
      </c>
      <c r="B293" s="28" t="s">
        <v>79</v>
      </c>
      <c r="C293" s="28" t="s">
        <v>80</v>
      </c>
      <c r="D293" s="28" t="s">
        <v>932</v>
      </c>
      <c r="F293" s="28" t="s">
        <v>901</v>
      </c>
      <c r="G293" s="44" t="s">
        <v>778</v>
      </c>
      <c r="H293" s="45">
        <v>45014</v>
      </c>
      <c r="I293" s="46" t="s">
        <v>1005</v>
      </c>
      <c r="J293" s="28">
        <v>2</v>
      </c>
      <c r="K293" s="28" t="s">
        <v>413</v>
      </c>
      <c r="L293" s="28" t="s">
        <v>140</v>
      </c>
      <c r="M293" s="28" t="s">
        <v>0</v>
      </c>
      <c r="N293" s="28" t="str">
        <f t="shared" si="145"/>
        <v>AE2</v>
      </c>
      <c r="O293" s="81"/>
      <c r="P293" s="81">
        <f t="shared" si="146"/>
        <v>0</v>
      </c>
      <c r="Q293" s="81">
        <f t="shared" si="147"/>
        <v>0</v>
      </c>
      <c r="R293" s="81">
        <f t="shared" si="148"/>
        <v>0</v>
      </c>
      <c r="S293" s="81"/>
      <c r="T293" s="82">
        <f t="shared" si="149"/>
        <v>0</v>
      </c>
      <c r="U293" s="82">
        <f t="shared" si="150"/>
        <v>0</v>
      </c>
      <c r="V293" s="82">
        <f t="shared" si="151"/>
        <v>0</v>
      </c>
      <c r="W293" s="83">
        <v>0</v>
      </c>
      <c r="X293" s="83">
        <v>0</v>
      </c>
      <c r="Y293" s="83">
        <v>0</v>
      </c>
      <c r="Z293" s="84">
        <f>ROUND((IF(($O293&lt;=700000),0,IF(((VLOOKUP($M293,'Loyalty - Effec - 15July'!$B$5:$C$17,2,0)*$O293)&lt;=120000),(VLOOKUP($M293,'Loyalty - Effec - 15July'!$B$5:$C$17,2,0)*$O293),120000))),0)</f>
        <v>0</v>
      </c>
      <c r="AA293" s="84">
        <f>ROUND(VLOOKUP($M293,'Loyalty - Effec - 15July'!$B$5:$D$17,3,0)*$O293,0)</f>
        <v>0</v>
      </c>
      <c r="AB293" s="85">
        <f t="shared" si="152"/>
        <v>0</v>
      </c>
      <c r="AC293" s="86">
        <f t="shared" si="153"/>
        <v>0</v>
      </c>
      <c r="AD293" s="87">
        <f t="shared" si="154"/>
        <v>0</v>
      </c>
      <c r="AE293" s="88">
        <f t="shared" si="155"/>
        <v>0</v>
      </c>
      <c r="AF293" s="88">
        <f t="shared" si="156"/>
        <v>0</v>
      </c>
      <c r="AG293" s="49" t="s">
        <v>170</v>
      </c>
      <c r="AH293" s="49" t="s">
        <v>909</v>
      </c>
      <c r="AI293" s="50"/>
      <c r="AJ293" s="46"/>
      <c r="AK293" s="46"/>
      <c r="AL293" s="46"/>
      <c r="AM293" s="51">
        <f>IF($AL293=4,VLOOKUP($AR293,'Loyalty Incentive v1'!$L$3:$Q$15,2,FALSE),
IF($AL293=3,VLOOKUP($AR293,'Loyalty Incentive v1'!$L$3:$Q$15,3,FALSE),
IF($AL293=2,VLOOKUP($AR293,'Loyalty Incentive v1'!$L$3:$Q$15,4,FALSE),
IF($AL293=1,VLOOKUP($AR293,'Loyalty Incentive v1'!$L$3:$Q$15,5,FALSE),
IF($AL293=0,VLOOKUP($AR293,'Loyalty Incentive v1'!$L$3:$Q$15,6,FALSE),0)))))</f>
        <v>0</v>
      </c>
      <c r="AN293" s="51">
        <f>IFERROR(IF(I293&gt;="1",AM293,VLOOKUP(VALUE(I293),'Loyalty - Effec - 15July'!$I$5:$J$16,2,0)*AM293),0)</f>
        <v>0</v>
      </c>
      <c r="AO293" s="51">
        <v>0</v>
      </c>
      <c r="AP293" s="51">
        <f t="shared" si="157"/>
        <v>0</v>
      </c>
      <c r="AQ293" s="46" t="str">
        <f t="shared" si="169"/>
        <v>No</v>
      </c>
      <c r="AR293" s="46" t="str">
        <f t="shared" si="170"/>
        <v>AE2</v>
      </c>
      <c r="AS293" s="46" t="b">
        <f t="shared" si="171"/>
        <v>1</v>
      </c>
      <c r="AT293" s="82">
        <f t="shared" si="177"/>
        <v>0</v>
      </c>
      <c r="AU293" s="81">
        <f t="shared" si="158"/>
        <v>0</v>
      </c>
      <c r="AV293" s="81">
        <f t="shared" si="159"/>
        <v>0</v>
      </c>
      <c r="AW293" s="81">
        <f t="shared" si="160"/>
        <v>0</v>
      </c>
      <c r="AX293" s="85"/>
      <c r="AY293" s="81">
        <f t="shared" si="161"/>
        <v>0</v>
      </c>
      <c r="AZ293" s="83">
        <f t="shared" si="162"/>
        <v>0</v>
      </c>
      <c r="BA293" s="81">
        <f t="shared" si="163"/>
        <v>0</v>
      </c>
      <c r="BB293" s="83">
        <v>0</v>
      </c>
      <c r="BC293" s="83">
        <v>0</v>
      </c>
      <c r="BD293" s="83">
        <v>0</v>
      </c>
      <c r="BE293" s="84">
        <f>ROUND((IF(($AT293&lt;=700000),0,IF(((VLOOKUP($AR293,'Loyalty - Effec - 15July'!$B$5:$C$17,2,0)*$AT293)&lt;=120000),(VLOOKUP($AR293,'Loyalty - Effec - 15July'!$B$5:$C$17,2,0)*$AT293),120000))),0)</f>
        <v>0</v>
      </c>
      <c r="BF293" s="83">
        <f>ROUND(VLOOKUP($AR293,'Loyalty - Effec - 15July'!$B$5:$D$17,3,0)*$AT293,0)</f>
        <v>0</v>
      </c>
      <c r="BG293" s="85">
        <f t="shared" si="164"/>
        <v>0</v>
      </c>
      <c r="BH293" s="83">
        <f t="shared" si="165"/>
        <v>0</v>
      </c>
      <c r="BI293" s="85">
        <f t="shared" si="166"/>
        <v>0</v>
      </c>
      <c r="BJ293" s="85">
        <f t="shared" si="167"/>
        <v>0</v>
      </c>
      <c r="BK293" s="85">
        <f t="shared" si="168"/>
        <v>0</v>
      </c>
      <c r="BL293" s="85">
        <f t="shared" si="172"/>
        <v>0</v>
      </c>
      <c r="BM293" s="85">
        <f t="shared" si="173"/>
        <v>0</v>
      </c>
      <c r="BN293" s="85">
        <f t="shared" si="174"/>
        <v>0</v>
      </c>
      <c r="BO293" s="46" t="s">
        <v>85</v>
      </c>
      <c r="BP293" s="46"/>
      <c r="BQ293" s="46"/>
      <c r="BU293" s="47">
        <f t="shared" si="176"/>
        <v>0</v>
      </c>
      <c r="BV293" s="53" t="s">
        <v>557</v>
      </c>
      <c r="BW293" s="53" t="s">
        <v>932</v>
      </c>
      <c r="BX293" s="53" t="s">
        <v>778</v>
      </c>
      <c r="BY293" s="53"/>
      <c r="BZ293" s="53"/>
    </row>
    <row r="294" spans="1:79">
      <c r="A294" s="42" t="s">
        <v>558</v>
      </c>
      <c r="B294" s="28" t="s">
        <v>79</v>
      </c>
      <c r="C294" s="28" t="s">
        <v>80</v>
      </c>
      <c r="D294" s="28" t="s">
        <v>81</v>
      </c>
      <c r="E294" s="43" t="s">
        <v>184</v>
      </c>
      <c r="F294" s="28" t="s">
        <v>901</v>
      </c>
      <c r="G294" s="44" t="s">
        <v>378</v>
      </c>
      <c r="H294" s="45">
        <v>45017</v>
      </c>
      <c r="I294" s="28" t="s">
        <v>1005</v>
      </c>
      <c r="J294" s="28">
        <v>0</v>
      </c>
      <c r="K294" s="28" t="s">
        <v>407</v>
      </c>
      <c r="L294" s="28" t="s">
        <v>868</v>
      </c>
      <c r="M294" s="28" t="s">
        <v>9</v>
      </c>
      <c r="N294" s="28" t="str">
        <f t="shared" si="145"/>
        <v>AE1</v>
      </c>
      <c r="O294" s="81"/>
      <c r="P294" s="81">
        <f t="shared" si="146"/>
        <v>0</v>
      </c>
      <c r="Q294" s="81">
        <f t="shared" si="147"/>
        <v>0</v>
      </c>
      <c r="R294" s="81">
        <f t="shared" si="148"/>
        <v>0</v>
      </c>
      <c r="S294" s="81"/>
      <c r="T294" s="82">
        <f t="shared" si="149"/>
        <v>0</v>
      </c>
      <c r="U294" s="82">
        <f t="shared" si="150"/>
        <v>0</v>
      </c>
      <c r="V294" s="82">
        <f t="shared" si="151"/>
        <v>0</v>
      </c>
      <c r="W294" s="83">
        <v>0</v>
      </c>
      <c r="X294" s="83">
        <v>0</v>
      </c>
      <c r="Y294" s="83">
        <v>0</v>
      </c>
      <c r="Z294" s="84">
        <f>ROUND((IF(($O294&lt;=700000),0,IF(((VLOOKUP($M294,'Loyalty - Effec - 15July'!$B$5:$C$17,2,0)*$O294)&lt;=120000),(VLOOKUP($M294,'Loyalty - Effec - 15July'!$B$5:$C$17,2,0)*$O294),120000))),0)</f>
        <v>0</v>
      </c>
      <c r="AA294" s="84">
        <f>ROUND(VLOOKUP($M294,'Loyalty - Effec - 15July'!$B$5:$D$17,3,0)*$O294,0)</f>
        <v>0</v>
      </c>
      <c r="AB294" s="85">
        <f t="shared" si="152"/>
        <v>0</v>
      </c>
      <c r="AC294" s="86">
        <f t="shared" si="153"/>
        <v>0</v>
      </c>
      <c r="AD294" s="87">
        <f t="shared" si="154"/>
        <v>0</v>
      </c>
      <c r="AE294" s="88">
        <f t="shared" si="155"/>
        <v>0</v>
      </c>
      <c r="AF294" s="88">
        <f t="shared" si="156"/>
        <v>0</v>
      </c>
      <c r="AG294" s="49" t="s">
        <v>702</v>
      </c>
      <c r="AH294" s="49" t="s">
        <v>349</v>
      </c>
      <c r="AI294" s="50"/>
      <c r="AJ294" s="50"/>
      <c r="AK294" s="50"/>
      <c r="AL294" s="46"/>
      <c r="AM294" s="51">
        <f>IF($AL294=4,VLOOKUP($AR294,'Loyalty Incentive v1'!$L$3:$Q$15,2,FALSE),
IF($AL294=3,VLOOKUP($AR294,'Loyalty Incentive v1'!$L$3:$Q$15,3,FALSE),
IF($AL294=2,VLOOKUP($AR294,'Loyalty Incentive v1'!$L$3:$Q$15,4,FALSE),
IF($AL294=1,VLOOKUP($AR294,'Loyalty Incentive v1'!$L$3:$Q$15,5,FALSE),
IF($AL294=0,VLOOKUP($AR294,'Loyalty Incentive v1'!$L$3:$Q$15,6,FALSE),0)))))</f>
        <v>0</v>
      </c>
      <c r="AN294" s="51">
        <f>IFERROR(IF(I294&gt;="1",AM294,VLOOKUP(VALUE(I294),'Loyalty - Effec - 15July'!$I$5:$J$16,2,0)*AM294),0)</f>
        <v>0</v>
      </c>
      <c r="AO294" s="51">
        <v>0.09</v>
      </c>
      <c r="AP294" s="51">
        <f t="shared" si="157"/>
        <v>0.09</v>
      </c>
      <c r="AQ294" s="46" t="str">
        <f t="shared" si="169"/>
        <v>No</v>
      </c>
      <c r="AR294" s="46" t="str">
        <f t="shared" si="170"/>
        <v>AE1</v>
      </c>
      <c r="AS294" s="46" t="b">
        <f t="shared" si="171"/>
        <v>1</v>
      </c>
      <c r="AT294" s="82">
        <f t="shared" si="177"/>
        <v>0</v>
      </c>
      <c r="AU294" s="81">
        <f t="shared" si="158"/>
        <v>0</v>
      </c>
      <c r="AV294" s="81">
        <f t="shared" si="159"/>
        <v>0</v>
      </c>
      <c r="AW294" s="81">
        <f t="shared" si="160"/>
        <v>0</v>
      </c>
      <c r="AX294" s="85"/>
      <c r="AY294" s="81">
        <f t="shared" si="161"/>
        <v>0</v>
      </c>
      <c r="AZ294" s="83">
        <f t="shared" si="162"/>
        <v>0</v>
      </c>
      <c r="BA294" s="81">
        <f t="shared" si="163"/>
        <v>0</v>
      </c>
      <c r="BB294" s="83">
        <v>0</v>
      </c>
      <c r="BC294" s="83">
        <v>0</v>
      </c>
      <c r="BD294" s="83">
        <v>0</v>
      </c>
      <c r="BE294" s="84">
        <f>ROUND((IF(($AT294&lt;=700000),0,IF(((VLOOKUP($AR294,'Loyalty - Effec - 15July'!$B$5:$C$17,2,0)*$AT294)&lt;=120000),(VLOOKUP($AR294,'Loyalty - Effec - 15July'!$B$5:$C$17,2,0)*$AT294),120000))),0)</f>
        <v>0</v>
      </c>
      <c r="BF294" s="84">
        <f>ROUND(VLOOKUP($AR294,'Loyalty - Effec - 15July'!$B$5:$D$17,3,0)*$AT294,0)</f>
        <v>0</v>
      </c>
      <c r="BG294" s="85">
        <f t="shared" si="164"/>
        <v>0</v>
      </c>
      <c r="BH294" s="81">
        <f t="shared" si="165"/>
        <v>0</v>
      </c>
      <c r="BI294" s="85">
        <f t="shared" si="166"/>
        <v>0</v>
      </c>
      <c r="BJ294" s="85">
        <f t="shared" si="167"/>
        <v>0</v>
      </c>
      <c r="BK294" s="85">
        <f t="shared" si="168"/>
        <v>0</v>
      </c>
      <c r="BL294" s="85">
        <f t="shared" si="172"/>
        <v>0</v>
      </c>
      <c r="BM294" s="85">
        <f t="shared" si="173"/>
        <v>0</v>
      </c>
      <c r="BN294" s="85">
        <f t="shared" si="174"/>
        <v>0</v>
      </c>
      <c r="BO294" s="46" t="s">
        <v>85</v>
      </c>
      <c r="BP294" s="46"/>
      <c r="BQ294" s="46"/>
      <c r="BR294" s="47">
        <f t="shared" ref="BR294:BR296" si="178">BG294-AB294</f>
        <v>0</v>
      </c>
      <c r="BS294" s="46">
        <v>0</v>
      </c>
      <c r="BT294" s="54">
        <v>0</v>
      </c>
      <c r="BU294" s="47">
        <f t="shared" si="176"/>
        <v>0</v>
      </c>
      <c r="BV294" s="53" t="s">
        <v>558</v>
      </c>
      <c r="BW294" s="53" t="s">
        <v>81</v>
      </c>
      <c r="BX294" s="53" t="s">
        <v>378</v>
      </c>
      <c r="BY294" s="53"/>
      <c r="BZ294" s="53"/>
      <c r="CA294" s="55"/>
    </row>
    <row r="295" spans="1:79">
      <c r="A295" s="42" t="s">
        <v>559</v>
      </c>
      <c r="B295" s="28" t="s">
        <v>79</v>
      </c>
      <c r="C295" s="28" t="s">
        <v>80</v>
      </c>
      <c r="D295" s="28" t="s">
        <v>81</v>
      </c>
      <c r="E295" s="43" t="s">
        <v>184</v>
      </c>
      <c r="F295" s="28" t="s">
        <v>901</v>
      </c>
      <c r="G295" s="44" t="s">
        <v>779</v>
      </c>
      <c r="H295" s="45">
        <v>45017</v>
      </c>
      <c r="I295" s="28" t="s">
        <v>1005</v>
      </c>
      <c r="J295" s="28">
        <v>0</v>
      </c>
      <c r="K295" s="28" t="s">
        <v>407</v>
      </c>
      <c r="L295" s="28" t="s">
        <v>868</v>
      </c>
      <c r="M295" s="28" t="s">
        <v>9</v>
      </c>
      <c r="N295" s="28" t="str">
        <f t="shared" si="145"/>
        <v>AE1</v>
      </c>
      <c r="O295" s="81"/>
      <c r="P295" s="81">
        <f t="shared" si="146"/>
        <v>0</v>
      </c>
      <c r="Q295" s="81">
        <f t="shared" si="147"/>
        <v>0</v>
      </c>
      <c r="R295" s="81">
        <f t="shared" si="148"/>
        <v>0</v>
      </c>
      <c r="S295" s="81"/>
      <c r="T295" s="82">
        <f t="shared" si="149"/>
        <v>0</v>
      </c>
      <c r="U295" s="82">
        <f t="shared" si="150"/>
        <v>0</v>
      </c>
      <c r="V295" s="82">
        <f t="shared" si="151"/>
        <v>0</v>
      </c>
      <c r="W295" s="83">
        <v>0</v>
      </c>
      <c r="X295" s="83">
        <v>0</v>
      </c>
      <c r="Y295" s="83">
        <v>0</v>
      </c>
      <c r="Z295" s="84">
        <f>ROUND((IF(($O295&lt;=700000),0,IF(((VLOOKUP($M295,'Loyalty - Effec - 15July'!$B$5:$C$17,2,0)*$O295)&lt;=120000),(VLOOKUP($M295,'Loyalty - Effec - 15July'!$B$5:$C$17,2,0)*$O295),120000))),0)</f>
        <v>0</v>
      </c>
      <c r="AA295" s="84">
        <f>ROUND(VLOOKUP($M295,'Loyalty - Effec - 15July'!$B$5:$D$17,3,0)*$O295,0)</f>
        <v>0</v>
      </c>
      <c r="AB295" s="85">
        <f t="shared" si="152"/>
        <v>0</v>
      </c>
      <c r="AC295" s="86">
        <f t="shared" si="153"/>
        <v>0</v>
      </c>
      <c r="AD295" s="87">
        <f t="shared" si="154"/>
        <v>0</v>
      </c>
      <c r="AE295" s="88">
        <f t="shared" si="155"/>
        <v>0</v>
      </c>
      <c r="AF295" s="88">
        <f t="shared" si="156"/>
        <v>0</v>
      </c>
      <c r="AG295" s="49" t="s">
        <v>163</v>
      </c>
      <c r="AH295" s="49" t="s">
        <v>809</v>
      </c>
      <c r="AI295" s="50"/>
      <c r="AJ295" s="50"/>
      <c r="AK295" s="50"/>
      <c r="AL295" s="46"/>
      <c r="AM295" s="51">
        <f>IF($AL295=4,VLOOKUP($AR295,'Loyalty Incentive v1'!$L$3:$Q$15,2,FALSE),
IF($AL295=3,VLOOKUP($AR295,'Loyalty Incentive v1'!$L$3:$Q$15,3,FALSE),
IF($AL295=2,VLOOKUP($AR295,'Loyalty Incentive v1'!$L$3:$Q$15,4,FALSE),
IF($AL295=1,VLOOKUP($AR295,'Loyalty Incentive v1'!$L$3:$Q$15,5,FALSE),
IF($AL295=0,VLOOKUP($AR295,'Loyalty Incentive v1'!$L$3:$Q$15,6,FALSE),0)))))</f>
        <v>0</v>
      </c>
      <c r="AN295" s="51">
        <f>IFERROR(IF(I295&gt;="1",AM295,VLOOKUP(VALUE(I295),'Loyalty - Effec - 15July'!$I$5:$J$16,2,0)*AM295),0)</f>
        <v>0</v>
      </c>
      <c r="AO295" s="51">
        <v>0.09</v>
      </c>
      <c r="AP295" s="51">
        <f t="shared" si="157"/>
        <v>0.09</v>
      </c>
      <c r="AQ295" s="46" t="str">
        <f t="shared" si="169"/>
        <v>No</v>
      </c>
      <c r="AR295" s="46" t="str">
        <f t="shared" si="170"/>
        <v>AE1</v>
      </c>
      <c r="AS295" s="46" t="b">
        <f t="shared" si="171"/>
        <v>1</v>
      </c>
      <c r="AT295" s="82">
        <f t="shared" si="177"/>
        <v>0</v>
      </c>
      <c r="AU295" s="81">
        <f t="shared" si="158"/>
        <v>0</v>
      </c>
      <c r="AV295" s="81">
        <f t="shared" si="159"/>
        <v>0</v>
      </c>
      <c r="AW295" s="81">
        <f t="shared" si="160"/>
        <v>0</v>
      </c>
      <c r="AX295" s="85"/>
      <c r="AY295" s="81">
        <f t="shared" si="161"/>
        <v>0</v>
      </c>
      <c r="AZ295" s="83">
        <f t="shared" si="162"/>
        <v>0</v>
      </c>
      <c r="BA295" s="81">
        <f t="shared" si="163"/>
        <v>0</v>
      </c>
      <c r="BB295" s="83">
        <v>0</v>
      </c>
      <c r="BC295" s="83">
        <v>0</v>
      </c>
      <c r="BD295" s="83">
        <v>0</v>
      </c>
      <c r="BE295" s="84">
        <f>ROUND((IF(($AT295&lt;=700000),0,IF(((VLOOKUP($AR295,'Loyalty - Effec - 15July'!$B$5:$C$17,2,0)*$AT295)&lt;=120000),(VLOOKUP($AR295,'Loyalty - Effec - 15July'!$B$5:$C$17,2,0)*$AT295),120000))),0)</f>
        <v>0</v>
      </c>
      <c r="BF295" s="84">
        <f>ROUND(VLOOKUP($AR295,'Loyalty - Effec - 15July'!$B$5:$D$17,3,0)*$AT295,0)</f>
        <v>0</v>
      </c>
      <c r="BG295" s="85">
        <f t="shared" si="164"/>
        <v>0</v>
      </c>
      <c r="BH295" s="81">
        <f t="shared" si="165"/>
        <v>0</v>
      </c>
      <c r="BI295" s="85">
        <f t="shared" si="166"/>
        <v>0</v>
      </c>
      <c r="BJ295" s="85">
        <f t="shared" si="167"/>
        <v>0</v>
      </c>
      <c r="BK295" s="85">
        <f t="shared" si="168"/>
        <v>0</v>
      </c>
      <c r="BL295" s="85">
        <f t="shared" si="172"/>
        <v>0</v>
      </c>
      <c r="BM295" s="85">
        <f t="shared" si="173"/>
        <v>0</v>
      </c>
      <c r="BN295" s="85">
        <f t="shared" si="174"/>
        <v>0</v>
      </c>
      <c r="BO295" s="46" t="s">
        <v>85</v>
      </c>
      <c r="BP295" s="46"/>
      <c r="BQ295" s="46"/>
      <c r="BR295" s="47">
        <f t="shared" si="178"/>
        <v>0</v>
      </c>
      <c r="BS295" s="46">
        <v>0</v>
      </c>
      <c r="BT295" s="54">
        <v>0</v>
      </c>
      <c r="BU295" s="47">
        <f t="shared" si="176"/>
        <v>0</v>
      </c>
      <c r="BV295" s="53" t="s">
        <v>559</v>
      </c>
      <c r="BW295" s="53" t="s">
        <v>81</v>
      </c>
      <c r="BX295" s="53" t="s">
        <v>779</v>
      </c>
      <c r="BY295" s="53"/>
      <c r="BZ295" s="53"/>
      <c r="CA295" s="55"/>
    </row>
    <row r="296" spans="1:79">
      <c r="A296" s="42" t="s">
        <v>560</v>
      </c>
      <c r="B296" s="28" t="s">
        <v>79</v>
      </c>
      <c r="C296" s="28" t="s">
        <v>80</v>
      </c>
      <c r="D296" s="28" t="s">
        <v>81</v>
      </c>
      <c r="E296" s="43" t="s">
        <v>184</v>
      </c>
      <c r="F296" s="28" t="s">
        <v>901</v>
      </c>
      <c r="G296" s="44" t="s">
        <v>780</v>
      </c>
      <c r="H296" s="45">
        <v>45017</v>
      </c>
      <c r="I296" s="28" t="s">
        <v>1005</v>
      </c>
      <c r="J296" s="28">
        <v>0</v>
      </c>
      <c r="K296" s="28" t="s">
        <v>407</v>
      </c>
      <c r="L296" s="28" t="s">
        <v>868</v>
      </c>
      <c r="M296" s="28" t="s">
        <v>9</v>
      </c>
      <c r="N296" s="28" t="str">
        <f t="shared" si="145"/>
        <v>AE1</v>
      </c>
      <c r="O296" s="81"/>
      <c r="P296" s="81">
        <f t="shared" si="146"/>
        <v>0</v>
      </c>
      <c r="Q296" s="81">
        <f t="shared" si="147"/>
        <v>0</v>
      </c>
      <c r="R296" s="81">
        <f t="shared" si="148"/>
        <v>0</v>
      </c>
      <c r="S296" s="81"/>
      <c r="T296" s="82">
        <f t="shared" si="149"/>
        <v>0</v>
      </c>
      <c r="U296" s="82">
        <f t="shared" si="150"/>
        <v>0</v>
      </c>
      <c r="V296" s="82">
        <f t="shared" si="151"/>
        <v>0</v>
      </c>
      <c r="W296" s="83">
        <v>0</v>
      </c>
      <c r="X296" s="83">
        <v>0</v>
      </c>
      <c r="Y296" s="83">
        <v>0</v>
      </c>
      <c r="Z296" s="84">
        <f>ROUND((IF(($O296&lt;=700000),0,IF(((VLOOKUP($M296,'Loyalty - Effec - 15July'!$B$5:$C$17,2,0)*$O296)&lt;=120000),(VLOOKUP($M296,'Loyalty - Effec - 15July'!$B$5:$C$17,2,0)*$O296),120000))),0)</f>
        <v>0</v>
      </c>
      <c r="AA296" s="84">
        <f>ROUND(VLOOKUP($M296,'Loyalty - Effec - 15July'!$B$5:$D$17,3,0)*$O296,0)</f>
        <v>0</v>
      </c>
      <c r="AB296" s="85">
        <f t="shared" si="152"/>
        <v>0</v>
      </c>
      <c r="AC296" s="86">
        <f t="shared" si="153"/>
        <v>0</v>
      </c>
      <c r="AD296" s="87">
        <f t="shared" si="154"/>
        <v>0</v>
      </c>
      <c r="AE296" s="88">
        <f t="shared" si="155"/>
        <v>0</v>
      </c>
      <c r="AF296" s="88">
        <f t="shared" si="156"/>
        <v>0</v>
      </c>
      <c r="AG296" s="49" t="s">
        <v>702</v>
      </c>
      <c r="AH296" s="49" t="s">
        <v>349</v>
      </c>
      <c r="AI296" s="50"/>
      <c r="AJ296" s="50"/>
      <c r="AK296" s="50"/>
      <c r="AL296" s="46"/>
      <c r="AM296" s="51">
        <f>IF($AL296=4,VLOOKUP($AR296,'Loyalty Incentive v1'!$L$3:$Q$15,2,FALSE),
IF($AL296=3,VLOOKUP($AR296,'Loyalty Incentive v1'!$L$3:$Q$15,3,FALSE),
IF($AL296=2,VLOOKUP($AR296,'Loyalty Incentive v1'!$L$3:$Q$15,4,FALSE),
IF($AL296=1,VLOOKUP($AR296,'Loyalty Incentive v1'!$L$3:$Q$15,5,FALSE),
IF($AL296=0,VLOOKUP($AR296,'Loyalty Incentive v1'!$L$3:$Q$15,6,FALSE),0)))))</f>
        <v>0</v>
      </c>
      <c r="AN296" s="51">
        <f>IFERROR(IF(I296&gt;="1",AM296,VLOOKUP(VALUE(I296),'Loyalty - Effec - 15July'!$I$5:$J$16,2,0)*AM296),0)</f>
        <v>0</v>
      </c>
      <c r="AO296" s="51">
        <v>0.09</v>
      </c>
      <c r="AP296" s="51">
        <f t="shared" si="157"/>
        <v>0.09</v>
      </c>
      <c r="AQ296" s="46" t="str">
        <f t="shared" si="169"/>
        <v>No</v>
      </c>
      <c r="AR296" s="46" t="str">
        <f t="shared" si="170"/>
        <v>AE1</v>
      </c>
      <c r="AS296" s="46" t="b">
        <f t="shared" si="171"/>
        <v>1</v>
      </c>
      <c r="AT296" s="82">
        <f t="shared" si="177"/>
        <v>0</v>
      </c>
      <c r="AU296" s="81">
        <f t="shared" si="158"/>
        <v>0</v>
      </c>
      <c r="AV296" s="81">
        <f t="shared" si="159"/>
        <v>0</v>
      </c>
      <c r="AW296" s="81">
        <f t="shared" si="160"/>
        <v>0</v>
      </c>
      <c r="AX296" s="85"/>
      <c r="AY296" s="81">
        <f t="shared" si="161"/>
        <v>0</v>
      </c>
      <c r="AZ296" s="83">
        <f t="shared" si="162"/>
        <v>0</v>
      </c>
      <c r="BA296" s="81">
        <f t="shared" si="163"/>
        <v>0</v>
      </c>
      <c r="BB296" s="83">
        <v>0</v>
      </c>
      <c r="BC296" s="83">
        <v>0</v>
      </c>
      <c r="BD296" s="83">
        <v>0</v>
      </c>
      <c r="BE296" s="84">
        <f>ROUND((IF(($AT296&lt;=700000),0,IF(((VLOOKUP($AR296,'Loyalty - Effec - 15July'!$B$5:$C$17,2,0)*$AT296)&lt;=120000),(VLOOKUP($AR296,'Loyalty - Effec - 15July'!$B$5:$C$17,2,0)*$AT296),120000))),0)</f>
        <v>0</v>
      </c>
      <c r="BF296" s="84">
        <f>ROUND(VLOOKUP($AR296,'Loyalty - Effec - 15July'!$B$5:$D$17,3,0)*$AT296,0)</f>
        <v>0</v>
      </c>
      <c r="BG296" s="85">
        <f t="shared" si="164"/>
        <v>0</v>
      </c>
      <c r="BH296" s="81">
        <f t="shared" si="165"/>
        <v>0</v>
      </c>
      <c r="BI296" s="85">
        <f t="shared" si="166"/>
        <v>0</v>
      </c>
      <c r="BJ296" s="85">
        <f t="shared" si="167"/>
        <v>0</v>
      </c>
      <c r="BK296" s="85">
        <f t="shared" si="168"/>
        <v>0</v>
      </c>
      <c r="BL296" s="85">
        <f t="shared" si="172"/>
        <v>0</v>
      </c>
      <c r="BM296" s="85">
        <f t="shared" si="173"/>
        <v>0</v>
      </c>
      <c r="BN296" s="85">
        <f t="shared" si="174"/>
        <v>0</v>
      </c>
      <c r="BO296" s="46" t="s">
        <v>85</v>
      </c>
      <c r="BP296" s="46"/>
      <c r="BQ296" s="46"/>
      <c r="BR296" s="47">
        <f t="shared" si="178"/>
        <v>0</v>
      </c>
      <c r="BS296" s="46">
        <v>0</v>
      </c>
      <c r="BT296" s="54">
        <v>0</v>
      </c>
      <c r="BU296" s="47">
        <f t="shared" si="176"/>
        <v>0</v>
      </c>
      <c r="BV296" s="53" t="s">
        <v>560</v>
      </c>
      <c r="BW296" s="53" t="s">
        <v>81</v>
      </c>
      <c r="BX296" s="53" t="s">
        <v>780</v>
      </c>
      <c r="BY296" s="53"/>
      <c r="BZ296" s="53"/>
      <c r="CA296" s="55"/>
    </row>
    <row r="297" spans="1:79">
      <c r="A297" s="42" t="s">
        <v>561</v>
      </c>
      <c r="B297" s="28" t="s">
        <v>79</v>
      </c>
      <c r="C297" s="28" t="s">
        <v>80</v>
      </c>
      <c r="D297" s="28" t="s">
        <v>932</v>
      </c>
      <c r="F297" s="28" t="s">
        <v>901</v>
      </c>
      <c r="G297" s="44" t="s">
        <v>781</v>
      </c>
      <c r="H297" s="45">
        <v>45021</v>
      </c>
      <c r="I297" s="46" t="s">
        <v>1006</v>
      </c>
      <c r="J297" s="28">
        <v>2</v>
      </c>
      <c r="K297" s="28" t="s">
        <v>93</v>
      </c>
      <c r="L297" s="28" t="s">
        <v>873</v>
      </c>
      <c r="M297" s="28" t="s">
        <v>3</v>
      </c>
      <c r="N297" s="28" t="str">
        <f t="shared" si="145"/>
        <v>AE5</v>
      </c>
      <c r="O297" s="81"/>
      <c r="P297" s="81">
        <f t="shared" si="146"/>
        <v>0</v>
      </c>
      <c r="Q297" s="81">
        <f t="shared" si="147"/>
        <v>0</v>
      </c>
      <c r="R297" s="81">
        <f t="shared" si="148"/>
        <v>0</v>
      </c>
      <c r="S297" s="81"/>
      <c r="T297" s="82">
        <f t="shared" si="149"/>
        <v>0</v>
      </c>
      <c r="U297" s="82">
        <f t="shared" si="150"/>
        <v>0</v>
      </c>
      <c r="V297" s="82">
        <f t="shared" si="151"/>
        <v>0</v>
      </c>
      <c r="W297" s="83">
        <v>0</v>
      </c>
      <c r="X297" s="83">
        <v>0</v>
      </c>
      <c r="Y297" s="83">
        <v>0</v>
      </c>
      <c r="Z297" s="84">
        <f>ROUND((IF(($O297&lt;=700000),0,IF(((VLOOKUP($M297,'Loyalty - Effec - 15July'!$B$5:$C$17,2,0)*$O297)&lt;=120000),(VLOOKUP($M297,'Loyalty - Effec - 15July'!$B$5:$C$17,2,0)*$O297),120000))),0)</f>
        <v>0</v>
      </c>
      <c r="AA297" s="84">
        <f>ROUND(VLOOKUP($M297,'Loyalty - Effec - 15July'!$B$5:$D$17,3,0)*$O297,0)</f>
        <v>0</v>
      </c>
      <c r="AB297" s="85">
        <f t="shared" si="152"/>
        <v>0</v>
      </c>
      <c r="AC297" s="86">
        <f t="shared" si="153"/>
        <v>0</v>
      </c>
      <c r="AD297" s="87">
        <f t="shared" si="154"/>
        <v>0</v>
      </c>
      <c r="AE297" s="88">
        <f t="shared" si="155"/>
        <v>0</v>
      </c>
      <c r="AF297" s="88">
        <f t="shared" si="156"/>
        <v>0</v>
      </c>
      <c r="AG297" s="49" t="s">
        <v>287</v>
      </c>
      <c r="AH297" s="49" t="s">
        <v>120</v>
      </c>
      <c r="AI297" s="50"/>
      <c r="AJ297" s="46"/>
      <c r="AK297" s="46"/>
      <c r="AL297" s="46"/>
      <c r="AM297" s="51">
        <f>IF($AL297=4,VLOOKUP($AR297,'Loyalty Incentive v1'!$L$3:$Q$15,2,FALSE),
IF($AL297=3,VLOOKUP($AR297,'Loyalty Incentive v1'!$L$3:$Q$15,3,FALSE),
IF($AL297=2,VLOOKUP($AR297,'Loyalty Incentive v1'!$L$3:$Q$15,4,FALSE),
IF($AL297=1,VLOOKUP($AR297,'Loyalty Incentive v1'!$L$3:$Q$15,5,FALSE),
IF($AL297=0,VLOOKUP($AR297,'Loyalty Incentive v1'!$L$3:$Q$15,6,FALSE),0)))))</f>
        <v>0</v>
      </c>
      <c r="AN297" s="51">
        <f>IFERROR(IF(I297&gt;="1",AM297,VLOOKUP(VALUE(I297),'Loyalty - Effec - 15July'!$I$5:$J$16,2,0)*AM297),0)</f>
        <v>0</v>
      </c>
      <c r="AO297" s="51">
        <v>0</v>
      </c>
      <c r="AP297" s="51">
        <f t="shared" si="157"/>
        <v>0</v>
      </c>
      <c r="AQ297" s="46" t="str">
        <f t="shared" si="169"/>
        <v>No</v>
      </c>
      <c r="AR297" s="46" t="str">
        <f t="shared" si="170"/>
        <v>AE5</v>
      </c>
      <c r="AS297" s="46" t="b">
        <f t="shared" si="171"/>
        <v>1</v>
      </c>
      <c r="AT297" s="82">
        <f t="shared" si="177"/>
        <v>0</v>
      </c>
      <c r="AU297" s="81">
        <f t="shared" si="158"/>
        <v>0</v>
      </c>
      <c r="AV297" s="81">
        <f t="shared" si="159"/>
        <v>0</v>
      </c>
      <c r="AW297" s="81">
        <f t="shared" si="160"/>
        <v>0</v>
      </c>
      <c r="AX297" s="85"/>
      <c r="AY297" s="81">
        <f t="shared" si="161"/>
        <v>0</v>
      </c>
      <c r="AZ297" s="83">
        <f t="shared" si="162"/>
        <v>0</v>
      </c>
      <c r="BA297" s="81">
        <f t="shared" si="163"/>
        <v>0</v>
      </c>
      <c r="BB297" s="83">
        <v>0</v>
      </c>
      <c r="BC297" s="83">
        <v>0</v>
      </c>
      <c r="BD297" s="83">
        <v>0</v>
      </c>
      <c r="BE297" s="84">
        <f>ROUND((IF(($AT297&lt;=700000),0,IF(((VLOOKUP($AR297,'Loyalty - Effec - 15July'!$B$5:$C$17,2,0)*$AT297)&lt;=120000),(VLOOKUP($AR297,'Loyalty - Effec - 15July'!$B$5:$C$17,2,0)*$AT297),120000))),0)</f>
        <v>0</v>
      </c>
      <c r="BF297" s="83">
        <f>ROUND(VLOOKUP($AR297,'Loyalty - Effec - 15July'!$B$5:$D$17,3,0)*$AT297,0)</f>
        <v>0</v>
      </c>
      <c r="BG297" s="85">
        <f t="shared" si="164"/>
        <v>0</v>
      </c>
      <c r="BH297" s="83">
        <f t="shared" si="165"/>
        <v>0</v>
      </c>
      <c r="BI297" s="85">
        <f t="shared" si="166"/>
        <v>0</v>
      </c>
      <c r="BJ297" s="85">
        <f t="shared" si="167"/>
        <v>0</v>
      </c>
      <c r="BK297" s="85">
        <f t="shared" si="168"/>
        <v>0</v>
      </c>
      <c r="BL297" s="85">
        <f t="shared" si="172"/>
        <v>0</v>
      </c>
      <c r="BM297" s="85">
        <f t="shared" si="173"/>
        <v>0</v>
      </c>
      <c r="BN297" s="85">
        <f t="shared" si="174"/>
        <v>0</v>
      </c>
      <c r="BO297" s="46" t="s">
        <v>85</v>
      </c>
      <c r="BP297" s="46"/>
      <c r="BQ297" s="46"/>
      <c r="BU297" s="47">
        <f t="shared" si="176"/>
        <v>0</v>
      </c>
      <c r="BV297" s="53" t="s">
        <v>561</v>
      </c>
      <c r="BW297" s="53" t="s">
        <v>932</v>
      </c>
      <c r="BX297" s="53" t="s">
        <v>781</v>
      </c>
      <c r="BY297" s="53"/>
      <c r="BZ297" s="53"/>
    </row>
    <row r="298" spans="1:79">
      <c r="A298" s="42" t="s">
        <v>562</v>
      </c>
      <c r="B298" s="28" t="s">
        <v>79</v>
      </c>
      <c r="C298" s="28" t="s">
        <v>80</v>
      </c>
      <c r="D298" s="28" t="s">
        <v>932</v>
      </c>
      <c r="F298" s="28" t="s">
        <v>902</v>
      </c>
      <c r="G298" s="44" t="s">
        <v>782</v>
      </c>
      <c r="H298" s="45">
        <v>45021</v>
      </c>
      <c r="I298" s="46" t="s">
        <v>1006</v>
      </c>
      <c r="J298" s="28">
        <v>2</v>
      </c>
      <c r="K298" s="28" t="s">
        <v>413</v>
      </c>
      <c r="L298" s="28" t="s">
        <v>140</v>
      </c>
      <c r="M298" s="28" t="s">
        <v>0</v>
      </c>
      <c r="N298" s="28" t="str">
        <f t="shared" si="145"/>
        <v>AE2</v>
      </c>
      <c r="O298" s="81"/>
      <c r="P298" s="81">
        <f t="shared" si="146"/>
        <v>0</v>
      </c>
      <c r="Q298" s="81">
        <f t="shared" si="147"/>
        <v>0</v>
      </c>
      <c r="R298" s="81">
        <f t="shared" si="148"/>
        <v>0</v>
      </c>
      <c r="S298" s="81"/>
      <c r="T298" s="82">
        <f t="shared" si="149"/>
        <v>0</v>
      </c>
      <c r="U298" s="82">
        <f t="shared" si="150"/>
        <v>0</v>
      </c>
      <c r="V298" s="82">
        <f t="shared" si="151"/>
        <v>0</v>
      </c>
      <c r="W298" s="83">
        <v>0</v>
      </c>
      <c r="X298" s="83">
        <v>0</v>
      </c>
      <c r="Y298" s="83">
        <v>0</v>
      </c>
      <c r="Z298" s="84">
        <f>ROUND((IF(($O298&lt;=700000),0,IF(((VLOOKUP($M298,'Loyalty - Effec - 15July'!$B$5:$C$17,2,0)*$O298)&lt;=120000),(VLOOKUP($M298,'Loyalty - Effec - 15July'!$B$5:$C$17,2,0)*$O298),120000))),0)</f>
        <v>0</v>
      </c>
      <c r="AA298" s="84">
        <f>ROUND(VLOOKUP($M298,'Loyalty - Effec - 15July'!$B$5:$D$17,3,0)*$O298,0)</f>
        <v>0</v>
      </c>
      <c r="AB298" s="85">
        <f t="shared" si="152"/>
        <v>0</v>
      </c>
      <c r="AC298" s="86">
        <f t="shared" si="153"/>
        <v>0</v>
      </c>
      <c r="AD298" s="87">
        <f t="shared" si="154"/>
        <v>0</v>
      </c>
      <c r="AE298" s="88">
        <f t="shared" si="155"/>
        <v>0</v>
      </c>
      <c r="AF298" s="88">
        <f t="shared" si="156"/>
        <v>0</v>
      </c>
      <c r="AG298" s="49" t="s">
        <v>170</v>
      </c>
      <c r="AH298" s="49" t="s">
        <v>909</v>
      </c>
      <c r="AI298" s="50"/>
      <c r="AJ298" s="46"/>
      <c r="AK298" s="46"/>
      <c r="AL298" s="46"/>
      <c r="AM298" s="51">
        <f>IF($AL298=4,VLOOKUP($AR298,'Loyalty Incentive v1'!$L$3:$Q$15,2,FALSE),
IF($AL298=3,VLOOKUP($AR298,'Loyalty Incentive v1'!$L$3:$Q$15,3,FALSE),
IF($AL298=2,VLOOKUP($AR298,'Loyalty Incentive v1'!$L$3:$Q$15,4,FALSE),
IF($AL298=1,VLOOKUP($AR298,'Loyalty Incentive v1'!$L$3:$Q$15,5,FALSE),
IF($AL298=0,VLOOKUP($AR298,'Loyalty Incentive v1'!$L$3:$Q$15,6,FALSE),0)))))</f>
        <v>0</v>
      </c>
      <c r="AN298" s="51">
        <f>IFERROR(IF(I298&gt;="1",AM298,VLOOKUP(VALUE(I298),'Loyalty - Effec - 15July'!$I$5:$J$16,2,0)*AM298),0)</f>
        <v>0</v>
      </c>
      <c r="AO298" s="51">
        <v>0</v>
      </c>
      <c r="AP298" s="51">
        <f t="shared" si="157"/>
        <v>0</v>
      </c>
      <c r="AQ298" s="46" t="str">
        <f t="shared" si="169"/>
        <v>No</v>
      </c>
      <c r="AR298" s="46" t="str">
        <f t="shared" si="170"/>
        <v>AE2</v>
      </c>
      <c r="AS298" s="46" t="b">
        <f t="shared" si="171"/>
        <v>1</v>
      </c>
      <c r="AT298" s="82">
        <f t="shared" si="177"/>
        <v>0</v>
      </c>
      <c r="AU298" s="81">
        <f t="shared" si="158"/>
        <v>0</v>
      </c>
      <c r="AV298" s="81">
        <f t="shared" si="159"/>
        <v>0</v>
      </c>
      <c r="AW298" s="81">
        <f t="shared" si="160"/>
        <v>0</v>
      </c>
      <c r="AX298" s="85"/>
      <c r="AY298" s="81">
        <f t="shared" si="161"/>
        <v>0</v>
      </c>
      <c r="AZ298" s="83">
        <f t="shared" si="162"/>
        <v>0</v>
      </c>
      <c r="BA298" s="81">
        <f t="shared" si="163"/>
        <v>0</v>
      </c>
      <c r="BB298" s="83">
        <v>0</v>
      </c>
      <c r="BC298" s="83">
        <v>0</v>
      </c>
      <c r="BD298" s="83">
        <v>0</v>
      </c>
      <c r="BE298" s="84">
        <f>ROUND((IF(($AT298&lt;=700000),0,IF(((VLOOKUP($AR298,'Loyalty - Effec - 15July'!$B$5:$C$17,2,0)*$AT298)&lt;=120000),(VLOOKUP($AR298,'Loyalty - Effec - 15July'!$B$5:$C$17,2,0)*$AT298),120000))),0)</f>
        <v>0</v>
      </c>
      <c r="BF298" s="83">
        <f>ROUND(VLOOKUP($AR298,'Loyalty - Effec - 15July'!$B$5:$D$17,3,0)*$AT298,0)</f>
        <v>0</v>
      </c>
      <c r="BG298" s="85">
        <f t="shared" si="164"/>
        <v>0</v>
      </c>
      <c r="BH298" s="83">
        <f t="shared" si="165"/>
        <v>0</v>
      </c>
      <c r="BI298" s="85">
        <f t="shared" si="166"/>
        <v>0</v>
      </c>
      <c r="BJ298" s="85">
        <f t="shared" si="167"/>
        <v>0</v>
      </c>
      <c r="BK298" s="85">
        <f t="shared" si="168"/>
        <v>0</v>
      </c>
      <c r="BL298" s="85">
        <f t="shared" si="172"/>
        <v>0</v>
      </c>
      <c r="BM298" s="85">
        <f t="shared" si="173"/>
        <v>0</v>
      </c>
      <c r="BN298" s="85">
        <f t="shared" si="174"/>
        <v>0</v>
      </c>
      <c r="BO298" s="46" t="s">
        <v>85</v>
      </c>
      <c r="BP298" s="46"/>
      <c r="BQ298" s="46"/>
      <c r="BU298" s="47">
        <f t="shared" si="176"/>
        <v>0</v>
      </c>
      <c r="BV298" s="53" t="s">
        <v>562</v>
      </c>
      <c r="BW298" s="53" t="s">
        <v>932</v>
      </c>
      <c r="BX298" s="53" t="s">
        <v>782</v>
      </c>
      <c r="BY298" s="53"/>
      <c r="BZ298" s="53"/>
    </row>
    <row r="299" spans="1:79">
      <c r="A299" s="42" t="s">
        <v>563</v>
      </c>
      <c r="B299" s="28" t="s">
        <v>79</v>
      </c>
      <c r="C299" s="28" t="s">
        <v>80</v>
      </c>
      <c r="D299" s="28" t="s">
        <v>932</v>
      </c>
      <c r="F299" s="28" t="s">
        <v>901</v>
      </c>
      <c r="G299" s="44" t="s">
        <v>783</v>
      </c>
      <c r="H299" s="45">
        <v>45021</v>
      </c>
      <c r="I299" s="46" t="s">
        <v>1006</v>
      </c>
      <c r="J299" s="28">
        <v>2</v>
      </c>
      <c r="K299" s="28" t="s">
        <v>93</v>
      </c>
      <c r="L299" s="28" t="s">
        <v>873</v>
      </c>
      <c r="M299" s="28" t="s">
        <v>2</v>
      </c>
      <c r="N299" s="28" t="str">
        <f t="shared" si="145"/>
        <v>AE4</v>
      </c>
      <c r="O299" s="81"/>
      <c r="P299" s="81">
        <f t="shared" si="146"/>
        <v>0</v>
      </c>
      <c r="Q299" s="81">
        <f t="shared" si="147"/>
        <v>0</v>
      </c>
      <c r="R299" s="81">
        <f t="shared" si="148"/>
        <v>0</v>
      </c>
      <c r="S299" s="81"/>
      <c r="T299" s="82">
        <f t="shared" si="149"/>
        <v>0</v>
      </c>
      <c r="U299" s="82">
        <f t="shared" si="150"/>
        <v>0</v>
      </c>
      <c r="V299" s="82">
        <f t="shared" si="151"/>
        <v>0</v>
      </c>
      <c r="W299" s="83">
        <v>0</v>
      </c>
      <c r="X299" s="83">
        <v>0</v>
      </c>
      <c r="Y299" s="83">
        <v>0</v>
      </c>
      <c r="Z299" s="84">
        <f>ROUND((IF(($O299&lt;=700000),0,IF(((VLOOKUP($M299,'Loyalty - Effec - 15July'!$B$5:$C$17,2,0)*$O299)&lt;=120000),(VLOOKUP($M299,'Loyalty - Effec - 15July'!$B$5:$C$17,2,0)*$O299),120000))),0)</f>
        <v>0</v>
      </c>
      <c r="AA299" s="84">
        <f>ROUND(VLOOKUP($M299,'Loyalty - Effec - 15July'!$B$5:$D$17,3,0)*$O299,0)</f>
        <v>0</v>
      </c>
      <c r="AB299" s="85">
        <f t="shared" si="152"/>
        <v>0</v>
      </c>
      <c r="AC299" s="86">
        <f t="shared" si="153"/>
        <v>0</v>
      </c>
      <c r="AD299" s="87">
        <f t="shared" si="154"/>
        <v>0</v>
      </c>
      <c r="AE299" s="88">
        <f t="shared" si="155"/>
        <v>0</v>
      </c>
      <c r="AF299" s="88">
        <f t="shared" si="156"/>
        <v>0</v>
      </c>
      <c r="AG299" s="49" t="s">
        <v>287</v>
      </c>
      <c r="AH299" s="49" t="s">
        <v>120</v>
      </c>
      <c r="AI299" s="50"/>
      <c r="AJ299" s="46"/>
      <c r="AK299" s="46"/>
      <c r="AL299" s="46"/>
      <c r="AM299" s="51">
        <f>IF($AL299=4,VLOOKUP($AR299,'Loyalty Incentive v1'!$L$3:$Q$15,2,FALSE),
IF($AL299=3,VLOOKUP($AR299,'Loyalty Incentive v1'!$L$3:$Q$15,3,FALSE),
IF($AL299=2,VLOOKUP($AR299,'Loyalty Incentive v1'!$L$3:$Q$15,4,FALSE),
IF($AL299=1,VLOOKUP($AR299,'Loyalty Incentive v1'!$L$3:$Q$15,5,FALSE),
IF($AL299=0,VLOOKUP($AR299,'Loyalty Incentive v1'!$L$3:$Q$15,6,FALSE),0)))))</f>
        <v>0</v>
      </c>
      <c r="AN299" s="51">
        <f>IFERROR(IF(I299&gt;="1",AM299,VLOOKUP(VALUE(I299),'Loyalty - Effec - 15July'!$I$5:$J$16,2,0)*AM299),0)</f>
        <v>0</v>
      </c>
      <c r="AO299" s="51">
        <v>0</v>
      </c>
      <c r="AP299" s="51">
        <f t="shared" si="157"/>
        <v>0</v>
      </c>
      <c r="AQ299" s="46" t="str">
        <f t="shared" si="169"/>
        <v>No</v>
      </c>
      <c r="AR299" s="46" t="str">
        <f t="shared" si="170"/>
        <v>AE4</v>
      </c>
      <c r="AS299" s="46" t="b">
        <f t="shared" si="171"/>
        <v>1</v>
      </c>
      <c r="AT299" s="82">
        <f t="shared" si="177"/>
        <v>0</v>
      </c>
      <c r="AU299" s="81">
        <f t="shared" si="158"/>
        <v>0</v>
      </c>
      <c r="AV299" s="81">
        <f t="shared" si="159"/>
        <v>0</v>
      </c>
      <c r="AW299" s="81">
        <f t="shared" si="160"/>
        <v>0</v>
      </c>
      <c r="AX299" s="85"/>
      <c r="AY299" s="81">
        <f t="shared" si="161"/>
        <v>0</v>
      </c>
      <c r="AZ299" s="83">
        <f t="shared" si="162"/>
        <v>0</v>
      </c>
      <c r="BA299" s="81">
        <f t="shared" si="163"/>
        <v>0</v>
      </c>
      <c r="BB299" s="83">
        <v>0</v>
      </c>
      <c r="BC299" s="83">
        <v>0</v>
      </c>
      <c r="BD299" s="83">
        <v>0</v>
      </c>
      <c r="BE299" s="84">
        <f>ROUND((IF(($AT299&lt;=700000),0,IF(((VLOOKUP($AR299,'Loyalty - Effec - 15July'!$B$5:$C$17,2,0)*$AT299)&lt;=120000),(VLOOKUP($AR299,'Loyalty - Effec - 15July'!$B$5:$C$17,2,0)*$AT299),120000))),0)</f>
        <v>0</v>
      </c>
      <c r="BF299" s="83">
        <f>ROUND(VLOOKUP($AR299,'Loyalty - Effec - 15July'!$B$5:$D$17,3,0)*$AT299,0)</f>
        <v>0</v>
      </c>
      <c r="BG299" s="85">
        <f t="shared" si="164"/>
        <v>0</v>
      </c>
      <c r="BH299" s="83">
        <f t="shared" si="165"/>
        <v>0</v>
      </c>
      <c r="BI299" s="85">
        <f t="shared" si="166"/>
        <v>0</v>
      </c>
      <c r="BJ299" s="85">
        <f t="shared" si="167"/>
        <v>0</v>
      </c>
      <c r="BK299" s="85">
        <f t="shared" si="168"/>
        <v>0</v>
      </c>
      <c r="BL299" s="85">
        <f t="shared" si="172"/>
        <v>0</v>
      </c>
      <c r="BM299" s="85">
        <f t="shared" si="173"/>
        <v>0</v>
      </c>
      <c r="BN299" s="85">
        <f t="shared" si="174"/>
        <v>0</v>
      </c>
      <c r="BO299" s="46" t="s">
        <v>85</v>
      </c>
      <c r="BP299" s="46"/>
      <c r="BQ299" s="46"/>
      <c r="BU299" s="47">
        <f t="shared" si="176"/>
        <v>0</v>
      </c>
      <c r="BV299" s="53" t="s">
        <v>563</v>
      </c>
      <c r="BW299" s="53" t="s">
        <v>932</v>
      </c>
      <c r="BX299" s="53" t="s">
        <v>783</v>
      </c>
      <c r="BY299" s="53"/>
      <c r="BZ299" s="53"/>
    </row>
    <row r="300" spans="1:79">
      <c r="A300" s="42" t="s">
        <v>564</v>
      </c>
      <c r="B300" s="28" t="s">
        <v>79</v>
      </c>
      <c r="C300" s="28" t="s">
        <v>80</v>
      </c>
      <c r="D300" s="28" t="s">
        <v>932</v>
      </c>
      <c r="F300" s="28" t="s">
        <v>901</v>
      </c>
      <c r="G300" s="44" t="s">
        <v>784</v>
      </c>
      <c r="H300" s="45">
        <v>45021</v>
      </c>
      <c r="I300" s="46" t="s">
        <v>1006</v>
      </c>
      <c r="J300" s="28">
        <v>2</v>
      </c>
      <c r="K300" s="28" t="s">
        <v>413</v>
      </c>
      <c r="L300" s="28" t="s">
        <v>880</v>
      </c>
      <c r="M300" s="28" t="s">
        <v>1</v>
      </c>
      <c r="N300" s="28" t="str">
        <f t="shared" si="145"/>
        <v>AE3</v>
      </c>
      <c r="O300" s="81"/>
      <c r="P300" s="81">
        <f t="shared" si="146"/>
        <v>0</v>
      </c>
      <c r="Q300" s="81">
        <f t="shared" si="147"/>
        <v>0</v>
      </c>
      <c r="R300" s="81">
        <f t="shared" si="148"/>
        <v>0</v>
      </c>
      <c r="S300" s="81"/>
      <c r="T300" s="82">
        <f t="shared" si="149"/>
        <v>0</v>
      </c>
      <c r="U300" s="82">
        <f t="shared" si="150"/>
        <v>0</v>
      </c>
      <c r="V300" s="82">
        <f t="shared" si="151"/>
        <v>0</v>
      </c>
      <c r="W300" s="83">
        <v>0</v>
      </c>
      <c r="X300" s="83">
        <v>0</v>
      </c>
      <c r="Y300" s="83">
        <v>0</v>
      </c>
      <c r="Z300" s="84">
        <f>ROUND((IF(($O300&lt;=700000),0,IF(((VLOOKUP($M300,'Loyalty - Effec - 15July'!$B$5:$C$17,2,0)*$O300)&lt;=120000),(VLOOKUP($M300,'Loyalty - Effec - 15July'!$B$5:$C$17,2,0)*$O300),120000))),0)</f>
        <v>0</v>
      </c>
      <c r="AA300" s="84">
        <f>ROUND(VLOOKUP($M300,'Loyalty - Effec - 15July'!$B$5:$D$17,3,0)*$O300,0)</f>
        <v>0</v>
      </c>
      <c r="AB300" s="85">
        <f t="shared" si="152"/>
        <v>0</v>
      </c>
      <c r="AC300" s="86">
        <f t="shared" si="153"/>
        <v>0</v>
      </c>
      <c r="AD300" s="87">
        <f t="shared" si="154"/>
        <v>0</v>
      </c>
      <c r="AE300" s="88">
        <f t="shared" si="155"/>
        <v>0</v>
      </c>
      <c r="AF300" s="88">
        <f t="shared" si="156"/>
        <v>0</v>
      </c>
      <c r="AG300" s="49" t="s">
        <v>178</v>
      </c>
      <c r="AH300" s="49" t="s">
        <v>928</v>
      </c>
      <c r="AI300" s="50"/>
      <c r="AJ300" s="46"/>
      <c r="AK300" s="46"/>
      <c r="AL300" s="46"/>
      <c r="AM300" s="51">
        <f>IF($AL300=4,VLOOKUP($AR300,'Loyalty Incentive v1'!$L$3:$Q$15,2,FALSE),
IF($AL300=3,VLOOKUP($AR300,'Loyalty Incentive v1'!$L$3:$Q$15,3,FALSE),
IF($AL300=2,VLOOKUP($AR300,'Loyalty Incentive v1'!$L$3:$Q$15,4,FALSE),
IF($AL300=1,VLOOKUP($AR300,'Loyalty Incentive v1'!$L$3:$Q$15,5,FALSE),
IF($AL300=0,VLOOKUP($AR300,'Loyalty Incentive v1'!$L$3:$Q$15,6,FALSE),0)))))</f>
        <v>0</v>
      </c>
      <c r="AN300" s="51">
        <f>IFERROR(IF(I300&gt;="1",AM300,VLOOKUP(VALUE(I300),'Loyalty - Effec - 15July'!$I$5:$J$16,2,0)*AM300),0)</f>
        <v>0</v>
      </c>
      <c r="AO300" s="51">
        <v>0</v>
      </c>
      <c r="AP300" s="51">
        <f t="shared" si="157"/>
        <v>0</v>
      </c>
      <c r="AQ300" s="46" t="str">
        <f t="shared" si="169"/>
        <v>No</v>
      </c>
      <c r="AR300" s="46" t="str">
        <f t="shared" si="170"/>
        <v>AE3</v>
      </c>
      <c r="AS300" s="46" t="b">
        <f t="shared" si="171"/>
        <v>1</v>
      </c>
      <c r="AT300" s="82">
        <f t="shared" si="177"/>
        <v>0</v>
      </c>
      <c r="AU300" s="81">
        <f t="shared" si="158"/>
        <v>0</v>
      </c>
      <c r="AV300" s="81">
        <f t="shared" si="159"/>
        <v>0</v>
      </c>
      <c r="AW300" s="81">
        <f t="shared" si="160"/>
        <v>0</v>
      </c>
      <c r="AX300" s="85"/>
      <c r="AY300" s="81">
        <f t="shared" si="161"/>
        <v>0</v>
      </c>
      <c r="AZ300" s="83">
        <f t="shared" si="162"/>
        <v>0</v>
      </c>
      <c r="BA300" s="81">
        <f t="shared" si="163"/>
        <v>0</v>
      </c>
      <c r="BB300" s="83">
        <v>0</v>
      </c>
      <c r="BC300" s="83">
        <v>0</v>
      </c>
      <c r="BD300" s="83">
        <v>0</v>
      </c>
      <c r="BE300" s="84">
        <f>ROUND((IF(($AT300&lt;=700000),0,IF(((VLOOKUP($AR300,'Loyalty - Effec - 15July'!$B$5:$C$17,2,0)*$AT300)&lt;=120000),(VLOOKUP($AR300,'Loyalty - Effec - 15July'!$B$5:$C$17,2,0)*$AT300),120000))),0)</f>
        <v>0</v>
      </c>
      <c r="BF300" s="83">
        <f>ROUND(VLOOKUP($AR300,'Loyalty - Effec - 15July'!$B$5:$D$17,3,0)*$AT300,0)</f>
        <v>0</v>
      </c>
      <c r="BG300" s="85">
        <f t="shared" si="164"/>
        <v>0</v>
      </c>
      <c r="BH300" s="83">
        <f t="shared" si="165"/>
        <v>0</v>
      </c>
      <c r="BI300" s="85">
        <f t="shared" si="166"/>
        <v>0</v>
      </c>
      <c r="BJ300" s="85">
        <f t="shared" si="167"/>
        <v>0</v>
      </c>
      <c r="BK300" s="85">
        <f t="shared" si="168"/>
        <v>0</v>
      </c>
      <c r="BL300" s="85">
        <f t="shared" si="172"/>
        <v>0</v>
      </c>
      <c r="BM300" s="85">
        <f t="shared" si="173"/>
        <v>0</v>
      </c>
      <c r="BN300" s="85">
        <f t="shared" si="174"/>
        <v>0</v>
      </c>
      <c r="BO300" s="46" t="s">
        <v>85</v>
      </c>
      <c r="BP300" s="46"/>
      <c r="BQ300" s="46"/>
      <c r="BU300" s="47">
        <f t="shared" si="176"/>
        <v>0</v>
      </c>
      <c r="BV300" s="53" t="s">
        <v>564</v>
      </c>
      <c r="BW300" s="53" t="s">
        <v>932</v>
      </c>
      <c r="BX300" s="53" t="s">
        <v>784</v>
      </c>
      <c r="BY300" s="53"/>
      <c r="BZ300" s="53"/>
    </row>
    <row r="301" spans="1:79">
      <c r="A301" s="42" t="s">
        <v>565</v>
      </c>
      <c r="B301" s="28" t="s">
        <v>79</v>
      </c>
      <c r="C301" s="28" t="s">
        <v>80</v>
      </c>
      <c r="D301" s="28" t="s">
        <v>932</v>
      </c>
      <c r="F301" s="28" t="s">
        <v>901</v>
      </c>
      <c r="G301" s="44" t="s">
        <v>785</v>
      </c>
      <c r="H301" s="45">
        <v>45021</v>
      </c>
      <c r="I301" s="46" t="s">
        <v>1006</v>
      </c>
      <c r="J301" s="28">
        <v>2</v>
      </c>
      <c r="K301" s="28" t="s">
        <v>93</v>
      </c>
      <c r="L301" s="28" t="s">
        <v>873</v>
      </c>
      <c r="M301" s="28" t="s">
        <v>3</v>
      </c>
      <c r="N301" s="28" t="str">
        <f t="shared" si="145"/>
        <v>AE5</v>
      </c>
      <c r="O301" s="81"/>
      <c r="P301" s="81">
        <f t="shared" si="146"/>
        <v>0</v>
      </c>
      <c r="Q301" s="81">
        <f t="shared" si="147"/>
        <v>0</v>
      </c>
      <c r="R301" s="81">
        <f t="shared" si="148"/>
        <v>0</v>
      </c>
      <c r="S301" s="81"/>
      <c r="T301" s="82">
        <f t="shared" si="149"/>
        <v>0</v>
      </c>
      <c r="U301" s="82">
        <f t="shared" si="150"/>
        <v>0</v>
      </c>
      <c r="V301" s="82">
        <f t="shared" si="151"/>
        <v>0</v>
      </c>
      <c r="W301" s="83">
        <v>0</v>
      </c>
      <c r="X301" s="83">
        <v>0</v>
      </c>
      <c r="Y301" s="83">
        <v>0</v>
      </c>
      <c r="Z301" s="84">
        <f>ROUND((IF(($O301&lt;=700000),0,IF(((VLOOKUP($M301,'Loyalty - Effec - 15July'!$B$5:$C$17,2,0)*$O301)&lt;=120000),(VLOOKUP($M301,'Loyalty - Effec - 15July'!$B$5:$C$17,2,0)*$O301),120000))),0)</f>
        <v>0</v>
      </c>
      <c r="AA301" s="84">
        <f>ROUND(VLOOKUP($M301,'Loyalty - Effec - 15July'!$B$5:$D$17,3,0)*$O301,0)</f>
        <v>0</v>
      </c>
      <c r="AB301" s="85">
        <f t="shared" si="152"/>
        <v>0</v>
      </c>
      <c r="AC301" s="86">
        <f t="shared" si="153"/>
        <v>0</v>
      </c>
      <c r="AD301" s="87">
        <f t="shared" si="154"/>
        <v>0</v>
      </c>
      <c r="AE301" s="88">
        <f t="shared" si="155"/>
        <v>0</v>
      </c>
      <c r="AF301" s="88">
        <f t="shared" si="156"/>
        <v>0</v>
      </c>
      <c r="AG301" s="49" t="s">
        <v>920</v>
      </c>
      <c r="AH301" s="49" t="s">
        <v>120</v>
      </c>
      <c r="AI301" s="50"/>
      <c r="AJ301" s="46"/>
      <c r="AK301" s="46"/>
      <c r="AL301" s="46"/>
      <c r="AM301" s="51">
        <f>IF($AL301=4,VLOOKUP($AR301,'Loyalty Incentive v1'!$L$3:$Q$15,2,FALSE),
IF($AL301=3,VLOOKUP($AR301,'Loyalty Incentive v1'!$L$3:$Q$15,3,FALSE),
IF($AL301=2,VLOOKUP($AR301,'Loyalty Incentive v1'!$L$3:$Q$15,4,FALSE),
IF($AL301=1,VLOOKUP($AR301,'Loyalty Incentive v1'!$L$3:$Q$15,5,FALSE),
IF($AL301=0,VLOOKUP($AR301,'Loyalty Incentive v1'!$L$3:$Q$15,6,FALSE),0)))))</f>
        <v>0</v>
      </c>
      <c r="AN301" s="51">
        <f>IFERROR(IF(I301&gt;="1",AM301,VLOOKUP(VALUE(I301),'Loyalty - Effec - 15July'!$I$5:$J$16,2,0)*AM301),0)</f>
        <v>0</v>
      </c>
      <c r="AO301" s="51">
        <v>0</v>
      </c>
      <c r="AP301" s="51">
        <f t="shared" si="157"/>
        <v>0</v>
      </c>
      <c r="AQ301" s="46" t="str">
        <f t="shared" si="169"/>
        <v>No</v>
      </c>
      <c r="AR301" s="46" t="str">
        <f t="shared" si="170"/>
        <v>AE5</v>
      </c>
      <c r="AS301" s="46" t="b">
        <f t="shared" si="171"/>
        <v>1</v>
      </c>
      <c r="AT301" s="82">
        <f t="shared" si="177"/>
        <v>0</v>
      </c>
      <c r="AU301" s="81">
        <f t="shared" si="158"/>
        <v>0</v>
      </c>
      <c r="AV301" s="81">
        <f t="shared" si="159"/>
        <v>0</v>
      </c>
      <c r="AW301" s="81">
        <f t="shared" si="160"/>
        <v>0</v>
      </c>
      <c r="AX301" s="85"/>
      <c r="AY301" s="81">
        <f t="shared" si="161"/>
        <v>0</v>
      </c>
      <c r="AZ301" s="83">
        <f t="shared" si="162"/>
        <v>0</v>
      </c>
      <c r="BA301" s="81">
        <f t="shared" si="163"/>
        <v>0</v>
      </c>
      <c r="BB301" s="83">
        <v>0</v>
      </c>
      <c r="BC301" s="83">
        <v>0</v>
      </c>
      <c r="BD301" s="83">
        <v>0</v>
      </c>
      <c r="BE301" s="84">
        <f>ROUND((IF(($AT301&lt;=700000),0,IF(((VLOOKUP($AR301,'Loyalty - Effec - 15July'!$B$5:$C$17,2,0)*$AT301)&lt;=120000),(VLOOKUP($AR301,'Loyalty - Effec - 15July'!$B$5:$C$17,2,0)*$AT301),120000))),0)</f>
        <v>0</v>
      </c>
      <c r="BF301" s="83">
        <f>ROUND(VLOOKUP($AR301,'Loyalty - Effec - 15July'!$B$5:$D$17,3,0)*$AT301,0)</f>
        <v>0</v>
      </c>
      <c r="BG301" s="85">
        <f t="shared" si="164"/>
        <v>0</v>
      </c>
      <c r="BH301" s="83">
        <f t="shared" si="165"/>
        <v>0</v>
      </c>
      <c r="BI301" s="85">
        <f t="shared" si="166"/>
        <v>0</v>
      </c>
      <c r="BJ301" s="85">
        <f t="shared" si="167"/>
        <v>0</v>
      </c>
      <c r="BK301" s="85">
        <f t="shared" si="168"/>
        <v>0</v>
      </c>
      <c r="BL301" s="85">
        <f t="shared" si="172"/>
        <v>0</v>
      </c>
      <c r="BM301" s="85">
        <f t="shared" si="173"/>
        <v>0</v>
      </c>
      <c r="BN301" s="85">
        <f t="shared" si="174"/>
        <v>0</v>
      </c>
      <c r="BO301" s="46" t="s">
        <v>85</v>
      </c>
      <c r="BP301" s="46"/>
      <c r="BQ301" s="46"/>
      <c r="BU301" s="47">
        <f t="shared" si="176"/>
        <v>0</v>
      </c>
      <c r="BV301" s="53" t="s">
        <v>565</v>
      </c>
      <c r="BW301" s="53" t="s">
        <v>932</v>
      </c>
      <c r="BX301" s="53" t="s">
        <v>785</v>
      </c>
      <c r="BY301" s="53"/>
      <c r="BZ301" s="53"/>
    </row>
    <row r="302" spans="1:79">
      <c r="A302" s="42" t="s">
        <v>566</v>
      </c>
      <c r="B302" s="28" t="s">
        <v>79</v>
      </c>
      <c r="C302" s="28" t="s">
        <v>80</v>
      </c>
      <c r="D302" s="28" t="s">
        <v>932</v>
      </c>
      <c r="F302" s="28" t="s">
        <v>902</v>
      </c>
      <c r="G302" s="44" t="s">
        <v>786</v>
      </c>
      <c r="H302" s="45">
        <v>45021</v>
      </c>
      <c r="I302" s="46" t="s">
        <v>1006</v>
      </c>
      <c r="J302" s="28">
        <v>2</v>
      </c>
      <c r="K302" s="28" t="s">
        <v>93</v>
      </c>
      <c r="L302" s="28" t="s">
        <v>873</v>
      </c>
      <c r="M302" s="28" t="s">
        <v>3</v>
      </c>
      <c r="N302" s="28" t="str">
        <f t="shared" ref="N302:N357" si="179">M302</f>
        <v>AE5</v>
      </c>
      <c r="O302" s="81"/>
      <c r="P302" s="81">
        <f t="shared" ref="P302:P357" si="180">CEILING(ROUND(($O302*50%),2),10)</f>
        <v>0</v>
      </c>
      <c r="Q302" s="81">
        <f t="shared" ref="Q302:Q357" si="181">ROUND((P302*25%),2)</f>
        <v>0</v>
      </c>
      <c r="R302" s="81">
        <f t="shared" ref="R302:R357" si="182">ROUND((P302*10%),2)</f>
        <v>0</v>
      </c>
      <c r="S302" s="81"/>
      <c r="T302" s="82">
        <f t="shared" ref="T302:T357" si="183">SUM(P302:S302)</f>
        <v>0</v>
      </c>
      <c r="U302" s="82">
        <f t="shared" ref="U302:U357" si="184">ROUND(IF(($T302-$Q302)&lt;=180000,($T302-$Q302)*12%,(180000*12%)),2)</f>
        <v>0</v>
      </c>
      <c r="V302" s="82">
        <f t="shared" ref="V302:V357" si="185">ROUND(IF(($T302&lt;=252000),($T302*3.25%),0),2)</f>
        <v>0</v>
      </c>
      <c r="W302" s="83">
        <v>0</v>
      </c>
      <c r="X302" s="83">
        <v>0</v>
      </c>
      <c r="Y302" s="83">
        <v>0</v>
      </c>
      <c r="Z302" s="84">
        <f>ROUND((IF(($O302&lt;=700000),0,IF(((VLOOKUP($M302,'Loyalty - Effec - 15July'!$B$5:$C$17,2,0)*$O302)&lt;=120000),(VLOOKUP($M302,'Loyalty - Effec - 15July'!$B$5:$C$17,2,0)*$O302),120000))),0)</f>
        <v>0</v>
      </c>
      <c r="AA302" s="84">
        <f>ROUND(VLOOKUP($M302,'Loyalty - Effec - 15July'!$B$5:$D$17,3,0)*$O302,0)</f>
        <v>0</v>
      </c>
      <c r="AB302" s="85">
        <f t="shared" ref="AB302:AB357" si="186">SUM(T302:AA302)</f>
        <v>0</v>
      </c>
      <c r="AC302" s="86">
        <f t="shared" ref="AC302:AC357" si="187">ROUND(IF(($T302&lt;=252000),($T302*0.75%),0),2)</f>
        <v>0</v>
      </c>
      <c r="AD302" s="87">
        <f t="shared" ref="AD302:AD357" si="188">O302-AB302</f>
        <v>0</v>
      </c>
      <c r="AE302" s="88">
        <f t="shared" ref="AE302:AE357" si="189">(T302+Z302)-(U302+AC302)</f>
        <v>0</v>
      </c>
      <c r="AF302" s="88">
        <f t="shared" ref="AF302:AF357" si="190">AE302/12</f>
        <v>0</v>
      </c>
      <c r="AG302" s="49" t="s">
        <v>206</v>
      </c>
      <c r="AH302" s="49" t="s">
        <v>126</v>
      </c>
      <c r="AI302" s="50"/>
      <c r="AJ302" s="46"/>
      <c r="AK302" s="46"/>
      <c r="AL302" s="46"/>
      <c r="AM302" s="51">
        <f>IF($AL302=4,VLOOKUP($AR302,'Loyalty Incentive v1'!$L$3:$Q$15,2,FALSE),
IF($AL302=3,VLOOKUP($AR302,'Loyalty Incentive v1'!$L$3:$Q$15,3,FALSE),
IF($AL302=2,VLOOKUP($AR302,'Loyalty Incentive v1'!$L$3:$Q$15,4,FALSE),
IF($AL302=1,VLOOKUP($AR302,'Loyalty Incentive v1'!$L$3:$Q$15,5,FALSE),
IF($AL302=0,VLOOKUP($AR302,'Loyalty Incentive v1'!$L$3:$Q$15,6,FALSE),0)))))</f>
        <v>0</v>
      </c>
      <c r="AN302" s="51">
        <f>IFERROR(IF(I302&gt;="1",AM302,VLOOKUP(VALUE(I302),'Loyalty - Effec - 15July'!$I$5:$J$16,2,0)*AM302),0)</f>
        <v>0</v>
      </c>
      <c r="AO302" s="51">
        <v>0</v>
      </c>
      <c r="AP302" s="51">
        <f t="shared" ref="AP302:AP357" si="191">AN302+AO302</f>
        <v>0</v>
      </c>
      <c r="AQ302" s="46" t="str">
        <f t="shared" si="169"/>
        <v>No</v>
      </c>
      <c r="AR302" s="46" t="str">
        <f t="shared" si="170"/>
        <v>AE5</v>
      </c>
      <c r="AS302" s="46" t="b">
        <f t="shared" si="171"/>
        <v>1</v>
      </c>
      <c r="AT302" s="82">
        <f t="shared" si="177"/>
        <v>0</v>
      </c>
      <c r="AU302" s="81">
        <f t="shared" ref="AU302:AU357" si="192">ROUND(AT302*$AU$3,0)</f>
        <v>0</v>
      </c>
      <c r="AV302" s="81">
        <f t="shared" ref="AV302:AV357" si="193">ROUND(AU302*$AV$3,0)</f>
        <v>0</v>
      </c>
      <c r="AW302" s="81">
        <f t="shared" ref="AW302:AW357" si="194">ROUND(AU302*$AW$3,0)</f>
        <v>0</v>
      </c>
      <c r="AX302" s="85"/>
      <c r="AY302" s="81">
        <f t="shared" ref="AY302:AY357" si="195">SUM(AU302:AX302)</f>
        <v>0</v>
      </c>
      <c r="AZ302" s="83">
        <f t="shared" ref="AZ302:AZ357" si="196">ROUND(IF((AY302-AV302)&gt;180000,21600,(AY302-AV302)*12%),0)</f>
        <v>0</v>
      </c>
      <c r="BA302" s="81">
        <f t="shared" ref="BA302:BA357" si="197">ROUND(IF(AY302&lt;252001,AY302*0.0325,0),0)</f>
        <v>0</v>
      </c>
      <c r="BB302" s="83">
        <v>0</v>
      </c>
      <c r="BC302" s="83">
        <v>0</v>
      </c>
      <c r="BD302" s="83">
        <v>0</v>
      </c>
      <c r="BE302" s="84">
        <f>ROUND((IF(($AT302&lt;=700000),0,IF(((VLOOKUP($AR302,'Loyalty - Effec - 15July'!$B$5:$C$17,2,0)*$AT302)&lt;=120000),(VLOOKUP($AR302,'Loyalty - Effec - 15July'!$B$5:$C$17,2,0)*$AT302),120000))),0)</f>
        <v>0</v>
      </c>
      <c r="BF302" s="83">
        <f>ROUND(VLOOKUP($AR302,'Loyalty - Effec - 15July'!$B$5:$D$17,3,0)*$AT302,0)</f>
        <v>0</v>
      </c>
      <c r="BG302" s="85">
        <f t="shared" ref="BG302:BG357" si="198">SUM(AY302:BF302)</f>
        <v>0</v>
      </c>
      <c r="BH302" s="83">
        <f t="shared" ref="BH302:BH357" si="199">ROUND(IF(AY302&lt;252001,AY302*0.0075,0),0)</f>
        <v>0</v>
      </c>
      <c r="BI302" s="85">
        <f t="shared" si="166"/>
        <v>0</v>
      </c>
      <c r="BJ302" s="85">
        <f t="shared" ref="BJ302:BJ357" si="200">(AY302+BE302)-(AZ302+BH302)</f>
        <v>0</v>
      </c>
      <c r="BK302" s="85">
        <f t="shared" ref="BK302:BK357" si="201">BJ302/12</f>
        <v>0</v>
      </c>
      <c r="BL302" s="85">
        <f t="shared" si="172"/>
        <v>0</v>
      </c>
      <c r="BM302" s="85">
        <f t="shared" si="173"/>
        <v>0</v>
      </c>
      <c r="BN302" s="85">
        <f t="shared" si="174"/>
        <v>0</v>
      </c>
      <c r="BO302" s="46" t="s">
        <v>85</v>
      </c>
      <c r="BP302" s="46"/>
      <c r="BQ302" s="46"/>
      <c r="BU302" s="47">
        <f t="shared" si="176"/>
        <v>0</v>
      </c>
      <c r="BV302" s="53" t="s">
        <v>566</v>
      </c>
      <c r="BW302" s="53" t="s">
        <v>932</v>
      </c>
      <c r="BX302" s="53" t="s">
        <v>786</v>
      </c>
      <c r="BY302" s="53"/>
      <c r="BZ302" s="53"/>
    </row>
    <row r="303" spans="1:79">
      <c r="A303" s="42" t="s">
        <v>567</v>
      </c>
      <c r="B303" s="28" t="s">
        <v>79</v>
      </c>
      <c r="C303" s="28" t="s">
        <v>80</v>
      </c>
      <c r="D303" s="28" t="s">
        <v>932</v>
      </c>
      <c r="F303" s="28" t="s">
        <v>901</v>
      </c>
      <c r="G303" s="44" t="s">
        <v>787</v>
      </c>
      <c r="H303" s="45">
        <v>45021</v>
      </c>
      <c r="I303" s="46" t="s">
        <v>1006</v>
      </c>
      <c r="J303" s="28">
        <v>2</v>
      </c>
      <c r="K303" s="28" t="s">
        <v>413</v>
      </c>
      <c r="L303" s="28" t="s">
        <v>880</v>
      </c>
      <c r="M303" s="28" t="s">
        <v>2</v>
      </c>
      <c r="N303" s="28" t="str">
        <f t="shared" si="179"/>
        <v>AE4</v>
      </c>
      <c r="O303" s="81"/>
      <c r="P303" s="81">
        <f t="shared" si="180"/>
        <v>0</v>
      </c>
      <c r="Q303" s="81">
        <f t="shared" si="181"/>
        <v>0</v>
      </c>
      <c r="R303" s="81">
        <f t="shared" si="182"/>
        <v>0</v>
      </c>
      <c r="S303" s="81"/>
      <c r="T303" s="82">
        <f t="shared" si="183"/>
        <v>0</v>
      </c>
      <c r="U303" s="82">
        <f t="shared" si="184"/>
        <v>0</v>
      </c>
      <c r="V303" s="82">
        <f t="shared" si="185"/>
        <v>0</v>
      </c>
      <c r="W303" s="83">
        <v>0</v>
      </c>
      <c r="X303" s="83">
        <v>0</v>
      </c>
      <c r="Y303" s="83">
        <v>0</v>
      </c>
      <c r="Z303" s="84">
        <f>ROUND((IF(($O303&lt;=700000),0,IF(((VLOOKUP($M303,'Loyalty - Effec - 15July'!$B$5:$C$17,2,0)*$O303)&lt;=120000),(VLOOKUP($M303,'Loyalty - Effec - 15July'!$B$5:$C$17,2,0)*$O303),120000))),0)</f>
        <v>0</v>
      </c>
      <c r="AA303" s="84">
        <f>ROUND(VLOOKUP($M303,'Loyalty - Effec - 15July'!$B$5:$D$17,3,0)*$O303,0)</f>
        <v>0</v>
      </c>
      <c r="AB303" s="85">
        <f t="shared" si="186"/>
        <v>0</v>
      </c>
      <c r="AC303" s="86">
        <f t="shared" si="187"/>
        <v>0</v>
      </c>
      <c r="AD303" s="87">
        <f t="shared" si="188"/>
        <v>0</v>
      </c>
      <c r="AE303" s="88">
        <f t="shared" si="189"/>
        <v>0</v>
      </c>
      <c r="AF303" s="88">
        <f t="shared" si="190"/>
        <v>0</v>
      </c>
      <c r="AG303" s="49" t="s">
        <v>178</v>
      </c>
      <c r="AH303" s="49" t="s">
        <v>928</v>
      </c>
      <c r="AI303" s="50"/>
      <c r="AJ303" s="46"/>
      <c r="AK303" s="46"/>
      <c r="AL303" s="46"/>
      <c r="AM303" s="51">
        <f>IF($AL303=4,VLOOKUP($AR303,'Loyalty Incentive v1'!$L$3:$Q$15,2,FALSE),
IF($AL303=3,VLOOKUP($AR303,'Loyalty Incentive v1'!$L$3:$Q$15,3,FALSE),
IF($AL303=2,VLOOKUP($AR303,'Loyalty Incentive v1'!$L$3:$Q$15,4,FALSE),
IF($AL303=1,VLOOKUP($AR303,'Loyalty Incentive v1'!$L$3:$Q$15,5,FALSE),
IF($AL303=0,VLOOKUP($AR303,'Loyalty Incentive v1'!$L$3:$Q$15,6,FALSE),0)))))</f>
        <v>0</v>
      </c>
      <c r="AN303" s="51">
        <f>IFERROR(IF(I303&gt;="1",AM303,VLOOKUP(VALUE(I303),'Loyalty - Effec - 15July'!$I$5:$J$16,2,0)*AM303),0)</f>
        <v>0</v>
      </c>
      <c r="AO303" s="51">
        <v>0</v>
      </c>
      <c r="AP303" s="51">
        <f t="shared" si="191"/>
        <v>0</v>
      </c>
      <c r="AQ303" s="46" t="str">
        <f t="shared" si="169"/>
        <v>No</v>
      </c>
      <c r="AR303" s="46" t="str">
        <f t="shared" si="170"/>
        <v>AE4</v>
      </c>
      <c r="AS303" s="46" t="b">
        <f t="shared" si="171"/>
        <v>1</v>
      </c>
      <c r="AT303" s="82">
        <f t="shared" si="177"/>
        <v>0</v>
      </c>
      <c r="AU303" s="81">
        <f t="shared" si="192"/>
        <v>0</v>
      </c>
      <c r="AV303" s="81">
        <f t="shared" si="193"/>
        <v>0</v>
      </c>
      <c r="AW303" s="81">
        <f t="shared" si="194"/>
        <v>0</v>
      </c>
      <c r="AX303" s="85"/>
      <c r="AY303" s="81">
        <f t="shared" si="195"/>
        <v>0</v>
      </c>
      <c r="AZ303" s="83">
        <f t="shared" si="196"/>
        <v>0</v>
      </c>
      <c r="BA303" s="81">
        <f t="shared" si="197"/>
        <v>0</v>
      </c>
      <c r="BB303" s="83">
        <v>0</v>
      </c>
      <c r="BC303" s="83">
        <v>0</v>
      </c>
      <c r="BD303" s="83">
        <v>0</v>
      </c>
      <c r="BE303" s="84">
        <f>ROUND((IF(($AT303&lt;=700000),0,IF(((VLOOKUP($AR303,'Loyalty - Effec - 15July'!$B$5:$C$17,2,0)*$AT303)&lt;=120000),(VLOOKUP($AR303,'Loyalty - Effec - 15July'!$B$5:$C$17,2,0)*$AT303),120000))),0)</f>
        <v>0</v>
      </c>
      <c r="BF303" s="83">
        <f>ROUND(VLOOKUP($AR303,'Loyalty - Effec - 15July'!$B$5:$D$17,3,0)*$AT303,0)</f>
        <v>0</v>
      </c>
      <c r="BG303" s="85">
        <f t="shared" si="198"/>
        <v>0</v>
      </c>
      <c r="BH303" s="83">
        <f t="shared" si="199"/>
        <v>0</v>
      </c>
      <c r="BI303" s="85">
        <f t="shared" si="166"/>
        <v>0</v>
      </c>
      <c r="BJ303" s="85">
        <f t="shared" si="200"/>
        <v>0</v>
      </c>
      <c r="BK303" s="85">
        <f t="shared" si="201"/>
        <v>0</v>
      </c>
      <c r="BL303" s="85">
        <f t="shared" si="172"/>
        <v>0</v>
      </c>
      <c r="BM303" s="85">
        <f t="shared" si="173"/>
        <v>0</v>
      </c>
      <c r="BN303" s="85">
        <f t="shared" si="174"/>
        <v>0</v>
      </c>
      <c r="BO303" s="46" t="s">
        <v>85</v>
      </c>
      <c r="BP303" s="46"/>
      <c r="BQ303" s="46"/>
      <c r="BU303" s="47">
        <f t="shared" si="176"/>
        <v>0</v>
      </c>
      <c r="BV303" s="53" t="s">
        <v>567</v>
      </c>
      <c r="BW303" s="53" t="s">
        <v>932</v>
      </c>
      <c r="BX303" s="53" t="s">
        <v>787</v>
      </c>
      <c r="BY303" s="53"/>
      <c r="BZ303" s="53"/>
    </row>
    <row r="304" spans="1:79">
      <c r="A304" s="42" t="s">
        <v>568</v>
      </c>
      <c r="B304" s="28" t="s">
        <v>79</v>
      </c>
      <c r="C304" s="28" t="s">
        <v>80</v>
      </c>
      <c r="D304" s="28" t="s">
        <v>932</v>
      </c>
      <c r="F304" s="28" t="s">
        <v>901</v>
      </c>
      <c r="G304" s="44" t="s">
        <v>788</v>
      </c>
      <c r="H304" s="45">
        <v>45026</v>
      </c>
      <c r="I304" s="46" t="s">
        <v>1006</v>
      </c>
      <c r="J304" s="28">
        <v>2</v>
      </c>
      <c r="K304" s="28" t="s">
        <v>413</v>
      </c>
      <c r="L304" s="28" t="s">
        <v>880</v>
      </c>
      <c r="M304" s="28" t="s">
        <v>9</v>
      </c>
      <c r="N304" s="28" t="str">
        <f t="shared" si="179"/>
        <v>AE1</v>
      </c>
      <c r="O304" s="81"/>
      <c r="P304" s="81">
        <f t="shared" si="180"/>
        <v>0</v>
      </c>
      <c r="Q304" s="81">
        <f t="shared" si="181"/>
        <v>0</v>
      </c>
      <c r="R304" s="81">
        <f t="shared" si="182"/>
        <v>0</v>
      </c>
      <c r="S304" s="81"/>
      <c r="T304" s="82">
        <f t="shared" si="183"/>
        <v>0</v>
      </c>
      <c r="U304" s="82">
        <f t="shared" si="184"/>
        <v>0</v>
      </c>
      <c r="V304" s="82">
        <f t="shared" si="185"/>
        <v>0</v>
      </c>
      <c r="W304" s="83">
        <v>0</v>
      </c>
      <c r="X304" s="83">
        <v>0</v>
      </c>
      <c r="Y304" s="83">
        <v>0</v>
      </c>
      <c r="Z304" s="84">
        <f>ROUND((IF(($O304&lt;=700000),0,IF(((VLOOKUP($M304,'Loyalty - Effec - 15July'!$B$5:$C$17,2,0)*$O304)&lt;=120000),(VLOOKUP($M304,'Loyalty - Effec - 15July'!$B$5:$C$17,2,0)*$O304),120000))),0)</f>
        <v>0</v>
      </c>
      <c r="AA304" s="84">
        <f>ROUND(VLOOKUP($M304,'Loyalty - Effec - 15July'!$B$5:$D$17,3,0)*$O304,0)</f>
        <v>0</v>
      </c>
      <c r="AB304" s="85">
        <f t="shared" si="186"/>
        <v>0</v>
      </c>
      <c r="AC304" s="86">
        <f t="shared" si="187"/>
        <v>0</v>
      </c>
      <c r="AD304" s="87">
        <f t="shared" si="188"/>
        <v>0</v>
      </c>
      <c r="AE304" s="88">
        <f t="shared" si="189"/>
        <v>0</v>
      </c>
      <c r="AF304" s="88">
        <f t="shared" si="190"/>
        <v>0</v>
      </c>
      <c r="AG304" s="49" t="s">
        <v>653</v>
      </c>
      <c r="AH304" s="49" t="s">
        <v>126</v>
      </c>
      <c r="AI304" s="50"/>
      <c r="AJ304" s="46"/>
      <c r="AK304" s="46"/>
      <c r="AL304" s="46"/>
      <c r="AM304" s="51">
        <f>IF($AL304=4,VLOOKUP($AR304,'Loyalty Incentive v1'!$L$3:$Q$15,2,FALSE),
IF($AL304=3,VLOOKUP($AR304,'Loyalty Incentive v1'!$L$3:$Q$15,3,FALSE),
IF($AL304=2,VLOOKUP($AR304,'Loyalty Incentive v1'!$L$3:$Q$15,4,FALSE),
IF($AL304=1,VLOOKUP($AR304,'Loyalty Incentive v1'!$L$3:$Q$15,5,FALSE),
IF($AL304=0,VLOOKUP($AR304,'Loyalty Incentive v1'!$L$3:$Q$15,6,FALSE),0)))))</f>
        <v>0</v>
      </c>
      <c r="AN304" s="51">
        <f>IFERROR(IF(I304&gt;="1",AM304,VLOOKUP(VALUE(I304),'Loyalty - Effec - 15July'!$I$5:$J$16,2,0)*AM304),0)</f>
        <v>0</v>
      </c>
      <c r="AO304" s="51">
        <v>0</v>
      </c>
      <c r="AP304" s="51">
        <f t="shared" si="191"/>
        <v>0</v>
      </c>
      <c r="AQ304" s="46" t="str">
        <f t="shared" si="169"/>
        <v>No</v>
      </c>
      <c r="AR304" s="46" t="str">
        <f t="shared" si="170"/>
        <v>AE1</v>
      </c>
      <c r="AS304" s="46" t="b">
        <f t="shared" si="171"/>
        <v>1</v>
      </c>
      <c r="AT304" s="82">
        <f t="shared" si="177"/>
        <v>0</v>
      </c>
      <c r="AU304" s="81">
        <f t="shared" si="192"/>
        <v>0</v>
      </c>
      <c r="AV304" s="81">
        <f t="shared" si="193"/>
        <v>0</v>
      </c>
      <c r="AW304" s="81">
        <f t="shared" si="194"/>
        <v>0</v>
      </c>
      <c r="AX304" s="85"/>
      <c r="AY304" s="81">
        <f t="shared" si="195"/>
        <v>0</v>
      </c>
      <c r="AZ304" s="83">
        <f t="shared" si="196"/>
        <v>0</v>
      </c>
      <c r="BA304" s="81">
        <f t="shared" si="197"/>
        <v>0</v>
      </c>
      <c r="BB304" s="83">
        <v>0</v>
      </c>
      <c r="BC304" s="83">
        <v>0</v>
      </c>
      <c r="BD304" s="83">
        <v>0</v>
      </c>
      <c r="BE304" s="84">
        <f>ROUND((IF(($AT304&lt;=700000),0,IF(((VLOOKUP($AR304,'Loyalty - Effec - 15July'!$B$5:$C$17,2,0)*$AT304)&lt;=120000),(VLOOKUP($AR304,'Loyalty - Effec - 15July'!$B$5:$C$17,2,0)*$AT304),120000))),0)</f>
        <v>0</v>
      </c>
      <c r="BF304" s="83">
        <f>ROUND(VLOOKUP($AR304,'Loyalty - Effec - 15July'!$B$5:$D$17,3,0)*$AT304,0)</f>
        <v>0</v>
      </c>
      <c r="BG304" s="85">
        <f t="shared" si="198"/>
        <v>0</v>
      </c>
      <c r="BH304" s="83">
        <f t="shared" si="199"/>
        <v>0</v>
      </c>
      <c r="BI304" s="85">
        <f t="shared" si="166"/>
        <v>0</v>
      </c>
      <c r="BJ304" s="85">
        <f t="shared" si="200"/>
        <v>0</v>
      </c>
      <c r="BK304" s="85">
        <f t="shared" si="201"/>
        <v>0</v>
      </c>
      <c r="BL304" s="85">
        <f t="shared" si="172"/>
        <v>0</v>
      </c>
      <c r="BM304" s="85">
        <f t="shared" si="173"/>
        <v>0</v>
      </c>
      <c r="BN304" s="85">
        <f t="shared" si="174"/>
        <v>0</v>
      </c>
      <c r="BO304" s="46" t="s">
        <v>85</v>
      </c>
      <c r="BP304" s="46"/>
      <c r="BQ304" s="46"/>
      <c r="BU304" s="47">
        <f t="shared" si="176"/>
        <v>0</v>
      </c>
      <c r="BV304" s="53" t="s">
        <v>568</v>
      </c>
      <c r="BW304" s="53" t="s">
        <v>932</v>
      </c>
      <c r="BX304" s="53" t="s">
        <v>788</v>
      </c>
      <c r="BY304" s="53"/>
      <c r="BZ304" s="53"/>
    </row>
    <row r="305" spans="1:79">
      <c r="A305" s="42" t="s">
        <v>569</v>
      </c>
      <c r="B305" s="28" t="s">
        <v>79</v>
      </c>
      <c r="C305" s="28" t="s">
        <v>80</v>
      </c>
      <c r="D305" s="28" t="s">
        <v>932</v>
      </c>
      <c r="F305" s="28" t="s">
        <v>901</v>
      </c>
      <c r="G305" s="44" t="s">
        <v>789</v>
      </c>
      <c r="H305" s="45">
        <v>45026</v>
      </c>
      <c r="I305" s="46" t="s">
        <v>1006</v>
      </c>
      <c r="J305" s="28">
        <v>2</v>
      </c>
      <c r="K305" s="28" t="s">
        <v>413</v>
      </c>
      <c r="L305" s="28" t="s">
        <v>880</v>
      </c>
      <c r="M305" s="28" t="s">
        <v>9</v>
      </c>
      <c r="N305" s="28" t="str">
        <f t="shared" si="179"/>
        <v>AE1</v>
      </c>
      <c r="O305" s="81"/>
      <c r="P305" s="81">
        <f t="shared" si="180"/>
        <v>0</v>
      </c>
      <c r="Q305" s="81">
        <f t="shared" si="181"/>
        <v>0</v>
      </c>
      <c r="R305" s="81">
        <f t="shared" si="182"/>
        <v>0</v>
      </c>
      <c r="S305" s="81"/>
      <c r="T305" s="82">
        <f t="shared" si="183"/>
        <v>0</v>
      </c>
      <c r="U305" s="82">
        <f t="shared" si="184"/>
        <v>0</v>
      </c>
      <c r="V305" s="82">
        <f t="shared" si="185"/>
        <v>0</v>
      </c>
      <c r="W305" s="83">
        <v>0</v>
      </c>
      <c r="X305" s="83">
        <v>0</v>
      </c>
      <c r="Y305" s="83">
        <v>0</v>
      </c>
      <c r="Z305" s="84">
        <f>ROUND((IF(($O305&lt;=700000),0,IF(((VLOOKUP($M305,'Loyalty - Effec - 15July'!$B$5:$C$17,2,0)*$O305)&lt;=120000),(VLOOKUP($M305,'Loyalty - Effec - 15July'!$B$5:$C$17,2,0)*$O305),120000))),0)</f>
        <v>0</v>
      </c>
      <c r="AA305" s="84">
        <f>ROUND(VLOOKUP($M305,'Loyalty - Effec - 15July'!$B$5:$D$17,3,0)*$O305,0)</f>
        <v>0</v>
      </c>
      <c r="AB305" s="85">
        <f t="shared" si="186"/>
        <v>0</v>
      </c>
      <c r="AC305" s="86">
        <f t="shared" si="187"/>
        <v>0</v>
      </c>
      <c r="AD305" s="87">
        <f t="shared" si="188"/>
        <v>0</v>
      </c>
      <c r="AE305" s="88">
        <f t="shared" si="189"/>
        <v>0</v>
      </c>
      <c r="AF305" s="88">
        <f t="shared" si="190"/>
        <v>0</v>
      </c>
      <c r="AG305" s="49" t="s">
        <v>655</v>
      </c>
      <c r="AH305" s="49" t="s">
        <v>126</v>
      </c>
      <c r="AI305" s="50"/>
      <c r="AJ305" s="46"/>
      <c r="AK305" s="46"/>
      <c r="AL305" s="46"/>
      <c r="AM305" s="51">
        <f>IF($AL305=4,VLOOKUP($AR305,'Loyalty Incentive v1'!$L$3:$Q$15,2,FALSE),
IF($AL305=3,VLOOKUP($AR305,'Loyalty Incentive v1'!$L$3:$Q$15,3,FALSE),
IF($AL305=2,VLOOKUP($AR305,'Loyalty Incentive v1'!$L$3:$Q$15,4,FALSE),
IF($AL305=1,VLOOKUP($AR305,'Loyalty Incentive v1'!$L$3:$Q$15,5,FALSE),
IF($AL305=0,VLOOKUP($AR305,'Loyalty Incentive v1'!$L$3:$Q$15,6,FALSE),0)))))</f>
        <v>0</v>
      </c>
      <c r="AN305" s="51">
        <f>IFERROR(IF(I305&gt;="1",AM305,VLOOKUP(VALUE(I305),'Loyalty - Effec - 15July'!$I$5:$J$16,2,0)*AM305),0)</f>
        <v>0</v>
      </c>
      <c r="AO305" s="51">
        <v>0</v>
      </c>
      <c r="AP305" s="51">
        <f t="shared" si="191"/>
        <v>0</v>
      </c>
      <c r="AQ305" s="46" t="str">
        <f t="shared" si="169"/>
        <v>No</v>
      </c>
      <c r="AR305" s="46" t="str">
        <f t="shared" si="170"/>
        <v>AE1</v>
      </c>
      <c r="AS305" s="46" t="b">
        <f t="shared" si="171"/>
        <v>1</v>
      </c>
      <c r="AT305" s="82">
        <f t="shared" si="177"/>
        <v>0</v>
      </c>
      <c r="AU305" s="81">
        <f t="shared" si="192"/>
        <v>0</v>
      </c>
      <c r="AV305" s="81">
        <f t="shared" si="193"/>
        <v>0</v>
      </c>
      <c r="AW305" s="81">
        <f t="shared" si="194"/>
        <v>0</v>
      </c>
      <c r="AX305" s="85"/>
      <c r="AY305" s="81">
        <f t="shared" si="195"/>
        <v>0</v>
      </c>
      <c r="AZ305" s="83">
        <f t="shared" si="196"/>
        <v>0</v>
      </c>
      <c r="BA305" s="81">
        <f t="shared" si="197"/>
        <v>0</v>
      </c>
      <c r="BB305" s="83">
        <v>0</v>
      </c>
      <c r="BC305" s="83">
        <v>0</v>
      </c>
      <c r="BD305" s="83">
        <v>0</v>
      </c>
      <c r="BE305" s="84">
        <f>ROUND((IF(($AT305&lt;=700000),0,IF(((VLOOKUP($AR305,'Loyalty - Effec - 15July'!$B$5:$C$17,2,0)*$AT305)&lt;=120000),(VLOOKUP($AR305,'Loyalty - Effec - 15July'!$B$5:$C$17,2,0)*$AT305),120000))),0)</f>
        <v>0</v>
      </c>
      <c r="BF305" s="83">
        <f>ROUND(VLOOKUP($AR305,'Loyalty - Effec - 15July'!$B$5:$D$17,3,0)*$AT305,0)</f>
        <v>0</v>
      </c>
      <c r="BG305" s="85">
        <f t="shared" si="198"/>
        <v>0</v>
      </c>
      <c r="BH305" s="83">
        <f t="shared" si="199"/>
        <v>0</v>
      </c>
      <c r="BI305" s="85">
        <f t="shared" si="166"/>
        <v>0</v>
      </c>
      <c r="BJ305" s="85">
        <f t="shared" si="200"/>
        <v>0</v>
      </c>
      <c r="BK305" s="85">
        <f t="shared" si="201"/>
        <v>0</v>
      </c>
      <c r="BL305" s="85">
        <f t="shared" si="172"/>
        <v>0</v>
      </c>
      <c r="BM305" s="85">
        <f t="shared" si="173"/>
        <v>0</v>
      </c>
      <c r="BN305" s="85">
        <f t="shared" si="174"/>
        <v>0</v>
      </c>
      <c r="BO305" s="46" t="s">
        <v>85</v>
      </c>
      <c r="BP305" s="46"/>
      <c r="BQ305" s="46"/>
      <c r="BU305" s="47">
        <f t="shared" si="176"/>
        <v>0</v>
      </c>
      <c r="BV305" s="53" t="s">
        <v>569</v>
      </c>
      <c r="BW305" s="53" t="s">
        <v>932</v>
      </c>
      <c r="BX305" s="53" t="s">
        <v>789</v>
      </c>
      <c r="BY305" s="53"/>
      <c r="BZ305" s="53"/>
    </row>
    <row r="306" spans="1:79">
      <c r="A306" s="42" t="s">
        <v>570</v>
      </c>
      <c r="B306" s="28" t="s">
        <v>79</v>
      </c>
      <c r="C306" s="28" t="s">
        <v>80</v>
      </c>
      <c r="D306" s="28" t="s">
        <v>932</v>
      </c>
      <c r="F306" s="28" t="s">
        <v>901</v>
      </c>
      <c r="G306" s="44" t="s">
        <v>790</v>
      </c>
      <c r="H306" s="45">
        <v>45026</v>
      </c>
      <c r="I306" s="46" t="s">
        <v>1006</v>
      </c>
      <c r="J306" s="28">
        <v>2</v>
      </c>
      <c r="K306" s="28" t="s">
        <v>413</v>
      </c>
      <c r="L306" s="28" t="s">
        <v>880</v>
      </c>
      <c r="M306" s="28" t="s">
        <v>9</v>
      </c>
      <c r="N306" s="28" t="str">
        <f t="shared" si="179"/>
        <v>AE1</v>
      </c>
      <c r="O306" s="81"/>
      <c r="P306" s="81">
        <f t="shared" si="180"/>
        <v>0</v>
      </c>
      <c r="Q306" s="81">
        <f t="shared" si="181"/>
        <v>0</v>
      </c>
      <c r="R306" s="81">
        <f t="shared" si="182"/>
        <v>0</v>
      </c>
      <c r="S306" s="81"/>
      <c r="T306" s="82">
        <f t="shared" si="183"/>
        <v>0</v>
      </c>
      <c r="U306" s="82">
        <f t="shared" si="184"/>
        <v>0</v>
      </c>
      <c r="V306" s="82">
        <f t="shared" si="185"/>
        <v>0</v>
      </c>
      <c r="W306" s="83">
        <v>0</v>
      </c>
      <c r="X306" s="83">
        <v>0</v>
      </c>
      <c r="Y306" s="83">
        <v>0</v>
      </c>
      <c r="Z306" s="84">
        <f>ROUND((IF(($O306&lt;=700000),0,IF(((VLOOKUP($M306,'Loyalty - Effec - 15July'!$B$5:$C$17,2,0)*$O306)&lt;=120000),(VLOOKUP($M306,'Loyalty - Effec - 15July'!$B$5:$C$17,2,0)*$O306),120000))),0)</f>
        <v>0</v>
      </c>
      <c r="AA306" s="84">
        <f>ROUND(VLOOKUP($M306,'Loyalty - Effec - 15July'!$B$5:$D$17,3,0)*$O306,0)</f>
        <v>0</v>
      </c>
      <c r="AB306" s="85">
        <f t="shared" si="186"/>
        <v>0</v>
      </c>
      <c r="AC306" s="86">
        <f t="shared" si="187"/>
        <v>0</v>
      </c>
      <c r="AD306" s="87">
        <f t="shared" si="188"/>
        <v>0</v>
      </c>
      <c r="AE306" s="88">
        <f t="shared" si="189"/>
        <v>0</v>
      </c>
      <c r="AF306" s="88">
        <f t="shared" si="190"/>
        <v>0</v>
      </c>
      <c r="AG306" s="49" t="s">
        <v>653</v>
      </c>
      <c r="AH306" s="49" t="s">
        <v>126</v>
      </c>
      <c r="AI306" s="50"/>
      <c r="AJ306" s="46"/>
      <c r="AK306" s="46"/>
      <c r="AL306" s="46"/>
      <c r="AM306" s="51">
        <f>IF($AL306=4,VLOOKUP($AR306,'Loyalty Incentive v1'!$L$3:$Q$15,2,FALSE),
IF($AL306=3,VLOOKUP($AR306,'Loyalty Incentive v1'!$L$3:$Q$15,3,FALSE),
IF($AL306=2,VLOOKUP($AR306,'Loyalty Incentive v1'!$L$3:$Q$15,4,FALSE),
IF($AL306=1,VLOOKUP($AR306,'Loyalty Incentive v1'!$L$3:$Q$15,5,FALSE),
IF($AL306=0,VLOOKUP($AR306,'Loyalty Incentive v1'!$L$3:$Q$15,6,FALSE),0)))))</f>
        <v>0</v>
      </c>
      <c r="AN306" s="51">
        <f>IFERROR(IF(I306&gt;="1",AM306,VLOOKUP(VALUE(I306),'Loyalty - Effec - 15July'!$I$5:$J$16,2,0)*AM306),0)</f>
        <v>0</v>
      </c>
      <c r="AO306" s="51">
        <v>0</v>
      </c>
      <c r="AP306" s="51">
        <f t="shared" si="191"/>
        <v>0</v>
      </c>
      <c r="AQ306" s="46" t="str">
        <f t="shared" si="169"/>
        <v>No</v>
      </c>
      <c r="AR306" s="46" t="str">
        <f t="shared" si="170"/>
        <v>AE1</v>
      </c>
      <c r="AS306" s="46" t="b">
        <f t="shared" si="171"/>
        <v>1</v>
      </c>
      <c r="AT306" s="82">
        <f t="shared" si="177"/>
        <v>0</v>
      </c>
      <c r="AU306" s="81">
        <f t="shared" si="192"/>
        <v>0</v>
      </c>
      <c r="AV306" s="81">
        <f t="shared" si="193"/>
        <v>0</v>
      </c>
      <c r="AW306" s="81">
        <f t="shared" si="194"/>
        <v>0</v>
      </c>
      <c r="AX306" s="85"/>
      <c r="AY306" s="81">
        <f t="shared" si="195"/>
        <v>0</v>
      </c>
      <c r="AZ306" s="83">
        <f t="shared" si="196"/>
        <v>0</v>
      </c>
      <c r="BA306" s="81">
        <f t="shared" si="197"/>
        <v>0</v>
      </c>
      <c r="BB306" s="83">
        <v>0</v>
      </c>
      <c r="BC306" s="83">
        <v>0</v>
      </c>
      <c r="BD306" s="83">
        <v>0</v>
      </c>
      <c r="BE306" s="84">
        <f>ROUND((IF(($AT306&lt;=700000),0,IF(((VLOOKUP($AR306,'Loyalty - Effec - 15July'!$B$5:$C$17,2,0)*$AT306)&lt;=120000),(VLOOKUP($AR306,'Loyalty - Effec - 15July'!$B$5:$C$17,2,0)*$AT306),120000))),0)</f>
        <v>0</v>
      </c>
      <c r="BF306" s="83">
        <f>ROUND(VLOOKUP($AR306,'Loyalty - Effec - 15July'!$B$5:$D$17,3,0)*$AT306,0)</f>
        <v>0</v>
      </c>
      <c r="BG306" s="85">
        <f t="shared" si="198"/>
        <v>0</v>
      </c>
      <c r="BH306" s="83">
        <f t="shared" si="199"/>
        <v>0</v>
      </c>
      <c r="BI306" s="85">
        <f t="shared" ref="BI306:BI369" si="202">AT306-BG306</f>
        <v>0</v>
      </c>
      <c r="BJ306" s="85">
        <f t="shared" si="200"/>
        <v>0</v>
      </c>
      <c r="BK306" s="85">
        <f t="shared" si="201"/>
        <v>0</v>
      </c>
      <c r="BL306" s="85">
        <f t="shared" si="172"/>
        <v>0</v>
      </c>
      <c r="BM306" s="85">
        <f t="shared" si="173"/>
        <v>0</v>
      </c>
      <c r="BN306" s="85">
        <f t="shared" si="174"/>
        <v>0</v>
      </c>
      <c r="BO306" s="46" t="s">
        <v>85</v>
      </c>
      <c r="BP306" s="46"/>
      <c r="BQ306" s="46"/>
      <c r="BU306" s="47">
        <f t="shared" si="176"/>
        <v>0</v>
      </c>
      <c r="BV306" s="53" t="s">
        <v>570</v>
      </c>
      <c r="BW306" s="53" t="s">
        <v>932</v>
      </c>
      <c r="BX306" s="53" t="s">
        <v>790</v>
      </c>
      <c r="BY306" s="53"/>
      <c r="BZ306" s="53"/>
    </row>
    <row r="307" spans="1:79">
      <c r="A307" s="42" t="s">
        <v>571</v>
      </c>
      <c r="B307" s="28" t="s">
        <v>79</v>
      </c>
      <c r="C307" s="28" t="s">
        <v>80</v>
      </c>
      <c r="D307" s="28" t="s">
        <v>932</v>
      </c>
      <c r="F307" s="28" t="s">
        <v>901</v>
      </c>
      <c r="G307" s="44" t="s">
        <v>791</v>
      </c>
      <c r="H307" s="45">
        <v>45026</v>
      </c>
      <c r="I307" s="46" t="s">
        <v>1006</v>
      </c>
      <c r="J307" s="28">
        <v>2</v>
      </c>
      <c r="K307" s="28" t="s">
        <v>413</v>
      </c>
      <c r="L307" s="28" t="s">
        <v>880</v>
      </c>
      <c r="M307" s="28" t="s">
        <v>9</v>
      </c>
      <c r="N307" s="28" t="str">
        <f t="shared" si="179"/>
        <v>AE1</v>
      </c>
      <c r="O307" s="81"/>
      <c r="P307" s="81">
        <f t="shared" si="180"/>
        <v>0</v>
      </c>
      <c r="Q307" s="81">
        <f t="shared" si="181"/>
        <v>0</v>
      </c>
      <c r="R307" s="81">
        <f t="shared" si="182"/>
        <v>0</v>
      </c>
      <c r="S307" s="81"/>
      <c r="T307" s="82">
        <f t="shared" si="183"/>
        <v>0</v>
      </c>
      <c r="U307" s="82">
        <f t="shared" si="184"/>
        <v>0</v>
      </c>
      <c r="V307" s="82">
        <f t="shared" si="185"/>
        <v>0</v>
      </c>
      <c r="W307" s="83">
        <v>0</v>
      </c>
      <c r="X307" s="83">
        <v>0</v>
      </c>
      <c r="Y307" s="83">
        <v>0</v>
      </c>
      <c r="Z307" s="84">
        <f>ROUND((IF(($O307&lt;=700000),0,IF(((VLOOKUP($M307,'Loyalty - Effec - 15July'!$B$5:$C$17,2,0)*$O307)&lt;=120000),(VLOOKUP($M307,'Loyalty - Effec - 15July'!$B$5:$C$17,2,0)*$O307),120000))),0)</f>
        <v>0</v>
      </c>
      <c r="AA307" s="84">
        <f>ROUND(VLOOKUP($M307,'Loyalty - Effec - 15July'!$B$5:$D$17,3,0)*$O307,0)</f>
        <v>0</v>
      </c>
      <c r="AB307" s="85">
        <f t="shared" si="186"/>
        <v>0</v>
      </c>
      <c r="AC307" s="86">
        <f t="shared" si="187"/>
        <v>0</v>
      </c>
      <c r="AD307" s="87">
        <f t="shared" si="188"/>
        <v>0</v>
      </c>
      <c r="AE307" s="88">
        <f t="shared" si="189"/>
        <v>0</v>
      </c>
      <c r="AF307" s="88">
        <f t="shared" si="190"/>
        <v>0</v>
      </c>
      <c r="AG307" s="49" t="s">
        <v>251</v>
      </c>
      <c r="AH307" s="49" t="s">
        <v>126</v>
      </c>
      <c r="AI307" s="50"/>
      <c r="AJ307" s="46"/>
      <c r="AK307" s="46"/>
      <c r="AL307" s="46"/>
      <c r="AM307" s="51">
        <f>IF($AL307=4,VLOOKUP($AR307,'Loyalty Incentive v1'!$L$3:$Q$15,2,FALSE),
IF($AL307=3,VLOOKUP($AR307,'Loyalty Incentive v1'!$L$3:$Q$15,3,FALSE),
IF($AL307=2,VLOOKUP($AR307,'Loyalty Incentive v1'!$L$3:$Q$15,4,FALSE),
IF($AL307=1,VLOOKUP($AR307,'Loyalty Incentive v1'!$L$3:$Q$15,5,FALSE),
IF($AL307=0,VLOOKUP($AR307,'Loyalty Incentive v1'!$L$3:$Q$15,6,FALSE),0)))))</f>
        <v>0</v>
      </c>
      <c r="AN307" s="51">
        <f>IFERROR(IF(I307&gt;="1",AM307,VLOOKUP(VALUE(I307),'Loyalty - Effec - 15July'!$I$5:$J$16,2,0)*AM307),0)</f>
        <v>0</v>
      </c>
      <c r="AO307" s="51">
        <v>0</v>
      </c>
      <c r="AP307" s="51">
        <f t="shared" si="191"/>
        <v>0</v>
      </c>
      <c r="AQ307" s="46" t="str">
        <f t="shared" si="169"/>
        <v>No</v>
      </c>
      <c r="AR307" s="46" t="str">
        <f t="shared" si="170"/>
        <v>AE1</v>
      </c>
      <c r="AS307" s="46" t="b">
        <f t="shared" si="171"/>
        <v>1</v>
      </c>
      <c r="AT307" s="82">
        <f t="shared" si="177"/>
        <v>0</v>
      </c>
      <c r="AU307" s="81">
        <f t="shared" si="192"/>
        <v>0</v>
      </c>
      <c r="AV307" s="81">
        <f t="shared" si="193"/>
        <v>0</v>
      </c>
      <c r="AW307" s="81">
        <f t="shared" si="194"/>
        <v>0</v>
      </c>
      <c r="AX307" s="85"/>
      <c r="AY307" s="81">
        <f t="shared" si="195"/>
        <v>0</v>
      </c>
      <c r="AZ307" s="83">
        <f t="shared" si="196"/>
        <v>0</v>
      </c>
      <c r="BA307" s="81">
        <f t="shared" si="197"/>
        <v>0</v>
      </c>
      <c r="BB307" s="83">
        <v>0</v>
      </c>
      <c r="BC307" s="83">
        <v>0</v>
      </c>
      <c r="BD307" s="83">
        <v>0</v>
      </c>
      <c r="BE307" s="84">
        <f>ROUND((IF(($AT307&lt;=700000),0,IF(((VLOOKUP($AR307,'Loyalty - Effec - 15July'!$B$5:$C$17,2,0)*$AT307)&lt;=120000),(VLOOKUP($AR307,'Loyalty - Effec - 15July'!$B$5:$C$17,2,0)*$AT307),120000))),0)</f>
        <v>0</v>
      </c>
      <c r="BF307" s="83">
        <f>ROUND(VLOOKUP($AR307,'Loyalty - Effec - 15July'!$B$5:$D$17,3,0)*$AT307,0)</f>
        <v>0</v>
      </c>
      <c r="BG307" s="85">
        <f t="shared" si="198"/>
        <v>0</v>
      </c>
      <c r="BH307" s="83">
        <f t="shared" si="199"/>
        <v>0</v>
      </c>
      <c r="BI307" s="85">
        <f t="shared" si="202"/>
        <v>0</v>
      </c>
      <c r="BJ307" s="85">
        <f t="shared" si="200"/>
        <v>0</v>
      </c>
      <c r="BK307" s="85">
        <f t="shared" si="201"/>
        <v>0</v>
      </c>
      <c r="BL307" s="85">
        <f t="shared" si="172"/>
        <v>0</v>
      </c>
      <c r="BM307" s="85">
        <f t="shared" si="173"/>
        <v>0</v>
      </c>
      <c r="BN307" s="85">
        <f t="shared" si="174"/>
        <v>0</v>
      </c>
      <c r="BO307" s="46" t="s">
        <v>85</v>
      </c>
      <c r="BP307" s="46"/>
      <c r="BQ307" s="46"/>
      <c r="BU307" s="47">
        <f t="shared" si="176"/>
        <v>0</v>
      </c>
      <c r="BV307" s="53" t="s">
        <v>571</v>
      </c>
      <c r="BW307" s="53" t="s">
        <v>932</v>
      </c>
      <c r="BX307" s="53" t="s">
        <v>791</v>
      </c>
      <c r="BY307" s="53"/>
      <c r="BZ307" s="53"/>
    </row>
    <row r="308" spans="1:79">
      <c r="A308" s="42" t="s">
        <v>572</v>
      </c>
      <c r="B308" s="28" t="s">
        <v>79</v>
      </c>
      <c r="C308" s="28" t="s">
        <v>80</v>
      </c>
      <c r="D308" s="28" t="s">
        <v>932</v>
      </c>
      <c r="F308" s="28" t="s">
        <v>901</v>
      </c>
      <c r="G308" s="44" t="s">
        <v>792</v>
      </c>
      <c r="H308" s="45">
        <v>45026</v>
      </c>
      <c r="I308" s="46" t="s">
        <v>1006</v>
      </c>
      <c r="J308" s="28">
        <v>2</v>
      </c>
      <c r="K308" s="28" t="s">
        <v>413</v>
      </c>
      <c r="L308" s="28" t="s">
        <v>880</v>
      </c>
      <c r="M308" s="28" t="s">
        <v>9</v>
      </c>
      <c r="N308" s="28" t="str">
        <f t="shared" si="179"/>
        <v>AE1</v>
      </c>
      <c r="O308" s="81"/>
      <c r="P308" s="81">
        <f t="shared" si="180"/>
        <v>0</v>
      </c>
      <c r="Q308" s="81">
        <f t="shared" si="181"/>
        <v>0</v>
      </c>
      <c r="R308" s="81">
        <f t="shared" si="182"/>
        <v>0</v>
      </c>
      <c r="S308" s="81"/>
      <c r="T308" s="82">
        <f t="shared" si="183"/>
        <v>0</v>
      </c>
      <c r="U308" s="82">
        <f t="shared" si="184"/>
        <v>0</v>
      </c>
      <c r="V308" s="82">
        <f t="shared" si="185"/>
        <v>0</v>
      </c>
      <c r="W308" s="83">
        <v>0</v>
      </c>
      <c r="X308" s="83">
        <v>0</v>
      </c>
      <c r="Y308" s="83">
        <v>0</v>
      </c>
      <c r="Z308" s="84">
        <f>ROUND((IF(($O308&lt;=700000),0,IF(((VLOOKUP($M308,'Loyalty - Effec - 15July'!$B$5:$C$17,2,0)*$O308)&lt;=120000),(VLOOKUP($M308,'Loyalty - Effec - 15July'!$B$5:$C$17,2,0)*$O308),120000))),0)</f>
        <v>0</v>
      </c>
      <c r="AA308" s="84">
        <f>ROUND(VLOOKUP($M308,'Loyalty - Effec - 15July'!$B$5:$D$17,3,0)*$O308,0)</f>
        <v>0</v>
      </c>
      <c r="AB308" s="85">
        <f t="shared" si="186"/>
        <v>0</v>
      </c>
      <c r="AC308" s="86">
        <f t="shared" si="187"/>
        <v>0</v>
      </c>
      <c r="AD308" s="87">
        <f t="shared" si="188"/>
        <v>0</v>
      </c>
      <c r="AE308" s="88">
        <f t="shared" si="189"/>
        <v>0</v>
      </c>
      <c r="AF308" s="88">
        <f t="shared" si="190"/>
        <v>0</v>
      </c>
      <c r="AG308" s="49" t="s">
        <v>653</v>
      </c>
      <c r="AH308" s="49" t="s">
        <v>126</v>
      </c>
      <c r="AI308" s="50"/>
      <c r="AJ308" s="46"/>
      <c r="AK308" s="46"/>
      <c r="AL308" s="46"/>
      <c r="AM308" s="51">
        <f>IF($AL308=4,VLOOKUP($AR308,'Loyalty Incentive v1'!$L$3:$Q$15,2,FALSE),
IF($AL308=3,VLOOKUP($AR308,'Loyalty Incentive v1'!$L$3:$Q$15,3,FALSE),
IF($AL308=2,VLOOKUP($AR308,'Loyalty Incentive v1'!$L$3:$Q$15,4,FALSE),
IF($AL308=1,VLOOKUP($AR308,'Loyalty Incentive v1'!$L$3:$Q$15,5,FALSE),
IF($AL308=0,VLOOKUP($AR308,'Loyalty Incentive v1'!$L$3:$Q$15,6,FALSE),0)))))</f>
        <v>0</v>
      </c>
      <c r="AN308" s="51">
        <f>IFERROR(IF(I308&gt;="1",AM308,VLOOKUP(VALUE(I308),'Loyalty - Effec - 15July'!$I$5:$J$16,2,0)*AM308),0)</f>
        <v>0</v>
      </c>
      <c r="AO308" s="51">
        <v>0</v>
      </c>
      <c r="AP308" s="51">
        <f t="shared" si="191"/>
        <v>0</v>
      </c>
      <c r="AQ308" s="46" t="str">
        <f t="shared" ref="AQ308:AQ364" si="203">IF((N308=AR308),"No","Yes")</f>
        <v>No</v>
      </c>
      <c r="AR308" s="46" t="str">
        <f t="shared" ref="AR308:AR364" si="204">N308</f>
        <v>AE1</v>
      </c>
      <c r="AS308" s="46" t="b">
        <f t="shared" ref="AS308:AS364" si="205">AR308=M308</f>
        <v>1</v>
      </c>
      <c r="AT308" s="82">
        <f t="shared" si="177"/>
        <v>0</v>
      </c>
      <c r="AU308" s="81">
        <f t="shared" si="192"/>
        <v>0</v>
      </c>
      <c r="AV308" s="81">
        <f t="shared" si="193"/>
        <v>0</v>
      </c>
      <c r="AW308" s="81">
        <f t="shared" si="194"/>
        <v>0</v>
      </c>
      <c r="AX308" s="85"/>
      <c r="AY308" s="81">
        <f t="shared" si="195"/>
        <v>0</v>
      </c>
      <c r="AZ308" s="83">
        <f t="shared" si="196"/>
        <v>0</v>
      </c>
      <c r="BA308" s="81">
        <f t="shared" si="197"/>
        <v>0</v>
      </c>
      <c r="BB308" s="83">
        <v>0</v>
      </c>
      <c r="BC308" s="83">
        <v>0</v>
      </c>
      <c r="BD308" s="83">
        <v>0</v>
      </c>
      <c r="BE308" s="84">
        <f>ROUND((IF(($AT308&lt;=700000),0,IF(((VLOOKUP($AR308,'Loyalty - Effec - 15July'!$B$5:$C$17,2,0)*$AT308)&lt;=120000),(VLOOKUP($AR308,'Loyalty - Effec - 15July'!$B$5:$C$17,2,0)*$AT308),120000))),0)</f>
        <v>0</v>
      </c>
      <c r="BF308" s="83">
        <f>ROUND(VLOOKUP($AR308,'Loyalty - Effec - 15July'!$B$5:$D$17,3,0)*$AT308,0)</f>
        <v>0</v>
      </c>
      <c r="BG308" s="85">
        <f t="shared" si="198"/>
        <v>0</v>
      </c>
      <c r="BH308" s="83">
        <f t="shared" si="199"/>
        <v>0</v>
      </c>
      <c r="BI308" s="85">
        <f t="shared" si="202"/>
        <v>0</v>
      </c>
      <c r="BJ308" s="85">
        <f t="shared" si="200"/>
        <v>0</v>
      </c>
      <c r="BK308" s="85">
        <f t="shared" si="201"/>
        <v>0</v>
      </c>
      <c r="BL308" s="85">
        <f t="shared" ref="BL308:BL364" si="206">BG308-AB308</f>
        <v>0</v>
      </c>
      <c r="BM308" s="85">
        <f t="shared" ref="BM308:BM364" si="207">BK308-AF308</f>
        <v>0</v>
      </c>
      <c r="BN308" s="85">
        <f t="shared" ref="BN308:BN364" si="208">BK308-AF308</f>
        <v>0</v>
      </c>
      <c r="BO308" s="46" t="s">
        <v>85</v>
      </c>
      <c r="BP308" s="46"/>
      <c r="BQ308" s="46"/>
      <c r="BU308" s="47">
        <f t="shared" si="176"/>
        <v>0</v>
      </c>
      <c r="BV308" s="53" t="s">
        <v>572</v>
      </c>
      <c r="BW308" s="53" t="s">
        <v>932</v>
      </c>
      <c r="BX308" s="53" t="s">
        <v>792</v>
      </c>
      <c r="BY308" s="53"/>
      <c r="BZ308" s="53"/>
    </row>
    <row r="309" spans="1:79">
      <c r="A309" s="42" t="s">
        <v>573</v>
      </c>
      <c r="B309" s="28" t="s">
        <v>79</v>
      </c>
      <c r="C309" s="28" t="s">
        <v>80</v>
      </c>
      <c r="D309" s="28" t="s">
        <v>932</v>
      </c>
      <c r="F309" s="28" t="s">
        <v>901</v>
      </c>
      <c r="G309" s="44" t="s">
        <v>793</v>
      </c>
      <c r="H309" s="45">
        <v>45026</v>
      </c>
      <c r="I309" s="46" t="s">
        <v>1006</v>
      </c>
      <c r="J309" s="28">
        <v>2</v>
      </c>
      <c r="K309" s="28" t="s">
        <v>413</v>
      </c>
      <c r="L309" s="28" t="s">
        <v>880</v>
      </c>
      <c r="M309" s="28" t="s">
        <v>9</v>
      </c>
      <c r="N309" s="28" t="str">
        <f t="shared" si="179"/>
        <v>AE1</v>
      </c>
      <c r="O309" s="81"/>
      <c r="P309" s="81">
        <f t="shared" si="180"/>
        <v>0</v>
      </c>
      <c r="Q309" s="81">
        <f t="shared" si="181"/>
        <v>0</v>
      </c>
      <c r="R309" s="81">
        <f t="shared" si="182"/>
        <v>0</v>
      </c>
      <c r="S309" s="81"/>
      <c r="T309" s="82">
        <f t="shared" si="183"/>
        <v>0</v>
      </c>
      <c r="U309" s="82">
        <f t="shared" si="184"/>
        <v>0</v>
      </c>
      <c r="V309" s="82">
        <f t="shared" si="185"/>
        <v>0</v>
      </c>
      <c r="W309" s="83">
        <v>0</v>
      </c>
      <c r="X309" s="83">
        <v>0</v>
      </c>
      <c r="Y309" s="83">
        <v>0</v>
      </c>
      <c r="Z309" s="84">
        <f>ROUND((IF(($O309&lt;=700000),0,IF(((VLOOKUP($M309,'Loyalty - Effec - 15July'!$B$5:$C$17,2,0)*$O309)&lt;=120000),(VLOOKUP($M309,'Loyalty - Effec - 15July'!$B$5:$C$17,2,0)*$O309),120000))),0)</f>
        <v>0</v>
      </c>
      <c r="AA309" s="84">
        <f>ROUND(VLOOKUP($M309,'Loyalty - Effec - 15July'!$B$5:$D$17,3,0)*$O309,0)</f>
        <v>0</v>
      </c>
      <c r="AB309" s="85">
        <f t="shared" si="186"/>
        <v>0</v>
      </c>
      <c r="AC309" s="86">
        <f t="shared" si="187"/>
        <v>0</v>
      </c>
      <c r="AD309" s="87">
        <f t="shared" si="188"/>
        <v>0</v>
      </c>
      <c r="AE309" s="88">
        <f t="shared" si="189"/>
        <v>0</v>
      </c>
      <c r="AF309" s="88">
        <f t="shared" si="190"/>
        <v>0</v>
      </c>
      <c r="AG309" s="49" t="s">
        <v>655</v>
      </c>
      <c r="AH309" s="49" t="s">
        <v>126</v>
      </c>
      <c r="AI309" s="50"/>
      <c r="AJ309" s="46"/>
      <c r="AK309" s="46"/>
      <c r="AL309" s="46"/>
      <c r="AM309" s="51">
        <f>IF($AL309=4,VLOOKUP($AR309,'Loyalty Incentive v1'!$L$3:$Q$15,2,FALSE),
IF($AL309=3,VLOOKUP($AR309,'Loyalty Incentive v1'!$L$3:$Q$15,3,FALSE),
IF($AL309=2,VLOOKUP($AR309,'Loyalty Incentive v1'!$L$3:$Q$15,4,FALSE),
IF($AL309=1,VLOOKUP($AR309,'Loyalty Incentive v1'!$L$3:$Q$15,5,FALSE),
IF($AL309=0,VLOOKUP($AR309,'Loyalty Incentive v1'!$L$3:$Q$15,6,FALSE),0)))))</f>
        <v>0</v>
      </c>
      <c r="AN309" s="51">
        <f>IFERROR(IF(I309&gt;="1",AM309,VLOOKUP(VALUE(I309),'Loyalty - Effec - 15July'!$I$5:$J$16,2,0)*AM309),0)</f>
        <v>0</v>
      </c>
      <c r="AO309" s="51">
        <v>0</v>
      </c>
      <c r="AP309" s="51">
        <f t="shared" si="191"/>
        <v>0</v>
      </c>
      <c r="AQ309" s="46" t="str">
        <f t="shared" si="203"/>
        <v>No</v>
      </c>
      <c r="AR309" s="46" t="str">
        <f t="shared" si="204"/>
        <v>AE1</v>
      </c>
      <c r="AS309" s="46" t="b">
        <f t="shared" si="205"/>
        <v>1</v>
      </c>
      <c r="AT309" s="82">
        <f t="shared" si="177"/>
        <v>0</v>
      </c>
      <c r="AU309" s="81">
        <f t="shared" si="192"/>
        <v>0</v>
      </c>
      <c r="AV309" s="81">
        <f t="shared" si="193"/>
        <v>0</v>
      </c>
      <c r="AW309" s="81">
        <f t="shared" si="194"/>
        <v>0</v>
      </c>
      <c r="AX309" s="85"/>
      <c r="AY309" s="81">
        <f t="shared" si="195"/>
        <v>0</v>
      </c>
      <c r="AZ309" s="83">
        <f t="shared" si="196"/>
        <v>0</v>
      </c>
      <c r="BA309" s="81">
        <f t="shared" si="197"/>
        <v>0</v>
      </c>
      <c r="BB309" s="83">
        <v>0</v>
      </c>
      <c r="BC309" s="83">
        <v>0</v>
      </c>
      <c r="BD309" s="83">
        <v>0</v>
      </c>
      <c r="BE309" s="84">
        <f>ROUND((IF(($AT309&lt;=700000),0,IF(((VLOOKUP($AR309,'Loyalty - Effec - 15July'!$B$5:$C$17,2,0)*$AT309)&lt;=120000),(VLOOKUP($AR309,'Loyalty - Effec - 15July'!$B$5:$C$17,2,0)*$AT309),120000))),0)</f>
        <v>0</v>
      </c>
      <c r="BF309" s="83">
        <f>ROUND(VLOOKUP($AR309,'Loyalty - Effec - 15July'!$B$5:$D$17,3,0)*$AT309,0)</f>
        <v>0</v>
      </c>
      <c r="BG309" s="85">
        <f t="shared" si="198"/>
        <v>0</v>
      </c>
      <c r="BH309" s="83">
        <f t="shared" si="199"/>
        <v>0</v>
      </c>
      <c r="BI309" s="85">
        <f t="shared" si="202"/>
        <v>0</v>
      </c>
      <c r="BJ309" s="85">
        <f t="shared" si="200"/>
        <v>0</v>
      </c>
      <c r="BK309" s="85">
        <f t="shared" si="201"/>
        <v>0</v>
      </c>
      <c r="BL309" s="85">
        <f t="shared" si="206"/>
        <v>0</v>
      </c>
      <c r="BM309" s="85">
        <f t="shared" si="207"/>
        <v>0</v>
      </c>
      <c r="BN309" s="85">
        <f t="shared" si="208"/>
        <v>0</v>
      </c>
      <c r="BO309" s="46" t="s">
        <v>85</v>
      </c>
      <c r="BP309" s="46"/>
      <c r="BQ309" s="46"/>
      <c r="BU309" s="47">
        <f t="shared" si="176"/>
        <v>0</v>
      </c>
      <c r="BV309" s="53" t="s">
        <v>573</v>
      </c>
      <c r="BW309" s="53" t="s">
        <v>932</v>
      </c>
      <c r="BX309" s="53" t="s">
        <v>793</v>
      </c>
      <c r="BY309" s="53"/>
      <c r="BZ309" s="53"/>
    </row>
    <row r="310" spans="1:79">
      <c r="A310" s="42" t="s">
        <v>574</v>
      </c>
      <c r="B310" s="28" t="s">
        <v>79</v>
      </c>
      <c r="C310" s="28" t="s">
        <v>80</v>
      </c>
      <c r="D310" s="28" t="s">
        <v>932</v>
      </c>
      <c r="F310" s="28" t="s">
        <v>901</v>
      </c>
      <c r="G310" s="44" t="s">
        <v>794</v>
      </c>
      <c r="H310" s="45">
        <v>45026</v>
      </c>
      <c r="I310" s="46" t="s">
        <v>1006</v>
      </c>
      <c r="J310" s="28">
        <v>2</v>
      </c>
      <c r="K310" s="28" t="s">
        <v>413</v>
      </c>
      <c r="L310" s="28" t="s">
        <v>880</v>
      </c>
      <c r="M310" s="28" t="s">
        <v>9</v>
      </c>
      <c r="N310" s="28" t="str">
        <f t="shared" si="179"/>
        <v>AE1</v>
      </c>
      <c r="O310" s="81"/>
      <c r="P310" s="81">
        <f t="shared" si="180"/>
        <v>0</v>
      </c>
      <c r="Q310" s="81">
        <f t="shared" si="181"/>
        <v>0</v>
      </c>
      <c r="R310" s="81">
        <f t="shared" si="182"/>
        <v>0</v>
      </c>
      <c r="S310" s="81"/>
      <c r="T310" s="82">
        <f t="shared" si="183"/>
        <v>0</v>
      </c>
      <c r="U310" s="82">
        <f t="shared" si="184"/>
        <v>0</v>
      </c>
      <c r="V310" s="82">
        <f t="shared" si="185"/>
        <v>0</v>
      </c>
      <c r="W310" s="83">
        <v>0</v>
      </c>
      <c r="X310" s="83">
        <v>0</v>
      </c>
      <c r="Y310" s="83">
        <v>0</v>
      </c>
      <c r="Z310" s="84">
        <f>ROUND((IF(($O310&lt;=700000),0,IF(((VLOOKUP($M310,'Loyalty - Effec - 15July'!$B$5:$C$17,2,0)*$O310)&lt;=120000),(VLOOKUP($M310,'Loyalty - Effec - 15July'!$B$5:$C$17,2,0)*$O310),120000))),0)</f>
        <v>0</v>
      </c>
      <c r="AA310" s="84">
        <f>ROUND(VLOOKUP($M310,'Loyalty - Effec - 15July'!$B$5:$D$17,3,0)*$O310,0)</f>
        <v>0</v>
      </c>
      <c r="AB310" s="85">
        <f t="shared" si="186"/>
        <v>0</v>
      </c>
      <c r="AC310" s="86">
        <f t="shared" si="187"/>
        <v>0</v>
      </c>
      <c r="AD310" s="87">
        <f t="shared" si="188"/>
        <v>0</v>
      </c>
      <c r="AE310" s="88">
        <f t="shared" si="189"/>
        <v>0</v>
      </c>
      <c r="AF310" s="88">
        <f t="shared" si="190"/>
        <v>0</v>
      </c>
      <c r="AG310" s="49" t="s">
        <v>251</v>
      </c>
      <c r="AH310" s="49" t="s">
        <v>126</v>
      </c>
      <c r="AI310" s="50"/>
      <c r="AJ310" s="46"/>
      <c r="AK310" s="46"/>
      <c r="AL310" s="46"/>
      <c r="AM310" s="51">
        <f>IF($AL310=4,VLOOKUP($AR310,'Loyalty Incentive v1'!$L$3:$Q$15,2,FALSE),
IF($AL310=3,VLOOKUP($AR310,'Loyalty Incentive v1'!$L$3:$Q$15,3,FALSE),
IF($AL310=2,VLOOKUP($AR310,'Loyalty Incentive v1'!$L$3:$Q$15,4,FALSE),
IF($AL310=1,VLOOKUP($AR310,'Loyalty Incentive v1'!$L$3:$Q$15,5,FALSE),
IF($AL310=0,VLOOKUP($AR310,'Loyalty Incentive v1'!$L$3:$Q$15,6,FALSE),0)))))</f>
        <v>0</v>
      </c>
      <c r="AN310" s="51">
        <f>IFERROR(IF(I310&gt;="1",AM310,VLOOKUP(VALUE(I310),'Loyalty - Effec - 15July'!$I$5:$J$16,2,0)*AM310),0)</f>
        <v>0</v>
      </c>
      <c r="AO310" s="51">
        <v>0</v>
      </c>
      <c r="AP310" s="51">
        <f t="shared" si="191"/>
        <v>0</v>
      </c>
      <c r="AQ310" s="46" t="str">
        <f t="shared" si="203"/>
        <v>No</v>
      </c>
      <c r="AR310" s="46" t="str">
        <f t="shared" si="204"/>
        <v>AE1</v>
      </c>
      <c r="AS310" s="46" t="b">
        <f t="shared" si="205"/>
        <v>1</v>
      </c>
      <c r="AT310" s="82">
        <f t="shared" ref="AT310:AT340" si="209">O310+(O310*AP310)</f>
        <v>0</v>
      </c>
      <c r="AU310" s="81">
        <f t="shared" si="192"/>
        <v>0</v>
      </c>
      <c r="AV310" s="81">
        <f t="shared" si="193"/>
        <v>0</v>
      </c>
      <c r="AW310" s="81">
        <f t="shared" si="194"/>
        <v>0</v>
      </c>
      <c r="AX310" s="85"/>
      <c r="AY310" s="81">
        <f t="shared" si="195"/>
        <v>0</v>
      </c>
      <c r="AZ310" s="83">
        <f t="shared" si="196"/>
        <v>0</v>
      </c>
      <c r="BA310" s="81">
        <f t="shared" si="197"/>
        <v>0</v>
      </c>
      <c r="BB310" s="83">
        <v>0</v>
      </c>
      <c r="BC310" s="83">
        <v>0</v>
      </c>
      <c r="BD310" s="83">
        <v>0</v>
      </c>
      <c r="BE310" s="84">
        <f>ROUND((IF(($AT310&lt;=700000),0,IF(((VLOOKUP($AR310,'Loyalty - Effec - 15July'!$B$5:$C$17,2,0)*$AT310)&lt;=120000),(VLOOKUP($AR310,'Loyalty - Effec - 15July'!$B$5:$C$17,2,0)*$AT310),120000))),0)</f>
        <v>0</v>
      </c>
      <c r="BF310" s="83">
        <f>ROUND(VLOOKUP($AR310,'Loyalty - Effec - 15July'!$B$5:$D$17,3,0)*$AT310,0)</f>
        <v>0</v>
      </c>
      <c r="BG310" s="85">
        <f t="shared" si="198"/>
        <v>0</v>
      </c>
      <c r="BH310" s="83">
        <f t="shared" si="199"/>
        <v>0</v>
      </c>
      <c r="BI310" s="85">
        <f t="shared" si="202"/>
        <v>0</v>
      </c>
      <c r="BJ310" s="85">
        <f t="shared" si="200"/>
        <v>0</v>
      </c>
      <c r="BK310" s="85">
        <f t="shared" si="201"/>
        <v>0</v>
      </c>
      <c r="BL310" s="85">
        <f t="shared" si="206"/>
        <v>0</v>
      </c>
      <c r="BM310" s="85">
        <f t="shared" si="207"/>
        <v>0</v>
      </c>
      <c r="BN310" s="85">
        <f t="shared" si="208"/>
        <v>0</v>
      </c>
      <c r="BO310" s="46" t="s">
        <v>85</v>
      </c>
      <c r="BP310" s="46"/>
      <c r="BQ310" s="46"/>
      <c r="BU310" s="47">
        <f t="shared" si="176"/>
        <v>0</v>
      </c>
      <c r="BV310" s="53" t="s">
        <v>574</v>
      </c>
      <c r="BW310" s="53" t="s">
        <v>932</v>
      </c>
      <c r="BX310" s="53" t="s">
        <v>794</v>
      </c>
      <c r="BY310" s="53"/>
      <c r="BZ310" s="53"/>
    </row>
    <row r="311" spans="1:79">
      <c r="A311" s="42" t="s">
        <v>575</v>
      </c>
      <c r="B311" s="28" t="s">
        <v>79</v>
      </c>
      <c r="C311" s="28" t="s">
        <v>80</v>
      </c>
      <c r="D311" s="28" t="s">
        <v>932</v>
      </c>
      <c r="F311" s="28" t="s">
        <v>901</v>
      </c>
      <c r="G311" s="44" t="s">
        <v>795</v>
      </c>
      <c r="H311" s="45">
        <v>45026</v>
      </c>
      <c r="I311" s="46" t="s">
        <v>1006</v>
      </c>
      <c r="J311" s="28">
        <v>2</v>
      </c>
      <c r="K311" s="28" t="s">
        <v>407</v>
      </c>
      <c r="L311" s="28" t="s">
        <v>868</v>
      </c>
      <c r="M311" s="28" t="s">
        <v>9</v>
      </c>
      <c r="N311" s="28" t="str">
        <f t="shared" si="179"/>
        <v>AE1</v>
      </c>
      <c r="O311" s="81"/>
      <c r="P311" s="81">
        <f t="shared" si="180"/>
        <v>0</v>
      </c>
      <c r="Q311" s="81">
        <f t="shared" si="181"/>
        <v>0</v>
      </c>
      <c r="R311" s="81">
        <f t="shared" si="182"/>
        <v>0</v>
      </c>
      <c r="S311" s="81"/>
      <c r="T311" s="82">
        <f t="shared" si="183"/>
        <v>0</v>
      </c>
      <c r="U311" s="82">
        <f t="shared" si="184"/>
        <v>0</v>
      </c>
      <c r="V311" s="82">
        <f t="shared" si="185"/>
        <v>0</v>
      </c>
      <c r="W311" s="83">
        <v>0</v>
      </c>
      <c r="X311" s="83">
        <v>0</v>
      </c>
      <c r="Y311" s="83">
        <v>0</v>
      </c>
      <c r="Z311" s="84">
        <f>ROUND((IF(($O311&lt;=700000),0,IF(((VLOOKUP($M311,'Loyalty - Effec - 15July'!$B$5:$C$17,2,0)*$O311)&lt;=120000),(VLOOKUP($M311,'Loyalty - Effec - 15July'!$B$5:$C$17,2,0)*$O311),120000))),0)</f>
        <v>0</v>
      </c>
      <c r="AA311" s="84">
        <f>ROUND(VLOOKUP($M311,'Loyalty - Effec - 15July'!$B$5:$D$17,3,0)*$O311,0)</f>
        <v>0</v>
      </c>
      <c r="AB311" s="85">
        <f t="shared" si="186"/>
        <v>0</v>
      </c>
      <c r="AC311" s="86">
        <f t="shared" si="187"/>
        <v>0</v>
      </c>
      <c r="AD311" s="87">
        <f t="shared" si="188"/>
        <v>0</v>
      </c>
      <c r="AE311" s="88">
        <f t="shared" si="189"/>
        <v>0</v>
      </c>
      <c r="AF311" s="88">
        <f t="shared" si="190"/>
        <v>0</v>
      </c>
      <c r="AG311" s="49" t="s">
        <v>249</v>
      </c>
      <c r="AH311" s="49" t="s">
        <v>912</v>
      </c>
      <c r="AI311" s="50"/>
      <c r="AJ311" s="46"/>
      <c r="AK311" s="46"/>
      <c r="AL311" s="46"/>
      <c r="AM311" s="51">
        <f>IF($AL311=4,VLOOKUP($AR311,'Loyalty Incentive v1'!$L$3:$Q$15,2,FALSE),
IF($AL311=3,VLOOKUP($AR311,'Loyalty Incentive v1'!$L$3:$Q$15,3,FALSE),
IF($AL311=2,VLOOKUP($AR311,'Loyalty Incentive v1'!$L$3:$Q$15,4,FALSE),
IF($AL311=1,VLOOKUP($AR311,'Loyalty Incentive v1'!$L$3:$Q$15,5,FALSE),
IF($AL311=0,VLOOKUP($AR311,'Loyalty Incentive v1'!$L$3:$Q$15,6,FALSE),0)))))</f>
        <v>0</v>
      </c>
      <c r="AN311" s="51">
        <f>IFERROR(IF(I311&gt;="1",AM311,VLOOKUP(VALUE(I311),'Loyalty - Effec - 15July'!$I$5:$J$16,2,0)*AM311),0)</f>
        <v>0</v>
      </c>
      <c r="AO311" s="51">
        <v>0</v>
      </c>
      <c r="AP311" s="51">
        <f t="shared" si="191"/>
        <v>0</v>
      </c>
      <c r="AQ311" s="46" t="str">
        <f t="shared" si="203"/>
        <v>No</v>
      </c>
      <c r="AR311" s="46" t="str">
        <f t="shared" si="204"/>
        <v>AE1</v>
      </c>
      <c r="AS311" s="46" t="b">
        <f t="shared" si="205"/>
        <v>1</v>
      </c>
      <c r="AT311" s="82">
        <f t="shared" si="209"/>
        <v>0</v>
      </c>
      <c r="AU311" s="81">
        <f t="shared" si="192"/>
        <v>0</v>
      </c>
      <c r="AV311" s="81">
        <f t="shared" si="193"/>
        <v>0</v>
      </c>
      <c r="AW311" s="81">
        <f t="shared" si="194"/>
        <v>0</v>
      </c>
      <c r="AX311" s="85"/>
      <c r="AY311" s="81">
        <f t="shared" si="195"/>
        <v>0</v>
      </c>
      <c r="AZ311" s="83">
        <f t="shared" si="196"/>
        <v>0</v>
      </c>
      <c r="BA311" s="81">
        <f t="shared" si="197"/>
        <v>0</v>
      </c>
      <c r="BB311" s="83">
        <v>0</v>
      </c>
      <c r="BC311" s="83">
        <v>0</v>
      </c>
      <c r="BD311" s="83">
        <v>0</v>
      </c>
      <c r="BE311" s="84">
        <f>ROUND((IF(($AT311&lt;=700000),0,IF(((VLOOKUP($AR311,'Loyalty - Effec - 15July'!$B$5:$C$17,2,0)*$AT311)&lt;=120000),(VLOOKUP($AR311,'Loyalty - Effec - 15July'!$B$5:$C$17,2,0)*$AT311),120000))),0)</f>
        <v>0</v>
      </c>
      <c r="BF311" s="83">
        <f>ROUND(VLOOKUP($AR311,'Loyalty - Effec - 15July'!$B$5:$D$17,3,0)*$AT311,0)</f>
        <v>0</v>
      </c>
      <c r="BG311" s="85">
        <f t="shared" si="198"/>
        <v>0</v>
      </c>
      <c r="BH311" s="83">
        <f t="shared" si="199"/>
        <v>0</v>
      </c>
      <c r="BI311" s="85">
        <f t="shared" si="202"/>
        <v>0</v>
      </c>
      <c r="BJ311" s="85">
        <f t="shared" si="200"/>
        <v>0</v>
      </c>
      <c r="BK311" s="85">
        <f t="shared" si="201"/>
        <v>0</v>
      </c>
      <c r="BL311" s="85">
        <f t="shared" si="206"/>
        <v>0</v>
      </c>
      <c r="BM311" s="85">
        <f t="shared" si="207"/>
        <v>0</v>
      </c>
      <c r="BN311" s="85">
        <f t="shared" si="208"/>
        <v>0</v>
      </c>
      <c r="BO311" s="46" t="s">
        <v>85</v>
      </c>
      <c r="BP311" s="46"/>
      <c r="BQ311" s="46"/>
      <c r="BU311" s="47">
        <f t="shared" si="176"/>
        <v>0</v>
      </c>
      <c r="BV311" s="53" t="s">
        <v>575</v>
      </c>
      <c r="BW311" s="53" t="s">
        <v>932</v>
      </c>
      <c r="BX311" s="53" t="s">
        <v>795</v>
      </c>
      <c r="BY311" s="53"/>
      <c r="BZ311" s="53"/>
    </row>
    <row r="312" spans="1:79">
      <c r="A312" s="42" t="s">
        <v>576</v>
      </c>
      <c r="B312" s="28" t="s">
        <v>79</v>
      </c>
      <c r="C312" s="28" t="s">
        <v>80</v>
      </c>
      <c r="D312" s="28" t="s">
        <v>932</v>
      </c>
      <c r="F312" s="28" t="s">
        <v>901</v>
      </c>
      <c r="G312" s="44" t="s">
        <v>796</v>
      </c>
      <c r="H312" s="45">
        <v>45027</v>
      </c>
      <c r="I312" s="46" t="s">
        <v>1006</v>
      </c>
      <c r="J312" s="28">
        <v>2</v>
      </c>
      <c r="K312" s="28" t="s">
        <v>413</v>
      </c>
      <c r="L312" s="28" t="s">
        <v>880</v>
      </c>
      <c r="M312" s="28" t="s">
        <v>9</v>
      </c>
      <c r="N312" s="28" t="str">
        <f t="shared" si="179"/>
        <v>AE1</v>
      </c>
      <c r="O312" s="81"/>
      <c r="P312" s="81">
        <f t="shared" si="180"/>
        <v>0</v>
      </c>
      <c r="Q312" s="81">
        <f t="shared" si="181"/>
        <v>0</v>
      </c>
      <c r="R312" s="81">
        <f t="shared" si="182"/>
        <v>0</v>
      </c>
      <c r="S312" s="81"/>
      <c r="T312" s="82">
        <f t="shared" si="183"/>
        <v>0</v>
      </c>
      <c r="U312" s="82">
        <f t="shared" si="184"/>
        <v>0</v>
      </c>
      <c r="V312" s="82">
        <f t="shared" si="185"/>
        <v>0</v>
      </c>
      <c r="W312" s="83">
        <v>0</v>
      </c>
      <c r="X312" s="83">
        <v>0</v>
      </c>
      <c r="Y312" s="83">
        <v>0</v>
      </c>
      <c r="Z312" s="84">
        <f>ROUND((IF(($O312&lt;=700000),0,IF(((VLOOKUP($M312,'Loyalty - Effec - 15July'!$B$5:$C$17,2,0)*$O312)&lt;=120000),(VLOOKUP($M312,'Loyalty - Effec - 15July'!$B$5:$C$17,2,0)*$O312),120000))),0)</f>
        <v>0</v>
      </c>
      <c r="AA312" s="84">
        <f>ROUND(VLOOKUP($M312,'Loyalty - Effec - 15July'!$B$5:$D$17,3,0)*$O312,0)</f>
        <v>0</v>
      </c>
      <c r="AB312" s="85">
        <f t="shared" si="186"/>
        <v>0</v>
      </c>
      <c r="AC312" s="86">
        <f t="shared" si="187"/>
        <v>0</v>
      </c>
      <c r="AD312" s="87">
        <f t="shared" si="188"/>
        <v>0</v>
      </c>
      <c r="AE312" s="88">
        <f t="shared" si="189"/>
        <v>0</v>
      </c>
      <c r="AF312" s="88">
        <f t="shared" si="190"/>
        <v>0</v>
      </c>
      <c r="AG312" s="49" t="s">
        <v>655</v>
      </c>
      <c r="AH312" s="49" t="s">
        <v>126</v>
      </c>
      <c r="AI312" s="50"/>
      <c r="AJ312" s="46"/>
      <c r="AK312" s="46"/>
      <c r="AL312" s="46"/>
      <c r="AM312" s="51">
        <f>IF($AL312=4,VLOOKUP($AR312,'Loyalty Incentive v1'!$L$3:$Q$15,2,FALSE),
IF($AL312=3,VLOOKUP($AR312,'Loyalty Incentive v1'!$L$3:$Q$15,3,FALSE),
IF($AL312=2,VLOOKUP($AR312,'Loyalty Incentive v1'!$L$3:$Q$15,4,FALSE),
IF($AL312=1,VLOOKUP($AR312,'Loyalty Incentive v1'!$L$3:$Q$15,5,FALSE),
IF($AL312=0,VLOOKUP($AR312,'Loyalty Incentive v1'!$L$3:$Q$15,6,FALSE),0)))))</f>
        <v>0</v>
      </c>
      <c r="AN312" s="51">
        <f>IFERROR(IF(I312&gt;="1",AM312,VLOOKUP(VALUE(I312),'Loyalty - Effec - 15July'!$I$5:$J$16,2,0)*AM312),0)</f>
        <v>0</v>
      </c>
      <c r="AO312" s="51">
        <v>0</v>
      </c>
      <c r="AP312" s="51">
        <f t="shared" si="191"/>
        <v>0</v>
      </c>
      <c r="AQ312" s="46" t="str">
        <f t="shared" si="203"/>
        <v>No</v>
      </c>
      <c r="AR312" s="46" t="str">
        <f t="shared" si="204"/>
        <v>AE1</v>
      </c>
      <c r="AS312" s="46" t="b">
        <f t="shared" si="205"/>
        <v>1</v>
      </c>
      <c r="AT312" s="82">
        <f t="shared" si="209"/>
        <v>0</v>
      </c>
      <c r="AU312" s="81">
        <f t="shared" si="192"/>
        <v>0</v>
      </c>
      <c r="AV312" s="81">
        <f t="shared" si="193"/>
        <v>0</v>
      </c>
      <c r="AW312" s="81">
        <f t="shared" si="194"/>
        <v>0</v>
      </c>
      <c r="AX312" s="85"/>
      <c r="AY312" s="81">
        <f t="shared" si="195"/>
        <v>0</v>
      </c>
      <c r="AZ312" s="83">
        <f t="shared" si="196"/>
        <v>0</v>
      </c>
      <c r="BA312" s="81">
        <f t="shared" si="197"/>
        <v>0</v>
      </c>
      <c r="BB312" s="83">
        <v>0</v>
      </c>
      <c r="BC312" s="83">
        <v>0</v>
      </c>
      <c r="BD312" s="83">
        <v>0</v>
      </c>
      <c r="BE312" s="84">
        <f>ROUND((IF(($AT312&lt;=700000),0,IF(((VLOOKUP($AR312,'Loyalty - Effec - 15July'!$B$5:$C$17,2,0)*$AT312)&lt;=120000),(VLOOKUP($AR312,'Loyalty - Effec - 15July'!$B$5:$C$17,2,0)*$AT312),120000))),0)</f>
        <v>0</v>
      </c>
      <c r="BF312" s="83">
        <f>ROUND(VLOOKUP($AR312,'Loyalty - Effec - 15July'!$B$5:$D$17,3,0)*$AT312,0)</f>
        <v>0</v>
      </c>
      <c r="BG312" s="85">
        <f t="shared" si="198"/>
        <v>0</v>
      </c>
      <c r="BH312" s="83">
        <f t="shared" si="199"/>
        <v>0</v>
      </c>
      <c r="BI312" s="85">
        <f t="shared" si="202"/>
        <v>0</v>
      </c>
      <c r="BJ312" s="85">
        <f t="shared" si="200"/>
        <v>0</v>
      </c>
      <c r="BK312" s="85">
        <f t="shared" si="201"/>
        <v>0</v>
      </c>
      <c r="BL312" s="85">
        <f t="shared" si="206"/>
        <v>0</v>
      </c>
      <c r="BM312" s="85">
        <f t="shared" si="207"/>
        <v>0</v>
      </c>
      <c r="BN312" s="85">
        <f t="shared" si="208"/>
        <v>0</v>
      </c>
      <c r="BO312" s="46" t="s">
        <v>85</v>
      </c>
      <c r="BP312" s="46"/>
      <c r="BQ312" s="46"/>
      <c r="BU312" s="47">
        <f t="shared" si="176"/>
        <v>0</v>
      </c>
      <c r="BV312" s="53" t="s">
        <v>576</v>
      </c>
      <c r="BW312" s="53" t="s">
        <v>932</v>
      </c>
      <c r="BX312" s="53" t="s">
        <v>796</v>
      </c>
      <c r="BY312" s="53"/>
      <c r="BZ312" s="53"/>
    </row>
    <row r="313" spans="1:79">
      <c r="A313" s="42" t="s">
        <v>577</v>
      </c>
      <c r="B313" s="28" t="s">
        <v>79</v>
      </c>
      <c r="C313" s="28" t="s">
        <v>80</v>
      </c>
      <c r="D313" s="28" t="s">
        <v>932</v>
      </c>
      <c r="F313" s="28" t="s">
        <v>902</v>
      </c>
      <c r="G313" s="44" t="s">
        <v>797</v>
      </c>
      <c r="H313" s="45">
        <v>45028</v>
      </c>
      <c r="I313" s="46" t="s">
        <v>1006</v>
      </c>
      <c r="J313" s="28">
        <v>2</v>
      </c>
      <c r="K313" s="28" t="s">
        <v>93</v>
      </c>
      <c r="L313" s="28" t="s">
        <v>873</v>
      </c>
      <c r="M313" s="28" t="s">
        <v>0</v>
      </c>
      <c r="N313" s="28" t="str">
        <f t="shared" si="179"/>
        <v>AE2</v>
      </c>
      <c r="O313" s="81"/>
      <c r="P313" s="81">
        <f t="shared" si="180"/>
        <v>0</v>
      </c>
      <c r="Q313" s="81">
        <f t="shared" si="181"/>
        <v>0</v>
      </c>
      <c r="R313" s="81">
        <f t="shared" si="182"/>
        <v>0</v>
      </c>
      <c r="S313" s="81"/>
      <c r="T313" s="82">
        <f t="shared" si="183"/>
        <v>0</v>
      </c>
      <c r="U313" s="82">
        <f t="shared" si="184"/>
        <v>0</v>
      </c>
      <c r="V313" s="82">
        <f t="shared" si="185"/>
        <v>0</v>
      </c>
      <c r="W313" s="83">
        <v>0</v>
      </c>
      <c r="X313" s="83">
        <v>0</v>
      </c>
      <c r="Y313" s="83">
        <v>0</v>
      </c>
      <c r="Z313" s="84">
        <f>ROUND((IF(($O313&lt;=700000),0,IF(((VLOOKUP($M313,'Loyalty - Effec - 15July'!$B$5:$C$17,2,0)*$O313)&lt;=120000),(VLOOKUP($M313,'Loyalty - Effec - 15July'!$B$5:$C$17,2,0)*$O313),120000))),0)</f>
        <v>0</v>
      </c>
      <c r="AA313" s="84">
        <f>ROUND(VLOOKUP($M313,'Loyalty - Effec - 15July'!$B$5:$D$17,3,0)*$O313,0)</f>
        <v>0</v>
      </c>
      <c r="AB313" s="85">
        <f t="shared" si="186"/>
        <v>0</v>
      </c>
      <c r="AC313" s="86">
        <f t="shared" si="187"/>
        <v>0</v>
      </c>
      <c r="AD313" s="87">
        <f t="shared" si="188"/>
        <v>0</v>
      </c>
      <c r="AE313" s="88">
        <f t="shared" si="189"/>
        <v>0</v>
      </c>
      <c r="AF313" s="88">
        <f t="shared" si="190"/>
        <v>0</v>
      </c>
      <c r="AG313" s="49" t="s">
        <v>90</v>
      </c>
      <c r="AH313" s="49" t="s">
        <v>200</v>
      </c>
      <c r="AI313" s="50"/>
      <c r="AJ313" s="46"/>
      <c r="AK313" s="46"/>
      <c r="AL313" s="46"/>
      <c r="AM313" s="51">
        <f>IF($AL313=4,VLOOKUP($AR313,'Loyalty Incentive v1'!$L$3:$Q$15,2,FALSE),
IF($AL313=3,VLOOKUP($AR313,'Loyalty Incentive v1'!$L$3:$Q$15,3,FALSE),
IF($AL313=2,VLOOKUP($AR313,'Loyalty Incentive v1'!$L$3:$Q$15,4,FALSE),
IF($AL313=1,VLOOKUP($AR313,'Loyalty Incentive v1'!$L$3:$Q$15,5,FALSE),
IF($AL313=0,VLOOKUP($AR313,'Loyalty Incentive v1'!$L$3:$Q$15,6,FALSE),0)))))</f>
        <v>0</v>
      </c>
      <c r="AN313" s="51">
        <f>IFERROR(IF(I313&gt;="1",AM313,VLOOKUP(VALUE(I313),'Loyalty - Effec - 15July'!$I$5:$J$16,2,0)*AM313),0)</f>
        <v>0</v>
      </c>
      <c r="AO313" s="51">
        <v>0</v>
      </c>
      <c r="AP313" s="51">
        <f t="shared" si="191"/>
        <v>0</v>
      </c>
      <c r="AQ313" s="46" t="str">
        <f t="shared" si="203"/>
        <v>No</v>
      </c>
      <c r="AR313" s="46" t="str">
        <f t="shared" si="204"/>
        <v>AE2</v>
      </c>
      <c r="AS313" s="46" t="b">
        <f t="shared" si="205"/>
        <v>1</v>
      </c>
      <c r="AT313" s="82">
        <f t="shared" si="209"/>
        <v>0</v>
      </c>
      <c r="AU313" s="81">
        <f t="shared" si="192"/>
        <v>0</v>
      </c>
      <c r="AV313" s="81">
        <f t="shared" si="193"/>
        <v>0</v>
      </c>
      <c r="AW313" s="81">
        <f t="shared" si="194"/>
        <v>0</v>
      </c>
      <c r="AX313" s="85"/>
      <c r="AY313" s="81">
        <f t="shared" si="195"/>
        <v>0</v>
      </c>
      <c r="AZ313" s="83">
        <f t="shared" si="196"/>
        <v>0</v>
      </c>
      <c r="BA313" s="81">
        <f t="shared" si="197"/>
        <v>0</v>
      </c>
      <c r="BB313" s="83">
        <v>0</v>
      </c>
      <c r="BC313" s="83">
        <v>0</v>
      </c>
      <c r="BD313" s="83">
        <v>0</v>
      </c>
      <c r="BE313" s="84">
        <f>ROUND((IF(($AT313&lt;=700000),0,IF(((VLOOKUP($AR313,'Loyalty - Effec - 15July'!$B$5:$C$17,2,0)*$AT313)&lt;=120000),(VLOOKUP($AR313,'Loyalty - Effec - 15July'!$B$5:$C$17,2,0)*$AT313),120000))),0)</f>
        <v>0</v>
      </c>
      <c r="BF313" s="83">
        <f>ROUND(VLOOKUP($AR313,'Loyalty - Effec - 15July'!$B$5:$D$17,3,0)*$AT313,0)</f>
        <v>0</v>
      </c>
      <c r="BG313" s="85">
        <f t="shared" si="198"/>
        <v>0</v>
      </c>
      <c r="BH313" s="83">
        <f t="shared" si="199"/>
        <v>0</v>
      </c>
      <c r="BI313" s="85">
        <f t="shared" si="202"/>
        <v>0</v>
      </c>
      <c r="BJ313" s="85">
        <f t="shared" si="200"/>
        <v>0</v>
      </c>
      <c r="BK313" s="85">
        <f t="shared" si="201"/>
        <v>0</v>
      </c>
      <c r="BL313" s="85">
        <f t="shared" si="206"/>
        <v>0</v>
      </c>
      <c r="BM313" s="85">
        <f t="shared" si="207"/>
        <v>0</v>
      </c>
      <c r="BN313" s="85">
        <f t="shared" si="208"/>
        <v>0</v>
      </c>
      <c r="BO313" s="46" t="s">
        <v>85</v>
      </c>
      <c r="BP313" s="46"/>
      <c r="BQ313" s="46"/>
      <c r="BU313" s="47">
        <f t="shared" si="176"/>
        <v>0</v>
      </c>
      <c r="BV313" s="53" t="s">
        <v>577</v>
      </c>
      <c r="BW313" s="53" t="s">
        <v>932</v>
      </c>
      <c r="BX313" s="53" t="s">
        <v>797</v>
      </c>
      <c r="BY313" s="53"/>
      <c r="BZ313" s="53"/>
    </row>
    <row r="314" spans="1:79">
      <c r="A314" s="42" t="s">
        <v>578</v>
      </c>
      <c r="B314" s="28" t="s">
        <v>79</v>
      </c>
      <c r="C314" s="28" t="s">
        <v>80</v>
      </c>
      <c r="D314" s="28" t="s">
        <v>932</v>
      </c>
      <c r="F314" s="28" t="s">
        <v>901</v>
      </c>
      <c r="G314" s="44" t="s">
        <v>359</v>
      </c>
      <c r="H314" s="45">
        <v>45028</v>
      </c>
      <c r="I314" s="46" t="s">
        <v>1006</v>
      </c>
      <c r="J314" s="28">
        <v>2</v>
      </c>
      <c r="K314" s="28" t="s">
        <v>93</v>
      </c>
      <c r="L314" s="28" t="s">
        <v>873</v>
      </c>
      <c r="M314" s="28" t="s">
        <v>3</v>
      </c>
      <c r="N314" s="28" t="str">
        <f t="shared" si="179"/>
        <v>AE5</v>
      </c>
      <c r="O314" s="81"/>
      <c r="P314" s="81">
        <f t="shared" si="180"/>
        <v>0</v>
      </c>
      <c r="Q314" s="81">
        <f t="shared" si="181"/>
        <v>0</v>
      </c>
      <c r="R314" s="81">
        <f t="shared" si="182"/>
        <v>0</v>
      </c>
      <c r="S314" s="81"/>
      <c r="T314" s="82">
        <f t="shared" si="183"/>
        <v>0</v>
      </c>
      <c r="U314" s="82">
        <f t="shared" si="184"/>
        <v>0</v>
      </c>
      <c r="V314" s="82">
        <f t="shared" si="185"/>
        <v>0</v>
      </c>
      <c r="W314" s="83">
        <v>0</v>
      </c>
      <c r="X314" s="83">
        <v>0</v>
      </c>
      <c r="Y314" s="83">
        <v>0</v>
      </c>
      <c r="Z314" s="84">
        <f>ROUND((IF(($O314&lt;=700000),0,IF(((VLOOKUP($M314,'Loyalty - Effec - 15July'!$B$5:$C$17,2,0)*$O314)&lt;=120000),(VLOOKUP($M314,'Loyalty - Effec - 15July'!$B$5:$C$17,2,0)*$O314),120000))),0)</f>
        <v>0</v>
      </c>
      <c r="AA314" s="84">
        <f>ROUND(VLOOKUP($M314,'Loyalty - Effec - 15July'!$B$5:$D$17,3,0)*$O314,0)</f>
        <v>0</v>
      </c>
      <c r="AB314" s="85">
        <f t="shared" si="186"/>
        <v>0</v>
      </c>
      <c r="AC314" s="86">
        <f t="shared" si="187"/>
        <v>0</v>
      </c>
      <c r="AD314" s="87">
        <f t="shared" si="188"/>
        <v>0</v>
      </c>
      <c r="AE314" s="88">
        <f t="shared" si="189"/>
        <v>0</v>
      </c>
      <c r="AF314" s="88">
        <f t="shared" si="190"/>
        <v>0</v>
      </c>
      <c r="AG314" s="49" t="s">
        <v>913</v>
      </c>
      <c r="AH314" s="49" t="s">
        <v>909</v>
      </c>
      <c r="AI314" s="50"/>
      <c r="AJ314" s="46"/>
      <c r="AK314" s="46"/>
      <c r="AL314" s="46"/>
      <c r="AM314" s="51">
        <f>IF($AL314=4,VLOOKUP($AR314,'Loyalty Incentive v1'!$L$3:$Q$15,2,FALSE),
IF($AL314=3,VLOOKUP($AR314,'Loyalty Incentive v1'!$L$3:$Q$15,3,FALSE),
IF($AL314=2,VLOOKUP($AR314,'Loyalty Incentive v1'!$L$3:$Q$15,4,FALSE),
IF($AL314=1,VLOOKUP($AR314,'Loyalty Incentive v1'!$L$3:$Q$15,5,FALSE),
IF($AL314=0,VLOOKUP($AR314,'Loyalty Incentive v1'!$L$3:$Q$15,6,FALSE),0)))))</f>
        <v>0</v>
      </c>
      <c r="AN314" s="51">
        <f>IFERROR(IF(I314&gt;="1",AM314,VLOOKUP(VALUE(I314),'Loyalty - Effec - 15July'!$I$5:$J$16,2,0)*AM314),0)</f>
        <v>0</v>
      </c>
      <c r="AO314" s="51">
        <v>0</v>
      </c>
      <c r="AP314" s="51">
        <f t="shared" si="191"/>
        <v>0</v>
      </c>
      <c r="AQ314" s="46" t="str">
        <f t="shared" si="203"/>
        <v>No</v>
      </c>
      <c r="AR314" s="46" t="str">
        <f t="shared" si="204"/>
        <v>AE5</v>
      </c>
      <c r="AS314" s="46" t="b">
        <f t="shared" si="205"/>
        <v>1</v>
      </c>
      <c r="AT314" s="82">
        <f t="shared" si="209"/>
        <v>0</v>
      </c>
      <c r="AU314" s="81">
        <f t="shared" si="192"/>
        <v>0</v>
      </c>
      <c r="AV314" s="81">
        <f t="shared" si="193"/>
        <v>0</v>
      </c>
      <c r="AW314" s="81">
        <f t="shared" si="194"/>
        <v>0</v>
      </c>
      <c r="AX314" s="85"/>
      <c r="AY314" s="81">
        <f t="shared" si="195"/>
        <v>0</v>
      </c>
      <c r="AZ314" s="83">
        <f t="shared" si="196"/>
        <v>0</v>
      </c>
      <c r="BA314" s="81">
        <f t="shared" si="197"/>
        <v>0</v>
      </c>
      <c r="BB314" s="83">
        <v>0</v>
      </c>
      <c r="BC314" s="83">
        <v>0</v>
      </c>
      <c r="BD314" s="83">
        <v>0</v>
      </c>
      <c r="BE314" s="84">
        <f>ROUND((IF(($AT314&lt;=700000),0,IF(((VLOOKUP($AR314,'Loyalty - Effec - 15July'!$B$5:$C$17,2,0)*$AT314)&lt;=120000),(VLOOKUP($AR314,'Loyalty - Effec - 15July'!$B$5:$C$17,2,0)*$AT314),120000))),0)</f>
        <v>0</v>
      </c>
      <c r="BF314" s="83">
        <f>ROUND(VLOOKUP($AR314,'Loyalty - Effec - 15July'!$B$5:$D$17,3,0)*$AT314,0)</f>
        <v>0</v>
      </c>
      <c r="BG314" s="85">
        <f t="shared" si="198"/>
        <v>0</v>
      </c>
      <c r="BH314" s="83">
        <f t="shared" si="199"/>
        <v>0</v>
      </c>
      <c r="BI314" s="85">
        <f t="shared" si="202"/>
        <v>0</v>
      </c>
      <c r="BJ314" s="85">
        <f t="shared" si="200"/>
        <v>0</v>
      </c>
      <c r="BK314" s="85">
        <f t="shared" si="201"/>
        <v>0</v>
      </c>
      <c r="BL314" s="85">
        <f t="shared" si="206"/>
        <v>0</v>
      </c>
      <c r="BM314" s="85">
        <f t="shared" si="207"/>
        <v>0</v>
      </c>
      <c r="BN314" s="85">
        <f t="shared" si="208"/>
        <v>0</v>
      </c>
      <c r="BO314" s="46" t="s">
        <v>85</v>
      </c>
      <c r="BP314" s="46"/>
      <c r="BQ314" s="46"/>
      <c r="BU314" s="47">
        <f t="shared" si="176"/>
        <v>0</v>
      </c>
      <c r="BV314" s="53" t="s">
        <v>578</v>
      </c>
      <c r="BW314" s="53" t="s">
        <v>932</v>
      </c>
      <c r="BX314" s="53" t="s">
        <v>359</v>
      </c>
      <c r="BY314" s="53"/>
      <c r="BZ314" s="53"/>
    </row>
    <row r="315" spans="1:79">
      <c r="A315" s="42" t="s">
        <v>579</v>
      </c>
      <c r="B315" s="28" t="s">
        <v>79</v>
      </c>
      <c r="C315" s="28" t="s">
        <v>80</v>
      </c>
      <c r="D315" s="28" t="s">
        <v>932</v>
      </c>
      <c r="F315" s="28" t="s">
        <v>901</v>
      </c>
      <c r="G315" s="44" t="s">
        <v>798</v>
      </c>
      <c r="H315" s="45">
        <v>45028</v>
      </c>
      <c r="I315" s="46" t="s">
        <v>1006</v>
      </c>
      <c r="J315" s="28">
        <v>2</v>
      </c>
      <c r="K315" s="28" t="s">
        <v>93</v>
      </c>
      <c r="L315" s="28" t="s">
        <v>873</v>
      </c>
      <c r="M315" s="28" t="s">
        <v>0</v>
      </c>
      <c r="N315" s="28" t="str">
        <f t="shared" si="179"/>
        <v>AE2</v>
      </c>
      <c r="O315" s="81"/>
      <c r="P315" s="81">
        <f t="shared" si="180"/>
        <v>0</v>
      </c>
      <c r="Q315" s="81">
        <f t="shared" si="181"/>
        <v>0</v>
      </c>
      <c r="R315" s="81">
        <f t="shared" si="182"/>
        <v>0</v>
      </c>
      <c r="S315" s="81"/>
      <c r="T315" s="82">
        <f t="shared" si="183"/>
        <v>0</v>
      </c>
      <c r="U315" s="82">
        <f t="shared" si="184"/>
        <v>0</v>
      </c>
      <c r="V315" s="82">
        <f t="shared" si="185"/>
        <v>0</v>
      </c>
      <c r="W315" s="83">
        <v>0</v>
      </c>
      <c r="X315" s="83">
        <v>0</v>
      </c>
      <c r="Y315" s="83">
        <v>0</v>
      </c>
      <c r="Z315" s="84">
        <f>ROUND((IF(($O315&lt;=700000),0,IF(((VLOOKUP($M315,'Loyalty - Effec - 15July'!$B$5:$C$17,2,0)*$O315)&lt;=120000),(VLOOKUP($M315,'Loyalty - Effec - 15July'!$B$5:$C$17,2,0)*$O315),120000))),0)</f>
        <v>0</v>
      </c>
      <c r="AA315" s="84">
        <f>ROUND(VLOOKUP($M315,'Loyalty - Effec - 15July'!$B$5:$D$17,3,0)*$O315,0)</f>
        <v>0</v>
      </c>
      <c r="AB315" s="85">
        <f t="shared" si="186"/>
        <v>0</v>
      </c>
      <c r="AC315" s="86">
        <f t="shared" si="187"/>
        <v>0</v>
      </c>
      <c r="AD315" s="87">
        <f t="shared" si="188"/>
        <v>0</v>
      </c>
      <c r="AE315" s="88">
        <f t="shared" si="189"/>
        <v>0</v>
      </c>
      <c r="AF315" s="88">
        <f t="shared" si="190"/>
        <v>0</v>
      </c>
      <c r="AG315" s="49" t="s">
        <v>913</v>
      </c>
      <c r="AH315" s="49" t="s">
        <v>909</v>
      </c>
      <c r="AI315" s="50"/>
      <c r="AJ315" s="46"/>
      <c r="AK315" s="46"/>
      <c r="AL315" s="46"/>
      <c r="AM315" s="51">
        <f>IF($AL315=4,VLOOKUP($AR315,'Loyalty Incentive v1'!$L$3:$Q$15,2,FALSE),
IF($AL315=3,VLOOKUP($AR315,'Loyalty Incentive v1'!$L$3:$Q$15,3,FALSE),
IF($AL315=2,VLOOKUP($AR315,'Loyalty Incentive v1'!$L$3:$Q$15,4,FALSE),
IF($AL315=1,VLOOKUP($AR315,'Loyalty Incentive v1'!$L$3:$Q$15,5,FALSE),
IF($AL315=0,VLOOKUP($AR315,'Loyalty Incentive v1'!$L$3:$Q$15,6,FALSE),0)))))</f>
        <v>0</v>
      </c>
      <c r="AN315" s="51">
        <f>IFERROR(IF(I315&gt;="1",AM315,VLOOKUP(VALUE(I315),'Loyalty - Effec - 15July'!$I$5:$J$16,2,0)*AM315),0)</f>
        <v>0</v>
      </c>
      <c r="AO315" s="51">
        <v>0</v>
      </c>
      <c r="AP315" s="51">
        <f t="shared" si="191"/>
        <v>0</v>
      </c>
      <c r="AQ315" s="46" t="str">
        <f t="shared" si="203"/>
        <v>No</v>
      </c>
      <c r="AR315" s="46" t="str">
        <f t="shared" si="204"/>
        <v>AE2</v>
      </c>
      <c r="AS315" s="46" t="b">
        <f t="shared" si="205"/>
        <v>1</v>
      </c>
      <c r="AT315" s="82">
        <f t="shared" si="209"/>
        <v>0</v>
      </c>
      <c r="AU315" s="81">
        <f t="shared" si="192"/>
        <v>0</v>
      </c>
      <c r="AV315" s="81">
        <f t="shared" si="193"/>
        <v>0</v>
      </c>
      <c r="AW315" s="81">
        <f t="shared" si="194"/>
        <v>0</v>
      </c>
      <c r="AX315" s="85"/>
      <c r="AY315" s="81">
        <f t="shared" si="195"/>
        <v>0</v>
      </c>
      <c r="AZ315" s="83">
        <f t="shared" si="196"/>
        <v>0</v>
      </c>
      <c r="BA315" s="81">
        <f t="shared" si="197"/>
        <v>0</v>
      </c>
      <c r="BB315" s="83">
        <v>0</v>
      </c>
      <c r="BC315" s="83">
        <v>0</v>
      </c>
      <c r="BD315" s="83">
        <v>0</v>
      </c>
      <c r="BE315" s="84">
        <f>ROUND((IF(($AT315&lt;=700000),0,IF(((VLOOKUP($AR315,'Loyalty - Effec - 15July'!$B$5:$C$17,2,0)*$AT315)&lt;=120000),(VLOOKUP($AR315,'Loyalty - Effec - 15July'!$B$5:$C$17,2,0)*$AT315),120000))),0)</f>
        <v>0</v>
      </c>
      <c r="BF315" s="83">
        <f>ROUND(VLOOKUP($AR315,'Loyalty - Effec - 15July'!$B$5:$D$17,3,0)*$AT315,0)</f>
        <v>0</v>
      </c>
      <c r="BG315" s="85">
        <f t="shared" si="198"/>
        <v>0</v>
      </c>
      <c r="BH315" s="83">
        <f t="shared" si="199"/>
        <v>0</v>
      </c>
      <c r="BI315" s="85">
        <f t="shared" si="202"/>
        <v>0</v>
      </c>
      <c r="BJ315" s="85">
        <f t="shared" si="200"/>
        <v>0</v>
      </c>
      <c r="BK315" s="85">
        <f t="shared" si="201"/>
        <v>0</v>
      </c>
      <c r="BL315" s="85">
        <f t="shared" si="206"/>
        <v>0</v>
      </c>
      <c r="BM315" s="85">
        <f t="shared" si="207"/>
        <v>0</v>
      </c>
      <c r="BN315" s="85">
        <f t="shared" si="208"/>
        <v>0</v>
      </c>
      <c r="BO315" s="46" t="s">
        <v>85</v>
      </c>
      <c r="BP315" s="46"/>
      <c r="BQ315" s="46"/>
      <c r="BU315" s="47">
        <f t="shared" ref="BU315:BU375" si="210">AT315-BG315</f>
        <v>0</v>
      </c>
      <c r="BV315" s="53" t="s">
        <v>579</v>
      </c>
      <c r="BW315" s="53" t="s">
        <v>932</v>
      </c>
      <c r="BX315" s="53" t="s">
        <v>798</v>
      </c>
      <c r="BY315" s="53"/>
      <c r="BZ315" s="53"/>
    </row>
    <row r="316" spans="1:79">
      <c r="A316" s="42" t="s">
        <v>580</v>
      </c>
      <c r="B316" s="28" t="s">
        <v>79</v>
      </c>
      <c r="C316" s="28" t="s">
        <v>80</v>
      </c>
      <c r="D316" s="28" t="s">
        <v>932</v>
      </c>
      <c r="F316" s="28" t="s">
        <v>901</v>
      </c>
      <c r="G316" s="44" t="s">
        <v>799</v>
      </c>
      <c r="H316" s="45">
        <v>45035</v>
      </c>
      <c r="I316" s="46" t="s">
        <v>1006</v>
      </c>
      <c r="J316" s="28">
        <v>2</v>
      </c>
      <c r="K316" s="28" t="s">
        <v>93</v>
      </c>
      <c r="L316" s="28" t="s">
        <v>873</v>
      </c>
      <c r="M316" s="28" t="s">
        <v>1</v>
      </c>
      <c r="N316" s="28" t="str">
        <f t="shared" si="179"/>
        <v>AE3</v>
      </c>
      <c r="O316" s="81"/>
      <c r="P316" s="81">
        <f t="shared" si="180"/>
        <v>0</v>
      </c>
      <c r="Q316" s="81">
        <f t="shared" si="181"/>
        <v>0</v>
      </c>
      <c r="R316" s="81">
        <f t="shared" si="182"/>
        <v>0</v>
      </c>
      <c r="S316" s="81"/>
      <c r="T316" s="82">
        <f t="shared" si="183"/>
        <v>0</v>
      </c>
      <c r="U316" s="82">
        <f t="shared" si="184"/>
        <v>0</v>
      </c>
      <c r="V316" s="82">
        <f t="shared" si="185"/>
        <v>0</v>
      </c>
      <c r="W316" s="83">
        <v>0</v>
      </c>
      <c r="X316" s="83">
        <v>0</v>
      </c>
      <c r="Y316" s="83">
        <v>0</v>
      </c>
      <c r="Z316" s="84">
        <f>ROUND((IF(($O316&lt;=700000),0,IF(((VLOOKUP($M316,'Loyalty - Effec - 15July'!$B$5:$C$17,2,0)*$O316)&lt;=120000),(VLOOKUP($M316,'Loyalty - Effec - 15July'!$B$5:$C$17,2,0)*$O316),120000))),0)</f>
        <v>0</v>
      </c>
      <c r="AA316" s="84">
        <f>ROUND(VLOOKUP($M316,'Loyalty - Effec - 15July'!$B$5:$D$17,3,0)*$O316,0)</f>
        <v>0</v>
      </c>
      <c r="AB316" s="85">
        <f t="shared" si="186"/>
        <v>0</v>
      </c>
      <c r="AC316" s="86">
        <f t="shared" si="187"/>
        <v>0</v>
      </c>
      <c r="AD316" s="87">
        <f t="shared" si="188"/>
        <v>0</v>
      </c>
      <c r="AE316" s="88">
        <f t="shared" si="189"/>
        <v>0</v>
      </c>
      <c r="AF316" s="88">
        <f t="shared" si="190"/>
        <v>0</v>
      </c>
      <c r="AG316" s="49" t="s">
        <v>703</v>
      </c>
      <c r="AH316" s="49" t="s">
        <v>200</v>
      </c>
      <c r="AI316" s="50"/>
      <c r="AJ316" s="46"/>
      <c r="AK316" s="46"/>
      <c r="AL316" s="46"/>
      <c r="AM316" s="51">
        <f>IF($AL316=4,VLOOKUP($AR316,'Loyalty Incentive v1'!$L$3:$Q$15,2,FALSE),
IF($AL316=3,VLOOKUP($AR316,'Loyalty Incentive v1'!$L$3:$Q$15,3,FALSE),
IF($AL316=2,VLOOKUP($AR316,'Loyalty Incentive v1'!$L$3:$Q$15,4,FALSE),
IF($AL316=1,VLOOKUP($AR316,'Loyalty Incentive v1'!$L$3:$Q$15,5,FALSE),
IF($AL316=0,VLOOKUP($AR316,'Loyalty Incentive v1'!$L$3:$Q$15,6,FALSE),0)))))</f>
        <v>0</v>
      </c>
      <c r="AN316" s="51">
        <f>IFERROR(IF(I316&gt;="1",AM316,VLOOKUP(VALUE(I316),'Loyalty - Effec - 15July'!$I$5:$J$16,2,0)*AM316),0)</f>
        <v>0</v>
      </c>
      <c r="AO316" s="51">
        <v>0</v>
      </c>
      <c r="AP316" s="51">
        <f t="shared" si="191"/>
        <v>0</v>
      </c>
      <c r="AQ316" s="46" t="str">
        <f t="shared" si="203"/>
        <v>No</v>
      </c>
      <c r="AR316" s="46" t="str">
        <f t="shared" si="204"/>
        <v>AE3</v>
      </c>
      <c r="AS316" s="46" t="b">
        <f t="shared" si="205"/>
        <v>1</v>
      </c>
      <c r="AT316" s="82">
        <f t="shared" si="209"/>
        <v>0</v>
      </c>
      <c r="AU316" s="81">
        <f t="shared" si="192"/>
        <v>0</v>
      </c>
      <c r="AV316" s="81">
        <f t="shared" si="193"/>
        <v>0</v>
      </c>
      <c r="AW316" s="81">
        <f t="shared" si="194"/>
        <v>0</v>
      </c>
      <c r="AX316" s="85"/>
      <c r="AY316" s="81">
        <f t="shared" si="195"/>
        <v>0</v>
      </c>
      <c r="AZ316" s="83">
        <f t="shared" si="196"/>
        <v>0</v>
      </c>
      <c r="BA316" s="81">
        <f t="shared" si="197"/>
        <v>0</v>
      </c>
      <c r="BB316" s="83">
        <v>0</v>
      </c>
      <c r="BC316" s="83">
        <v>0</v>
      </c>
      <c r="BD316" s="83">
        <v>0</v>
      </c>
      <c r="BE316" s="84">
        <f>ROUND((IF(($AT316&lt;=700000),0,IF(((VLOOKUP($AR316,'Loyalty - Effec - 15July'!$B$5:$C$17,2,0)*$AT316)&lt;=120000),(VLOOKUP($AR316,'Loyalty - Effec - 15July'!$B$5:$C$17,2,0)*$AT316),120000))),0)</f>
        <v>0</v>
      </c>
      <c r="BF316" s="83">
        <f>ROUND(VLOOKUP($AR316,'Loyalty - Effec - 15July'!$B$5:$D$17,3,0)*$AT316,0)</f>
        <v>0</v>
      </c>
      <c r="BG316" s="85">
        <f t="shared" si="198"/>
        <v>0</v>
      </c>
      <c r="BH316" s="83">
        <f t="shared" si="199"/>
        <v>0</v>
      </c>
      <c r="BI316" s="85">
        <f t="shared" si="202"/>
        <v>0</v>
      </c>
      <c r="BJ316" s="85">
        <f t="shared" si="200"/>
        <v>0</v>
      </c>
      <c r="BK316" s="85">
        <f t="shared" si="201"/>
        <v>0</v>
      </c>
      <c r="BL316" s="85">
        <f t="shared" si="206"/>
        <v>0</v>
      </c>
      <c r="BM316" s="85">
        <f t="shared" si="207"/>
        <v>0</v>
      </c>
      <c r="BN316" s="85">
        <f t="shared" si="208"/>
        <v>0</v>
      </c>
      <c r="BO316" s="46" t="s">
        <v>85</v>
      </c>
      <c r="BP316" s="46"/>
      <c r="BQ316" s="46"/>
      <c r="BU316" s="47">
        <f t="shared" si="210"/>
        <v>0</v>
      </c>
      <c r="BV316" s="53" t="s">
        <v>580</v>
      </c>
      <c r="BW316" s="53" t="s">
        <v>932</v>
      </c>
      <c r="BX316" s="53" t="s">
        <v>799</v>
      </c>
      <c r="BY316" s="53"/>
      <c r="BZ316" s="53"/>
    </row>
    <row r="317" spans="1:79">
      <c r="A317" s="42" t="s">
        <v>581</v>
      </c>
      <c r="B317" s="28" t="s">
        <v>79</v>
      </c>
      <c r="C317" s="28" t="s">
        <v>80</v>
      </c>
      <c r="D317" s="28" t="s">
        <v>932</v>
      </c>
      <c r="F317" s="28" t="s">
        <v>901</v>
      </c>
      <c r="G317" s="44" t="s">
        <v>800</v>
      </c>
      <c r="H317" s="45">
        <v>45035</v>
      </c>
      <c r="I317" s="46" t="s">
        <v>1006</v>
      </c>
      <c r="J317" s="28">
        <v>2</v>
      </c>
      <c r="K317" s="28" t="s">
        <v>420</v>
      </c>
      <c r="L317" s="28" t="s">
        <v>876</v>
      </c>
      <c r="M317" s="28" t="s">
        <v>3</v>
      </c>
      <c r="N317" s="28" t="str">
        <f t="shared" si="179"/>
        <v>AE5</v>
      </c>
      <c r="O317" s="81"/>
      <c r="P317" s="81">
        <f t="shared" si="180"/>
        <v>0</v>
      </c>
      <c r="Q317" s="81">
        <f t="shared" si="181"/>
        <v>0</v>
      </c>
      <c r="R317" s="81">
        <f t="shared" si="182"/>
        <v>0</v>
      </c>
      <c r="S317" s="81"/>
      <c r="T317" s="82">
        <f t="shared" si="183"/>
        <v>0</v>
      </c>
      <c r="U317" s="82">
        <f t="shared" si="184"/>
        <v>0</v>
      </c>
      <c r="V317" s="82">
        <f t="shared" si="185"/>
        <v>0</v>
      </c>
      <c r="W317" s="83">
        <v>0</v>
      </c>
      <c r="X317" s="83">
        <v>0</v>
      </c>
      <c r="Y317" s="83">
        <v>0</v>
      </c>
      <c r="Z317" s="84">
        <f>ROUND((IF(($O317&lt;=700000),0,IF(((VLOOKUP($M317,'Loyalty - Effec - 15July'!$B$5:$C$17,2,0)*$O317)&lt;=120000),(VLOOKUP($M317,'Loyalty - Effec - 15July'!$B$5:$C$17,2,0)*$O317),120000))),0)</f>
        <v>0</v>
      </c>
      <c r="AA317" s="84">
        <f>ROUND(VLOOKUP($M317,'Loyalty - Effec - 15July'!$B$5:$D$17,3,0)*$O317,0)</f>
        <v>0</v>
      </c>
      <c r="AB317" s="85">
        <f t="shared" si="186"/>
        <v>0</v>
      </c>
      <c r="AC317" s="86">
        <f t="shared" si="187"/>
        <v>0</v>
      </c>
      <c r="AD317" s="87">
        <f t="shared" si="188"/>
        <v>0</v>
      </c>
      <c r="AE317" s="88">
        <f t="shared" si="189"/>
        <v>0</v>
      </c>
      <c r="AF317" s="88">
        <f t="shared" si="190"/>
        <v>0</v>
      </c>
      <c r="AG317" s="49" t="s">
        <v>744</v>
      </c>
      <c r="AH317" s="49" t="s">
        <v>129</v>
      </c>
      <c r="AI317" s="50"/>
      <c r="AJ317" s="46"/>
      <c r="AK317" s="46"/>
      <c r="AL317" s="46"/>
      <c r="AM317" s="51">
        <f>IF($AL317=4,VLOOKUP($AR317,'Loyalty Incentive v1'!$L$3:$Q$15,2,FALSE),
IF($AL317=3,VLOOKUP($AR317,'Loyalty Incentive v1'!$L$3:$Q$15,3,FALSE),
IF($AL317=2,VLOOKUP($AR317,'Loyalty Incentive v1'!$L$3:$Q$15,4,FALSE),
IF($AL317=1,VLOOKUP($AR317,'Loyalty Incentive v1'!$L$3:$Q$15,5,FALSE),
IF($AL317=0,VLOOKUP($AR317,'Loyalty Incentive v1'!$L$3:$Q$15,6,FALSE),0)))))</f>
        <v>0</v>
      </c>
      <c r="AN317" s="51">
        <f>IFERROR(IF(I317&gt;="1",AM317,VLOOKUP(VALUE(I317),'Loyalty - Effec - 15July'!$I$5:$J$16,2,0)*AM317),0)</f>
        <v>0</v>
      </c>
      <c r="AO317" s="51">
        <v>0</v>
      </c>
      <c r="AP317" s="51">
        <f t="shared" si="191"/>
        <v>0</v>
      </c>
      <c r="AQ317" s="46" t="str">
        <f t="shared" si="203"/>
        <v>No</v>
      </c>
      <c r="AR317" s="46" t="str">
        <f t="shared" si="204"/>
        <v>AE5</v>
      </c>
      <c r="AS317" s="46" t="b">
        <f t="shared" si="205"/>
        <v>1</v>
      </c>
      <c r="AT317" s="82">
        <f t="shared" si="209"/>
        <v>0</v>
      </c>
      <c r="AU317" s="81">
        <f t="shared" si="192"/>
        <v>0</v>
      </c>
      <c r="AV317" s="81">
        <f t="shared" si="193"/>
        <v>0</v>
      </c>
      <c r="AW317" s="81">
        <f t="shared" si="194"/>
        <v>0</v>
      </c>
      <c r="AX317" s="85"/>
      <c r="AY317" s="81">
        <f t="shared" si="195"/>
        <v>0</v>
      </c>
      <c r="AZ317" s="83">
        <f t="shared" si="196"/>
        <v>0</v>
      </c>
      <c r="BA317" s="81">
        <f t="shared" si="197"/>
        <v>0</v>
      </c>
      <c r="BB317" s="83">
        <v>0</v>
      </c>
      <c r="BC317" s="83">
        <v>0</v>
      </c>
      <c r="BD317" s="83">
        <v>0</v>
      </c>
      <c r="BE317" s="84">
        <f>ROUND((IF(($AT317&lt;=700000),0,IF(((VLOOKUP($AR317,'Loyalty - Effec - 15July'!$B$5:$C$17,2,0)*$AT317)&lt;=120000),(VLOOKUP($AR317,'Loyalty - Effec - 15July'!$B$5:$C$17,2,0)*$AT317),120000))),0)</f>
        <v>0</v>
      </c>
      <c r="BF317" s="83">
        <f>ROUND(VLOOKUP($AR317,'Loyalty - Effec - 15July'!$B$5:$D$17,3,0)*$AT317,0)</f>
        <v>0</v>
      </c>
      <c r="BG317" s="85">
        <f t="shared" si="198"/>
        <v>0</v>
      </c>
      <c r="BH317" s="83">
        <f t="shared" si="199"/>
        <v>0</v>
      </c>
      <c r="BI317" s="85">
        <f t="shared" si="202"/>
        <v>0</v>
      </c>
      <c r="BJ317" s="85">
        <f t="shared" si="200"/>
        <v>0</v>
      </c>
      <c r="BK317" s="85">
        <f t="shared" si="201"/>
        <v>0</v>
      </c>
      <c r="BL317" s="85">
        <f t="shared" si="206"/>
        <v>0</v>
      </c>
      <c r="BM317" s="85">
        <f t="shared" si="207"/>
        <v>0</v>
      </c>
      <c r="BN317" s="85">
        <f t="shared" si="208"/>
        <v>0</v>
      </c>
      <c r="BO317" s="46" t="s">
        <v>85</v>
      </c>
      <c r="BP317" s="46"/>
      <c r="BQ317" s="46"/>
      <c r="BU317" s="47">
        <f t="shared" si="210"/>
        <v>0</v>
      </c>
      <c r="BV317" s="53" t="s">
        <v>581</v>
      </c>
      <c r="BW317" s="53" t="s">
        <v>932</v>
      </c>
      <c r="BX317" s="53" t="s">
        <v>800</v>
      </c>
      <c r="BY317" s="53"/>
      <c r="BZ317" s="53"/>
    </row>
    <row r="318" spans="1:79">
      <c r="A318" s="42" t="s">
        <v>582</v>
      </c>
      <c r="B318" s="28" t="s">
        <v>79</v>
      </c>
      <c r="C318" s="28" t="s">
        <v>80</v>
      </c>
      <c r="D318" s="28" t="s">
        <v>81</v>
      </c>
      <c r="E318" s="43" t="s">
        <v>184</v>
      </c>
      <c r="F318" s="28" t="s">
        <v>901</v>
      </c>
      <c r="G318" s="44" t="s">
        <v>801</v>
      </c>
      <c r="H318" s="45">
        <v>45035</v>
      </c>
      <c r="I318" s="28" t="s">
        <v>1006</v>
      </c>
      <c r="J318" s="28">
        <v>0</v>
      </c>
      <c r="K318" s="28" t="s">
        <v>407</v>
      </c>
      <c r="L318" s="28" t="s">
        <v>868</v>
      </c>
      <c r="M318" s="28" t="s">
        <v>9</v>
      </c>
      <c r="N318" s="28" t="str">
        <f t="shared" si="179"/>
        <v>AE1</v>
      </c>
      <c r="O318" s="81"/>
      <c r="P318" s="81">
        <f t="shared" si="180"/>
        <v>0</v>
      </c>
      <c r="Q318" s="81">
        <f t="shared" si="181"/>
        <v>0</v>
      </c>
      <c r="R318" s="81">
        <f t="shared" si="182"/>
        <v>0</v>
      </c>
      <c r="S318" s="81"/>
      <c r="T318" s="82">
        <f t="shared" si="183"/>
        <v>0</v>
      </c>
      <c r="U318" s="82">
        <f t="shared" si="184"/>
        <v>0</v>
      </c>
      <c r="V318" s="82">
        <f t="shared" si="185"/>
        <v>0</v>
      </c>
      <c r="W318" s="83">
        <v>0</v>
      </c>
      <c r="X318" s="83">
        <v>0</v>
      </c>
      <c r="Y318" s="83">
        <v>0</v>
      </c>
      <c r="Z318" s="84">
        <f>ROUND((IF(($O318&lt;=700000),0,IF(((VLOOKUP($M318,'Loyalty - Effec - 15July'!$B$5:$C$17,2,0)*$O318)&lt;=120000),(VLOOKUP($M318,'Loyalty - Effec - 15July'!$B$5:$C$17,2,0)*$O318),120000))),0)</f>
        <v>0</v>
      </c>
      <c r="AA318" s="84">
        <f>ROUND(VLOOKUP($M318,'Loyalty - Effec - 15July'!$B$5:$D$17,3,0)*$O318,0)</f>
        <v>0</v>
      </c>
      <c r="AB318" s="85">
        <f t="shared" si="186"/>
        <v>0</v>
      </c>
      <c r="AC318" s="86">
        <f t="shared" si="187"/>
        <v>0</v>
      </c>
      <c r="AD318" s="87">
        <f t="shared" si="188"/>
        <v>0</v>
      </c>
      <c r="AE318" s="88">
        <f t="shared" si="189"/>
        <v>0</v>
      </c>
      <c r="AF318" s="88">
        <f t="shared" si="190"/>
        <v>0</v>
      </c>
      <c r="AG318" s="49" t="s">
        <v>249</v>
      </c>
      <c r="AH318" s="49" t="s">
        <v>83</v>
      </c>
      <c r="AI318" s="50"/>
      <c r="AJ318" s="50"/>
      <c r="AK318" s="50"/>
      <c r="AL318" s="46"/>
      <c r="AM318" s="51">
        <f>IF($AL318=4,VLOOKUP($AR318,'Loyalty Incentive v1'!$L$3:$Q$15,2,FALSE),
IF($AL318=3,VLOOKUP($AR318,'Loyalty Incentive v1'!$L$3:$Q$15,3,FALSE),
IF($AL318=2,VLOOKUP($AR318,'Loyalty Incentive v1'!$L$3:$Q$15,4,FALSE),
IF($AL318=1,VLOOKUP($AR318,'Loyalty Incentive v1'!$L$3:$Q$15,5,FALSE),
IF($AL318=0,VLOOKUP($AR318,'Loyalty Incentive v1'!$L$3:$Q$15,6,FALSE),0)))))</f>
        <v>0</v>
      </c>
      <c r="AN318" s="51">
        <f>IFERROR(IF(I318&gt;="1",AM318,VLOOKUP(VALUE(I318),'Loyalty - Effec - 15July'!$I$5:$J$16,2,0)*AM318),0)</f>
        <v>0</v>
      </c>
      <c r="AO318" s="51">
        <v>0.09</v>
      </c>
      <c r="AP318" s="51">
        <f t="shared" si="191"/>
        <v>0.09</v>
      </c>
      <c r="AQ318" s="46" t="str">
        <f t="shared" si="203"/>
        <v>No</v>
      </c>
      <c r="AR318" s="46" t="str">
        <f t="shared" si="204"/>
        <v>AE1</v>
      </c>
      <c r="AS318" s="46" t="b">
        <f t="shared" si="205"/>
        <v>1</v>
      </c>
      <c r="AT318" s="82">
        <f t="shared" si="209"/>
        <v>0</v>
      </c>
      <c r="AU318" s="81">
        <f t="shared" si="192"/>
        <v>0</v>
      </c>
      <c r="AV318" s="81">
        <f t="shared" si="193"/>
        <v>0</v>
      </c>
      <c r="AW318" s="81">
        <f t="shared" si="194"/>
        <v>0</v>
      </c>
      <c r="AX318" s="85"/>
      <c r="AY318" s="81">
        <f t="shared" si="195"/>
        <v>0</v>
      </c>
      <c r="AZ318" s="83">
        <f t="shared" si="196"/>
        <v>0</v>
      </c>
      <c r="BA318" s="81">
        <f t="shared" si="197"/>
        <v>0</v>
      </c>
      <c r="BB318" s="83">
        <v>0</v>
      </c>
      <c r="BC318" s="83">
        <v>0</v>
      </c>
      <c r="BD318" s="83">
        <v>0</v>
      </c>
      <c r="BE318" s="84">
        <f>ROUND((IF(($AT318&lt;=700000),0,IF(((VLOOKUP($AR318,'Loyalty - Effec - 15July'!$B$5:$C$17,2,0)*$AT318)&lt;=120000),(VLOOKUP($AR318,'Loyalty - Effec - 15July'!$B$5:$C$17,2,0)*$AT318),120000))),0)</f>
        <v>0</v>
      </c>
      <c r="BF318" s="84">
        <f>ROUND(VLOOKUP($AR318,'Loyalty - Effec - 15July'!$B$5:$D$17,3,0)*$AT318,0)</f>
        <v>0</v>
      </c>
      <c r="BG318" s="85">
        <f t="shared" si="198"/>
        <v>0</v>
      </c>
      <c r="BH318" s="81">
        <f t="shared" si="199"/>
        <v>0</v>
      </c>
      <c r="BI318" s="85">
        <f t="shared" si="202"/>
        <v>0</v>
      </c>
      <c r="BJ318" s="85">
        <f t="shared" si="200"/>
        <v>0</v>
      </c>
      <c r="BK318" s="85">
        <f t="shared" si="201"/>
        <v>0</v>
      </c>
      <c r="BL318" s="85">
        <f t="shared" si="206"/>
        <v>0</v>
      </c>
      <c r="BM318" s="85">
        <f t="shared" si="207"/>
        <v>0</v>
      </c>
      <c r="BN318" s="85">
        <f t="shared" si="208"/>
        <v>0</v>
      </c>
      <c r="BO318" s="46" t="s">
        <v>85</v>
      </c>
      <c r="BP318" s="46"/>
      <c r="BQ318" s="46"/>
      <c r="BR318" s="47">
        <f t="shared" ref="BR318" si="211">BG318-AB318</f>
        <v>0</v>
      </c>
      <c r="BS318" s="46">
        <v>0</v>
      </c>
      <c r="BT318" s="54">
        <v>0</v>
      </c>
      <c r="BU318" s="47">
        <f t="shared" si="210"/>
        <v>0</v>
      </c>
      <c r="BV318" s="53" t="s">
        <v>582</v>
      </c>
      <c r="BW318" s="53" t="s">
        <v>81</v>
      </c>
      <c r="BX318" s="53" t="s">
        <v>801</v>
      </c>
      <c r="BY318" s="53"/>
      <c r="BZ318" s="53"/>
      <c r="CA318" s="55"/>
    </row>
    <row r="319" spans="1:79">
      <c r="A319" s="42" t="s">
        <v>583</v>
      </c>
      <c r="B319" s="28" t="s">
        <v>79</v>
      </c>
      <c r="C319" s="28" t="s">
        <v>80</v>
      </c>
      <c r="D319" s="28" t="s">
        <v>932</v>
      </c>
      <c r="F319" s="28" t="s">
        <v>901</v>
      </c>
      <c r="G319" s="44" t="s">
        <v>802</v>
      </c>
      <c r="H319" s="45">
        <v>45042</v>
      </c>
      <c r="I319" s="46" t="s">
        <v>1006</v>
      </c>
      <c r="J319" s="28">
        <v>2</v>
      </c>
      <c r="K319" s="28" t="s">
        <v>93</v>
      </c>
      <c r="L319" s="28" t="s">
        <v>873</v>
      </c>
      <c r="M319" s="28" t="s">
        <v>1</v>
      </c>
      <c r="N319" s="28" t="str">
        <f t="shared" si="179"/>
        <v>AE3</v>
      </c>
      <c r="O319" s="81"/>
      <c r="P319" s="81">
        <f t="shared" si="180"/>
        <v>0</v>
      </c>
      <c r="Q319" s="81">
        <f t="shared" si="181"/>
        <v>0</v>
      </c>
      <c r="R319" s="81">
        <f t="shared" si="182"/>
        <v>0</v>
      </c>
      <c r="S319" s="81"/>
      <c r="T319" s="82">
        <f t="shared" si="183"/>
        <v>0</v>
      </c>
      <c r="U319" s="82">
        <f t="shared" si="184"/>
        <v>0</v>
      </c>
      <c r="V319" s="82">
        <f t="shared" si="185"/>
        <v>0</v>
      </c>
      <c r="W319" s="83">
        <v>0</v>
      </c>
      <c r="X319" s="83">
        <v>0</v>
      </c>
      <c r="Y319" s="83">
        <v>0</v>
      </c>
      <c r="Z319" s="84">
        <f>ROUND((IF(($O319&lt;=700000),0,IF(((VLOOKUP($M319,'Loyalty - Effec - 15July'!$B$5:$C$17,2,0)*$O319)&lt;=120000),(VLOOKUP($M319,'Loyalty - Effec - 15July'!$B$5:$C$17,2,0)*$O319),120000))),0)</f>
        <v>0</v>
      </c>
      <c r="AA319" s="84">
        <f>ROUND(VLOOKUP($M319,'Loyalty - Effec - 15July'!$B$5:$D$17,3,0)*$O319,0)</f>
        <v>0</v>
      </c>
      <c r="AB319" s="85">
        <f t="shared" si="186"/>
        <v>0</v>
      </c>
      <c r="AC319" s="86">
        <f t="shared" si="187"/>
        <v>0</v>
      </c>
      <c r="AD319" s="87">
        <f t="shared" si="188"/>
        <v>0</v>
      </c>
      <c r="AE319" s="88">
        <f t="shared" si="189"/>
        <v>0</v>
      </c>
      <c r="AF319" s="88">
        <f t="shared" si="190"/>
        <v>0</v>
      </c>
      <c r="AG319" s="49" t="s">
        <v>135</v>
      </c>
      <c r="AH319" s="49" t="s">
        <v>910</v>
      </c>
      <c r="AI319" s="50"/>
      <c r="AJ319" s="46"/>
      <c r="AK319" s="46"/>
      <c r="AL319" s="46"/>
      <c r="AM319" s="51">
        <f>IF($AL319=4,VLOOKUP($AR319,'Loyalty Incentive v1'!$L$3:$Q$15,2,FALSE),
IF($AL319=3,VLOOKUP($AR319,'Loyalty Incentive v1'!$L$3:$Q$15,3,FALSE),
IF($AL319=2,VLOOKUP($AR319,'Loyalty Incentive v1'!$L$3:$Q$15,4,FALSE),
IF($AL319=1,VLOOKUP($AR319,'Loyalty Incentive v1'!$L$3:$Q$15,5,FALSE),
IF($AL319=0,VLOOKUP($AR319,'Loyalty Incentive v1'!$L$3:$Q$15,6,FALSE),0)))))</f>
        <v>0</v>
      </c>
      <c r="AN319" s="51">
        <f>IFERROR(IF(I319&gt;="1",AM319,VLOOKUP(VALUE(I319),'Loyalty - Effec - 15July'!$I$5:$J$16,2,0)*AM319),0)</f>
        <v>0</v>
      </c>
      <c r="AO319" s="51">
        <v>0</v>
      </c>
      <c r="AP319" s="51">
        <f t="shared" si="191"/>
        <v>0</v>
      </c>
      <c r="AQ319" s="46" t="str">
        <f t="shared" si="203"/>
        <v>No</v>
      </c>
      <c r="AR319" s="46" t="str">
        <f t="shared" si="204"/>
        <v>AE3</v>
      </c>
      <c r="AS319" s="46" t="b">
        <f t="shared" si="205"/>
        <v>1</v>
      </c>
      <c r="AT319" s="82">
        <f t="shared" si="209"/>
        <v>0</v>
      </c>
      <c r="AU319" s="81">
        <f t="shared" si="192"/>
        <v>0</v>
      </c>
      <c r="AV319" s="81">
        <f t="shared" si="193"/>
        <v>0</v>
      </c>
      <c r="AW319" s="81">
        <f t="shared" si="194"/>
        <v>0</v>
      </c>
      <c r="AX319" s="85"/>
      <c r="AY319" s="81">
        <f t="shared" si="195"/>
        <v>0</v>
      </c>
      <c r="AZ319" s="83">
        <f t="shared" si="196"/>
        <v>0</v>
      </c>
      <c r="BA319" s="81">
        <f t="shared" si="197"/>
        <v>0</v>
      </c>
      <c r="BB319" s="83">
        <v>0</v>
      </c>
      <c r="BC319" s="83">
        <v>0</v>
      </c>
      <c r="BD319" s="83">
        <v>0</v>
      </c>
      <c r="BE319" s="84">
        <f>ROUND((IF(($AT319&lt;=700000),0,IF(((VLOOKUP($AR319,'Loyalty - Effec - 15July'!$B$5:$C$17,2,0)*$AT319)&lt;=120000),(VLOOKUP($AR319,'Loyalty - Effec - 15July'!$B$5:$C$17,2,0)*$AT319),120000))),0)</f>
        <v>0</v>
      </c>
      <c r="BF319" s="83">
        <f>ROUND(VLOOKUP($AR319,'Loyalty - Effec - 15July'!$B$5:$D$17,3,0)*$AT319,0)</f>
        <v>0</v>
      </c>
      <c r="BG319" s="85">
        <f t="shared" si="198"/>
        <v>0</v>
      </c>
      <c r="BH319" s="83">
        <f t="shared" si="199"/>
        <v>0</v>
      </c>
      <c r="BI319" s="85">
        <f t="shared" si="202"/>
        <v>0</v>
      </c>
      <c r="BJ319" s="85">
        <f t="shared" si="200"/>
        <v>0</v>
      </c>
      <c r="BK319" s="85">
        <f t="shared" si="201"/>
        <v>0</v>
      </c>
      <c r="BL319" s="85">
        <f t="shared" si="206"/>
        <v>0</v>
      </c>
      <c r="BM319" s="85">
        <f t="shared" si="207"/>
        <v>0</v>
      </c>
      <c r="BN319" s="85">
        <f t="shared" si="208"/>
        <v>0</v>
      </c>
      <c r="BO319" s="46" t="s">
        <v>85</v>
      </c>
      <c r="BP319" s="46"/>
      <c r="BQ319" s="46"/>
      <c r="BU319" s="47">
        <f t="shared" si="210"/>
        <v>0</v>
      </c>
      <c r="BV319" s="53" t="s">
        <v>583</v>
      </c>
      <c r="BW319" s="53" t="s">
        <v>932</v>
      </c>
      <c r="BX319" s="53" t="s">
        <v>802</v>
      </c>
      <c r="BY319" s="53"/>
      <c r="BZ319" s="53"/>
    </row>
    <row r="320" spans="1:79">
      <c r="A320" s="42" t="s">
        <v>584</v>
      </c>
      <c r="B320" s="28" t="s">
        <v>79</v>
      </c>
      <c r="C320" s="28" t="s">
        <v>80</v>
      </c>
      <c r="D320" s="28" t="s">
        <v>932</v>
      </c>
      <c r="F320" s="28" t="s">
        <v>901</v>
      </c>
      <c r="G320" s="44" t="s">
        <v>803</v>
      </c>
      <c r="H320" s="45">
        <v>45042</v>
      </c>
      <c r="I320" s="46" t="s">
        <v>1006</v>
      </c>
      <c r="J320" s="28">
        <v>2</v>
      </c>
      <c r="K320" s="28" t="s">
        <v>413</v>
      </c>
      <c r="L320" s="28" t="s">
        <v>140</v>
      </c>
      <c r="M320" s="28" t="s">
        <v>1</v>
      </c>
      <c r="N320" s="28" t="str">
        <f t="shared" si="179"/>
        <v>AE3</v>
      </c>
      <c r="O320" s="81"/>
      <c r="P320" s="81">
        <f t="shared" si="180"/>
        <v>0</v>
      </c>
      <c r="Q320" s="81">
        <f t="shared" si="181"/>
        <v>0</v>
      </c>
      <c r="R320" s="81">
        <f t="shared" si="182"/>
        <v>0</v>
      </c>
      <c r="S320" s="81"/>
      <c r="T320" s="82">
        <f t="shared" si="183"/>
        <v>0</v>
      </c>
      <c r="U320" s="82">
        <f t="shared" si="184"/>
        <v>0</v>
      </c>
      <c r="V320" s="82">
        <f t="shared" si="185"/>
        <v>0</v>
      </c>
      <c r="W320" s="83">
        <v>0</v>
      </c>
      <c r="X320" s="83">
        <v>0</v>
      </c>
      <c r="Y320" s="83">
        <v>0</v>
      </c>
      <c r="Z320" s="84">
        <f>ROUND((IF(($O320&lt;=700000),0,IF(((VLOOKUP($M320,'Loyalty - Effec - 15July'!$B$5:$C$17,2,0)*$O320)&lt;=120000),(VLOOKUP($M320,'Loyalty - Effec - 15July'!$B$5:$C$17,2,0)*$O320),120000))),0)</f>
        <v>0</v>
      </c>
      <c r="AA320" s="84">
        <f>ROUND(VLOOKUP($M320,'Loyalty - Effec - 15July'!$B$5:$D$17,3,0)*$O320,0)</f>
        <v>0</v>
      </c>
      <c r="AB320" s="85">
        <f t="shared" si="186"/>
        <v>0</v>
      </c>
      <c r="AC320" s="86">
        <f t="shared" si="187"/>
        <v>0</v>
      </c>
      <c r="AD320" s="87">
        <f t="shared" si="188"/>
        <v>0</v>
      </c>
      <c r="AE320" s="88">
        <f t="shared" si="189"/>
        <v>0</v>
      </c>
      <c r="AF320" s="88">
        <f t="shared" si="190"/>
        <v>0</v>
      </c>
      <c r="AG320" s="49" t="s">
        <v>176</v>
      </c>
      <c r="AH320" s="49" t="s">
        <v>200</v>
      </c>
      <c r="AI320" s="50"/>
      <c r="AJ320" s="46"/>
      <c r="AK320" s="46"/>
      <c r="AL320" s="46"/>
      <c r="AM320" s="51">
        <f>IF($AL320=4,VLOOKUP($AR320,'Loyalty Incentive v1'!$L$3:$Q$15,2,FALSE),
IF($AL320=3,VLOOKUP($AR320,'Loyalty Incentive v1'!$L$3:$Q$15,3,FALSE),
IF($AL320=2,VLOOKUP($AR320,'Loyalty Incentive v1'!$L$3:$Q$15,4,FALSE),
IF($AL320=1,VLOOKUP($AR320,'Loyalty Incentive v1'!$L$3:$Q$15,5,FALSE),
IF($AL320=0,VLOOKUP($AR320,'Loyalty Incentive v1'!$L$3:$Q$15,6,FALSE),0)))))</f>
        <v>0</v>
      </c>
      <c r="AN320" s="51">
        <f>IFERROR(IF(I320&gt;="1",AM320,VLOOKUP(VALUE(I320),'Loyalty - Effec - 15July'!$I$5:$J$16,2,0)*AM320),0)</f>
        <v>0</v>
      </c>
      <c r="AO320" s="51">
        <v>0</v>
      </c>
      <c r="AP320" s="51">
        <f t="shared" si="191"/>
        <v>0</v>
      </c>
      <c r="AQ320" s="46" t="str">
        <f t="shared" si="203"/>
        <v>No</v>
      </c>
      <c r="AR320" s="46" t="str">
        <f t="shared" si="204"/>
        <v>AE3</v>
      </c>
      <c r="AS320" s="46" t="b">
        <f t="shared" si="205"/>
        <v>1</v>
      </c>
      <c r="AT320" s="82">
        <f t="shared" si="209"/>
        <v>0</v>
      </c>
      <c r="AU320" s="81">
        <f t="shared" si="192"/>
        <v>0</v>
      </c>
      <c r="AV320" s="81">
        <f t="shared" si="193"/>
        <v>0</v>
      </c>
      <c r="AW320" s="81">
        <f t="shared" si="194"/>
        <v>0</v>
      </c>
      <c r="AX320" s="85"/>
      <c r="AY320" s="81">
        <f t="shared" si="195"/>
        <v>0</v>
      </c>
      <c r="AZ320" s="83">
        <f t="shared" si="196"/>
        <v>0</v>
      </c>
      <c r="BA320" s="81">
        <f t="shared" si="197"/>
        <v>0</v>
      </c>
      <c r="BB320" s="83">
        <v>0</v>
      </c>
      <c r="BC320" s="83">
        <v>0</v>
      </c>
      <c r="BD320" s="83">
        <v>0</v>
      </c>
      <c r="BE320" s="84">
        <f>ROUND((IF(($AT320&lt;=700000),0,IF(((VLOOKUP($AR320,'Loyalty - Effec - 15July'!$B$5:$C$17,2,0)*$AT320)&lt;=120000),(VLOOKUP($AR320,'Loyalty - Effec - 15July'!$B$5:$C$17,2,0)*$AT320),120000))),0)</f>
        <v>0</v>
      </c>
      <c r="BF320" s="83">
        <f>ROUND(VLOOKUP($AR320,'Loyalty - Effec - 15July'!$B$5:$D$17,3,0)*$AT320,0)</f>
        <v>0</v>
      </c>
      <c r="BG320" s="85">
        <f t="shared" si="198"/>
        <v>0</v>
      </c>
      <c r="BH320" s="83">
        <f t="shared" si="199"/>
        <v>0</v>
      </c>
      <c r="BI320" s="85">
        <f t="shared" si="202"/>
        <v>0</v>
      </c>
      <c r="BJ320" s="85">
        <f t="shared" si="200"/>
        <v>0</v>
      </c>
      <c r="BK320" s="85">
        <f t="shared" si="201"/>
        <v>0</v>
      </c>
      <c r="BL320" s="85">
        <f t="shared" si="206"/>
        <v>0</v>
      </c>
      <c r="BM320" s="85">
        <f t="shared" si="207"/>
        <v>0</v>
      </c>
      <c r="BN320" s="85">
        <f t="shared" si="208"/>
        <v>0</v>
      </c>
      <c r="BO320" s="46" t="s">
        <v>85</v>
      </c>
      <c r="BP320" s="46"/>
      <c r="BQ320" s="46"/>
      <c r="BU320" s="47">
        <f t="shared" si="210"/>
        <v>0</v>
      </c>
      <c r="BV320" s="53" t="s">
        <v>584</v>
      </c>
      <c r="BW320" s="53" t="s">
        <v>932</v>
      </c>
      <c r="BX320" s="53" t="s">
        <v>803</v>
      </c>
      <c r="BY320" s="53"/>
      <c r="BZ320" s="53"/>
    </row>
    <row r="321" spans="1:78">
      <c r="A321" s="42" t="s">
        <v>585</v>
      </c>
      <c r="B321" s="28" t="s">
        <v>79</v>
      </c>
      <c r="C321" s="28" t="s">
        <v>80</v>
      </c>
      <c r="D321" s="28" t="s">
        <v>932</v>
      </c>
      <c r="F321" s="28" t="s">
        <v>901</v>
      </c>
      <c r="G321" s="44" t="s">
        <v>804</v>
      </c>
      <c r="H321" s="45">
        <v>45042</v>
      </c>
      <c r="I321" s="46" t="s">
        <v>1006</v>
      </c>
      <c r="J321" s="28">
        <v>2</v>
      </c>
      <c r="K321" s="28" t="s">
        <v>396</v>
      </c>
      <c r="L321" s="28" t="s">
        <v>155</v>
      </c>
      <c r="M321" s="28" t="s">
        <v>1</v>
      </c>
      <c r="N321" s="28" t="str">
        <f t="shared" si="179"/>
        <v>AE3</v>
      </c>
      <c r="O321" s="81"/>
      <c r="P321" s="81">
        <f t="shared" si="180"/>
        <v>0</v>
      </c>
      <c r="Q321" s="81">
        <f t="shared" si="181"/>
        <v>0</v>
      </c>
      <c r="R321" s="81">
        <f t="shared" si="182"/>
        <v>0</v>
      </c>
      <c r="S321" s="81"/>
      <c r="T321" s="82">
        <f t="shared" si="183"/>
        <v>0</v>
      </c>
      <c r="U321" s="82">
        <f t="shared" si="184"/>
        <v>0</v>
      </c>
      <c r="V321" s="82">
        <f t="shared" si="185"/>
        <v>0</v>
      </c>
      <c r="W321" s="83">
        <v>0</v>
      </c>
      <c r="X321" s="83">
        <v>0</v>
      </c>
      <c r="Y321" s="83">
        <v>0</v>
      </c>
      <c r="Z321" s="84">
        <f>ROUND((IF(($O321&lt;=700000),0,IF(((VLOOKUP($M321,'Loyalty - Effec - 15July'!$B$5:$C$17,2,0)*$O321)&lt;=120000),(VLOOKUP($M321,'Loyalty - Effec - 15July'!$B$5:$C$17,2,0)*$O321),120000))),0)</f>
        <v>0</v>
      </c>
      <c r="AA321" s="84">
        <f>ROUND(VLOOKUP($M321,'Loyalty - Effec - 15July'!$B$5:$D$17,3,0)*$O321,0)</f>
        <v>0</v>
      </c>
      <c r="AB321" s="85">
        <f t="shared" si="186"/>
        <v>0</v>
      </c>
      <c r="AC321" s="86">
        <f t="shared" si="187"/>
        <v>0</v>
      </c>
      <c r="AD321" s="87">
        <f t="shared" si="188"/>
        <v>0</v>
      </c>
      <c r="AE321" s="88">
        <f t="shared" si="189"/>
        <v>0</v>
      </c>
      <c r="AF321" s="88">
        <f t="shared" si="190"/>
        <v>0</v>
      </c>
      <c r="AG321" s="49" t="s">
        <v>922</v>
      </c>
      <c r="AH321" s="49" t="s">
        <v>909</v>
      </c>
      <c r="AI321" s="50"/>
      <c r="AJ321" s="46"/>
      <c r="AK321" s="46"/>
      <c r="AL321" s="46"/>
      <c r="AM321" s="51">
        <f>IF($AL321=4,VLOOKUP($AR321,'Loyalty Incentive v1'!$L$3:$Q$15,2,FALSE),
IF($AL321=3,VLOOKUP($AR321,'Loyalty Incentive v1'!$L$3:$Q$15,3,FALSE),
IF($AL321=2,VLOOKUP($AR321,'Loyalty Incentive v1'!$L$3:$Q$15,4,FALSE),
IF($AL321=1,VLOOKUP($AR321,'Loyalty Incentive v1'!$L$3:$Q$15,5,FALSE),
IF($AL321=0,VLOOKUP($AR321,'Loyalty Incentive v1'!$L$3:$Q$15,6,FALSE),0)))))</f>
        <v>0</v>
      </c>
      <c r="AN321" s="51">
        <f>IFERROR(IF(I321&gt;="1",AM321,VLOOKUP(VALUE(I321),'Loyalty - Effec - 15July'!$I$5:$J$16,2,0)*AM321),0)</f>
        <v>0</v>
      </c>
      <c r="AO321" s="51">
        <v>0</v>
      </c>
      <c r="AP321" s="51">
        <f t="shared" si="191"/>
        <v>0</v>
      </c>
      <c r="AQ321" s="46" t="str">
        <f t="shared" si="203"/>
        <v>No</v>
      </c>
      <c r="AR321" s="46" t="str">
        <f t="shared" si="204"/>
        <v>AE3</v>
      </c>
      <c r="AS321" s="46" t="b">
        <f t="shared" si="205"/>
        <v>1</v>
      </c>
      <c r="AT321" s="82">
        <f t="shared" si="209"/>
        <v>0</v>
      </c>
      <c r="AU321" s="81">
        <f t="shared" si="192"/>
        <v>0</v>
      </c>
      <c r="AV321" s="81">
        <f t="shared" si="193"/>
        <v>0</v>
      </c>
      <c r="AW321" s="81">
        <f t="shared" si="194"/>
        <v>0</v>
      </c>
      <c r="AX321" s="85"/>
      <c r="AY321" s="81">
        <f t="shared" si="195"/>
        <v>0</v>
      </c>
      <c r="AZ321" s="83">
        <f t="shared" si="196"/>
        <v>0</v>
      </c>
      <c r="BA321" s="81">
        <f t="shared" si="197"/>
        <v>0</v>
      </c>
      <c r="BB321" s="83">
        <v>0</v>
      </c>
      <c r="BC321" s="83">
        <v>0</v>
      </c>
      <c r="BD321" s="83">
        <v>0</v>
      </c>
      <c r="BE321" s="84">
        <f>ROUND((IF(($AT321&lt;=700000),0,IF(((VLOOKUP($AR321,'Loyalty - Effec - 15July'!$B$5:$C$17,2,0)*$AT321)&lt;=120000),(VLOOKUP($AR321,'Loyalty - Effec - 15July'!$B$5:$C$17,2,0)*$AT321),120000))),0)</f>
        <v>0</v>
      </c>
      <c r="BF321" s="83">
        <f>ROUND(VLOOKUP($AR321,'Loyalty - Effec - 15July'!$B$5:$D$17,3,0)*$AT321,0)</f>
        <v>0</v>
      </c>
      <c r="BG321" s="85">
        <f t="shared" si="198"/>
        <v>0</v>
      </c>
      <c r="BH321" s="83">
        <f t="shared" si="199"/>
        <v>0</v>
      </c>
      <c r="BI321" s="85">
        <f t="shared" si="202"/>
        <v>0</v>
      </c>
      <c r="BJ321" s="85">
        <f t="shared" si="200"/>
        <v>0</v>
      </c>
      <c r="BK321" s="85">
        <f t="shared" si="201"/>
        <v>0</v>
      </c>
      <c r="BL321" s="85">
        <f t="shared" si="206"/>
        <v>0</v>
      </c>
      <c r="BM321" s="85">
        <f t="shared" si="207"/>
        <v>0</v>
      </c>
      <c r="BN321" s="85">
        <f t="shared" si="208"/>
        <v>0</v>
      </c>
      <c r="BO321" s="46" t="s">
        <v>85</v>
      </c>
      <c r="BP321" s="46"/>
      <c r="BQ321" s="46"/>
      <c r="BU321" s="47">
        <f t="shared" si="210"/>
        <v>0</v>
      </c>
      <c r="BV321" s="53" t="s">
        <v>585</v>
      </c>
      <c r="BW321" s="53" t="s">
        <v>932</v>
      </c>
      <c r="BX321" s="53" t="s">
        <v>804</v>
      </c>
      <c r="BY321" s="53"/>
      <c r="BZ321" s="53"/>
    </row>
    <row r="322" spans="1:78">
      <c r="A322" s="42" t="s">
        <v>586</v>
      </c>
      <c r="B322" s="28" t="s">
        <v>79</v>
      </c>
      <c r="C322" s="28" t="s">
        <v>80</v>
      </c>
      <c r="D322" s="28" t="s">
        <v>932</v>
      </c>
      <c r="F322" s="28" t="s">
        <v>901</v>
      </c>
      <c r="G322" s="44" t="s">
        <v>805</v>
      </c>
      <c r="H322" s="45">
        <v>45042</v>
      </c>
      <c r="I322" s="46" t="s">
        <v>1006</v>
      </c>
      <c r="J322" s="28">
        <v>2</v>
      </c>
      <c r="K322" s="28" t="s">
        <v>93</v>
      </c>
      <c r="L322" s="28" t="s">
        <v>873</v>
      </c>
      <c r="M322" s="28" t="s">
        <v>0</v>
      </c>
      <c r="N322" s="28" t="str">
        <f t="shared" si="179"/>
        <v>AE2</v>
      </c>
      <c r="O322" s="81"/>
      <c r="P322" s="81">
        <f t="shared" si="180"/>
        <v>0</v>
      </c>
      <c r="Q322" s="81">
        <f t="shared" si="181"/>
        <v>0</v>
      </c>
      <c r="R322" s="81">
        <f t="shared" si="182"/>
        <v>0</v>
      </c>
      <c r="S322" s="81"/>
      <c r="T322" s="82">
        <f t="shared" si="183"/>
        <v>0</v>
      </c>
      <c r="U322" s="82">
        <f t="shared" si="184"/>
        <v>0</v>
      </c>
      <c r="V322" s="82">
        <f t="shared" si="185"/>
        <v>0</v>
      </c>
      <c r="W322" s="83">
        <v>0</v>
      </c>
      <c r="X322" s="83">
        <v>0</v>
      </c>
      <c r="Y322" s="83">
        <v>0</v>
      </c>
      <c r="Z322" s="84">
        <f>ROUND((IF(($O322&lt;=700000),0,IF(((VLOOKUP($M322,'Loyalty - Effec - 15July'!$B$5:$C$17,2,0)*$O322)&lt;=120000),(VLOOKUP($M322,'Loyalty - Effec - 15July'!$B$5:$C$17,2,0)*$O322),120000))),0)</f>
        <v>0</v>
      </c>
      <c r="AA322" s="84">
        <f>ROUND(VLOOKUP($M322,'Loyalty - Effec - 15July'!$B$5:$D$17,3,0)*$O322,0)</f>
        <v>0</v>
      </c>
      <c r="AB322" s="85">
        <f t="shared" si="186"/>
        <v>0</v>
      </c>
      <c r="AC322" s="86">
        <f t="shared" si="187"/>
        <v>0</v>
      </c>
      <c r="AD322" s="87">
        <f t="shared" si="188"/>
        <v>0</v>
      </c>
      <c r="AE322" s="88">
        <f t="shared" si="189"/>
        <v>0</v>
      </c>
      <c r="AF322" s="88">
        <f t="shared" si="190"/>
        <v>0</v>
      </c>
      <c r="AG322" s="49" t="s">
        <v>703</v>
      </c>
      <c r="AH322" s="49" t="s">
        <v>200</v>
      </c>
      <c r="AI322" s="50"/>
      <c r="AJ322" s="46"/>
      <c r="AK322" s="46"/>
      <c r="AL322" s="46"/>
      <c r="AM322" s="51">
        <f>IF($AL322=4,VLOOKUP($AR322,'Loyalty Incentive v1'!$L$3:$Q$15,2,FALSE),
IF($AL322=3,VLOOKUP($AR322,'Loyalty Incentive v1'!$L$3:$Q$15,3,FALSE),
IF($AL322=2,VLOOKUP($AR322,'Loyalty Incentive v1'!$L$3:$Q$15,4,FALSE),
IF($AL322=1,VLOOKUP($AR322,'Loyalty Incentive v1'!$L$3:$Q$15,5,FALSE),
IF($AL322=0,VLOOKUP($AR322,'Loyalty Incentive v1'!$L$3:$Q$15,6,FALSE),0)))))</f>
        <v>0</v>
      </c>
      <c r="AN322" s="51">
        <f>IFERROR(IF(I322&gt;="1",AM322,VLOOKUP(VALUE(I322),'Loyalty - Effec - 15July'!$I$5:$J$16,2,0)*AM322),0)</f>
        <v>0</v>
      </c>
      <c r="AO322" s="51">
        <v>0</v>
      </c>
      <c r="AP322" s="51">
        <f t="shared" si="191"/>
        <v>0</v>
      </c>
      <c r="AQ322" s="46" t="str">
        <f t="shared" si="203"/>
        <v>No</v>
      </c>
      <c r="AR322" s="46" t="str">
        <f t="shared" si="204"/>
        <v>AE2</v>
      </c>
      <c r="AS322" s="46" t="b">
        <f t="shared" si="205"/>
        <v>1</v>
      </c>
      <c r="AT322" s="82">
        <f t="shared" si="209"/>
        <v>0</v>
      </c>
      <c r="AU322" s="81">
        <f t="shared" si="192"/>
        <v>0</v>
      </c>
      <c r="AV322" s="81">
        <f t="shared" si="193"/>
        <v>0</v>
      </c>
      <c r="AW322" s="81">
        <f t="shared" si="194"/>
        <v>0</v>
      </c>
      <c r="AX322" s="85"/>
      <c r="AY322" s="81">
        <f t="shared" si="195"/>
        <v>0</v>
      </c>
      <c r="AZ322" s="83">
        <f t="shared" si="196"/>
        <v>0</v>
      </c>
      <c r="BA322" s="81">
        <f t="shared" si="197"/>
        <v>0</v>
      </c>
      <c r="BB322" s="83">
        <v>0</v>
      </c>
      <c r="BC322" s="83">
        <v>0</v>
      </c>
      <c r="BD322" s="83">
        <v>0</v>
      </c>
      <c r="BE322" s="84">
        <f>ROUND((IF(($AT322&lt;=700000),0,IF(((VLOOKUP($AR322,'Loyalty - Effec - 15July'!$B$5:$C$17,2,0)*$AT322)&lt;=120000),(VLOOKUP($AR322,'Loyalty - Effec - 15July'!$B$5:$C$17,2,0)*$AT322),120000))),0)</f>
        <v>0</v>
      </c>
      <c r="BF322" s="83">
        <f>ROUND(VLOOKUP($AR322,'Loyalty - Effec - 15July'!$B$5:$D$17,3,0)*$AT322,0)</f>
        <v>0</v>
      </c>
      <c r="BG322" s="85">
        <f t="shared" si="198"/>
        <v>0</v>
      </c>
      <c r="BH322" s="83">
        <f t="shared" si="199"/>
        <v>0</v>
      </c>
      <c r="BI322" s="85">
        <f t="shared" si="202"/>
        <v>0</v>
      </c>
      <c r="BJ322" s="85">
        <f t="shared" si="200"/>
        <v>0</v>
      </c>
      <c r="BK322" s="85">
        <f t="shared" si="201"/>
        <v>0</v>
      </c>
      <c r="BL322" s="85">
        <f t="shared" si="206"/>
        <v>0</v>
      </c>
      <c r="BM322" s="85">
        <f t="shared" si="207"/>
        <v>0</v>
      </c>
      <c r="BN322" s="85">
        <f t="shared" si="208"/>
        <v>0</v>
      </c>
      <c r="BO322" s="46" t="s">
        <v>85</v>
      </c>
      <c r="BP322" s="46"/>
      <c r="BQ322" s="46"/>
      <c r="BU322" s="47">
        <f t="shared" si="210"/>
        <v>0</v>
      </c>
      <c r="BV322" s="53" t="s">
        <v>586</v>
      </c>
      <c r="BW322" s="53" t="s">
        <v>932</v>
      </c>
      <c r="BX322" s="53" t="s">
        <v>805</v>
      </c>
      <c r="BY322" s="53"/>
      <c r="BZ322" s="53"/>
    </row>
    <row r="323" spans="1:78">
      <c r="A323" s="42" t="s">
        <v>587</v>
      </c>
      <c r="B323" s="28" t="s">
        <v>79</v>
      </c>
      <c r="C323" s="28" t="s">
        <v>80</v>
      </c>
      <c r="D323" s="28" t="s">
        <v>932</v>
      </c>
      <c r="F323" s="28" t="s">
        <v>901</v>
      </c>
      <c r="G323" s="44" t="s">
        <v>806</v>
      </c>
      <c r="H323" s="45">
        <v>45042</v>
      </c>
      <c r="I323" s="46" t="s">
        <v>1006</v>
      </c>
      <c r="J323" s="28">
        <v>2</v>
      </c>
      <c r="K323" s="28" t="s">
        <v>93</v>
      </c>
      <c r="L323" s="28" t="s">
        <v>873</v>
      </c>
      <c r="M323" s="28" t="s">
        <v>2</v>
      </c>
      <c r="N323" s="28" t="str">
        <f t="shared" si="179"/>
        <v>AE4</v>
      </c>
      <c r="O323" s="81"/>
      <c r="P323" s="81">
        <f t="shared" si="180"/>
        <v>0</v>
      </c>
      <c r="Q323" s="81">
        <f t="shared" si="181"/>
        <v>0</v>
      </c>
      <c r="R323" s="81">
        <f t="shared" si="182"/>
        <v>0</v>
      </c>
      <c r="S323" s="81"/>
      <c r="T323" s="82">
        <f t="shared" si="183"/>
        <v>0</v>
      </c>
      <c r="U323" s="82">
        <f t="shared" si="184"/>
        <v>0</v>
      </c>
      <c r="V323" s="82">
        <f t="shared" si="185"/>
        <v>0</v>
      </c>
      <c r="W323" s="83">
        <v>0</v>
      </c>
      <c r="X323" s="83">
        <v>0</v>
      </c>
      <c r="Y323" s="83">
        <v>0</v>
      </c>
      <c r="Z323" s="84">
        <f>ROUND((IF(($O323&lt;=700000),0,IF(((VLOOKUP($M323,'Loyalty - Effec - 15July'!$B$5:$C$17,2,0)*$O323)&lt;=120000),(VLOOKUP($M323,'Loyalty - Effec - 15July'!$B$5:$C$17,2,0)*$O323),120000))),0)</f>
        <v>0</v>
      </c>
      <c r="AA323" s="84">
        <f>ROUND(VLOOKUP($M323,'Loyalty - Effec - 15July'!$B$5:$D$17,3,0)*$O323,0)</f>
        <v>0</v>
      </c>
      <c r="AB323" s="85">
        <f t="shared" si="186"/>
        <v>0</v>
      </c>
      <c r="AC323" s="86">
        <f t="shared" si="187"/>
        <v>0</v>
      </c>
      <c r="AD323" s="87">
        <f t="shared" si="188"/>
        <v>0</v>
      </c>
      <c r="AE323" s="88">
        <f t="shared" si="189"/>
        <v>0</v>
      </c>
      <c r="AF323" s="88">
        <f t="shared" si="190"/>
        <v>0</v>
      </c>
      <c r="AG323" s="49" t="s">
        <v>920</v>
      </c>
      <c r="AH323" s="49" t="s">
        <v>120</v>
      </c>
      <c r="AI323" s="50"/>
      <c r="AJ323" s="46"/>
      <c r="AK323" s="46"/>
      <c r="AL323" s="46"/>
      <c r="AM323" s="51">
        <f>IF($AL323=4,VLOOKUP($AR323,'Loyalty Incentive v1'!$L$3:$Q$15,2,FALSE),
IF($AL323=3,VLOOKUP($AR323,'Loyalty Incentive v1'!$L$3:$Q$15,3,FALSE),
IF($AL323=2,VLOOKUP($AR323,'Loyalty Incentive v1'!$L$3:$Q$15,4,FALSE),
IF($AL323=1,VLOOKUP($AR323,'Loyalty Incentive v1'!$L$3:$Q$15,5,FALSE),
IF($AL323=0,VLOOKUP($AR323,'Loyalty Incentive v1'!$L$3:$Q$15,6,FALSE),0)))))</f>
        <v>0</v>
      </c>
      <c r="AN323" s="51">
        <f>IFERROR(IF(I323&gt;="1",AM323,VLOOKUP(VALUE(I323),'Loyalty - Effec - 15July'!$I$5:$J$16,2,0)*AM323),0)</f>
        <v>0</v>
      </c>
      <c r="AO323" s="51">
        <v>0</v>
      </c>
      <c r="AP323" s="51">
        <f t="shared" si="191"/>
        <v>0</v>
      </c>
      <c r="AQ323" s="46" t="str">
        <f t="shared" si="203"/>
        <v>No</v>
      </c>
      <c r="AR323" s="46" t="str">
        <f t="shared" si="204"/>
        <v>AE4</v>
      </c>
      <c r="AS323" s="46" t="b">
        <f t="shared" si="205"/>
        <v>1</v>
      </c>
      <c r="AT323" s="82">
        <f t="shared" si="209"/>
        <v>0</v>
      </c>
      <c r="AU323" s="81">
        <f t="shared" si="192"/>
        <v>0</v>
      </c>
      <c r="AV323" s="81">
        <f t="shared" si="193"/>
        <v>0</v>
      </c>
      <c r="AW323" s="81">
        <f t="shared" si="194"/>
        <v>0</v>
      </c>
      <c r="AX323" s="85"/>
      <c r="AY323" s="81">
        <f t="shared" si="195"/>
        <v>0</v>
      </c>
      <c r="AZ323" s="83">
        <f t="shared" si="196"/>
        <v>0</v>
      </c>
      <c r="BA323" s="81">
        <f t="shared" si="197"/>
        <v>0</v>
      </c>
      <c r="BB323" s="83">
        <v>0</v>
      </c>
      <c r="BC323" s="83">
        <v>0</v>
      </c>
      <c r="BD323" s="83">
        <v>0</v>
      </c>
      <c r="BE323" s="84">
        <f>ROUND((IF(($AT323&lt;=700000),0,IF(((VLOOKUP($AR323,'Loyalty - Effec - 15July'!$B$5:$C$17,2,0)*$AT323)&lt;=120000),(VLOOKUP($AR323,'Loyalty - Effec - 15July'!$B$5:$C$17,2,0)*$AT323),120000))),0)</f>
        <v>0</v>
      </c>
      <c r="BF323" s="83">
        <f>ROUND(VLOOKUP($AR323,'Loyalty - Effec - 15July'!$B$5:$D$17,3,0)*$AT323,0)</f>
        <v>0</v>
      </c>
      <c r="BG323" s="85">
        <f t="shared" si="198"/>
        <v>0</v>
      </c>
      <c r="BH323" s="83">
        <f t="shared" si="199"/>
        <v>0</v>
      </c>
      <c r="BI323" s="85">
        <f t="shared" si="202"/>
        <v>0</v>
      </c>
      <c r="BJ323" s="85">
        <f t="shared" si="200"/>
        <v>0</v>
      </c>
      <c r="BK323" s="85">
        <f t="shared" si="201"/>
        <v>0</v>
      </c>
      <c r="BL323" s="85">
        <f t="shared" si="206"/>
        <v>0</v>
      </c>
      <c r="BM323" s="85">
        <f t="shared" si="207"/>
        <v>0</v>
      </c>
      <c r="BN323" s="85">
        <f t="shared" si="208"/>
        <v>0</v>
      </c>
      <c r="BO323" s="46" t="s">
        <v>85</v>
      </c>
      <c r="BP323" s="46"/>
      <c r="BQ323" s="46"/>
      <c r="BU323" s="47">
        <f t="shared" si="210"/>
        <v>0</v>
      </c>
      <c r="BV323" s="53" t="s">
        <v>587</v>
      </c>
      <c r="BW323" s="53" t="s">
        <v>932</v>
      </c>
      <c r="BX323" s="53" t="s">
        <v>806</v>
      </c>
      <c r="BY323" s="53"/>
      <c r="BZ323" s="53"/>
    </row>
    <row r="324" spans="1:78">
      <c r="A324" s="42" t="s">
        <v>588</v>
      </c>
      <c r="B324" s="28" t="s">
        <v>79</v>
      </c>
      <c r="C324" s="28" t="s">
        <v>80</v>
      </c>
      <c r="D324" s="28" t="s">
        <v>932</v>
      </c>
      <c r="F324" s="28" t="s">
        <v>901</v>
      </c>
      <c r="G324" s="44" t="s">
        <v>807</v>
      </c>
      <c r="H324" s="45">
        <v>45042</v>
      </c>
      <c r="I324" s="46" t="s">
        <v>1006</v>
      </c>
      <c r="J324" s="28">
        <v>2</v>
      </c>
      <c r="K324" s="28" t="s">
        <v>93</v>
      </c>
      <c r="L324" s="28" t="s">
        <v>873</v>
      </c>
      <c r="M324" s="28" t="s">
        <v>0</v>
      </c>
      <c r="N324" s="28" t="str">
        <f t="shared" si="179"/>
        <v>AE2</v>
      </c>
      <c r="O324" s="81"/>
      <c r="P324" s="81">
        <f t="shared" si="180"/>
        <v>0</v>
      </c>
      <c r="Q324" s="81">
        <f t="shared" si="181"/>
        <v>0</v>
      </c>
      <c r="R324" s="81">
        <f t="shared" si="182"/>
        <v>0</v>
      </c>
      <c r="S324" s="81"/>
      <c r="T324" s="82">
        <f t="shared" si="183"/>
        <v>0</v>
      </c>
      <c r="U324" s="82">
        <f t="shared" si="184"/>
        <v>0</v>
      </c>
      <c r="V324" s="82">
        <f t="shared" si="185"/>
        <v>0</v>
      </c>
      <c r="W324" s="83">
        <v>0</v>
      </c>
      <c r="X324" s="83">
        <v>0</v>
      </c>
      <c r="Y324" s="83">
        <v>0</v>
      </c>
      <c r="Z324" s="84">
        <f>ROUND((IF(($O324&lt;=700000),0,IF(((VLOOKUP($M324,'Loyalty - Effec - 15July'!$B$5:$C$17,2,0)*$O324)&lt;=120000),(VLOOKUP($M324,'Loyalty - Effec - 15July'!$B$5:$C$17,2,0)*$O324),120000))),0)</f>
        <v>0</v>
      </c>
      <c r="AA324" s="84">
        <f>ROUND(VLOOKUP($M324,'Loyalty - Effec - 15July'!$B$5:$D$17,3,0)*$O324,0)</f>
        <v>0</v>
      </c>
      <c r="AB324" s="85">
        <f t="shared" si="186"/>
        <v>0</v>
      </c>
      <c r="AC324" s="86">
        <f t="shared" si="187"/>
        <v>0</v>
      </c>
      <c r="AD324" s="87">
        <f t="shared" si="188"/>
        <v>0</v>
      </c>
      <c r="AE324" s="88">
        <f t="shared" si="189"/>
        <v>0</v>
      </c>
      <c r="AF324" s="88">
        <f t="shared" si="190"/>
        <v>0</v>
      </c>
      <c r="AG324" s="49" t="s">
        <v>703</v>
      </c>
      <c r="AH324" s="49" t="s">
        <v>200</v>
      </c>
      <c r="AI324" s="50"/>
      <c r="AJ324" s="46"/>
      <c r="AK324" s="46"/>
      <c r="AL324" s="46"/>
      <c r="AM324" s="51">
        <f>IF($AL324=4,VLOOKUP($AR324,'Loyalty Incentive v1'!$L$3:$Q$15,2,FALSE),
IF($AL324=3,VLOOKUP($AR324,'Loyalty Incentive v1'!$L$3:$Q$15,3,FALSE),
IF($AL324=2,VLOOKUP($AR324,'Loyalty Incentive v1'!$L$3:$Q$15,4,FALSE),
IF($AL324=1,VLOOKUP($AR324,'Loyalty Incentive v1'!$L$3:$Q$15,5,FALSE),
IF($AL324=0,VLOOKUP($AR324,'Loyalty Incentive v1'!$L$3:$Q$15,6,FALSE),0)))))</f>
        <v>0</v>
      </c>
      <c r="AN324" s="51">
        <f>IFERROR(IF(I324&gt;="1",AM324,VLOOKUP(VALUE(I324),'Loyalty - Effec - 15July'!$I$5:$J$16,2,0)*AM324),0)</f>
        <v>0</v>
      </c>
      <c r="AO324" s="51">
        <v>0</v>
      </c>
      <c r="AP324" s="51">
        <f t="shared" si="191"/>
        <v>0</v>
      </c>
      <c r="AQ324" s="46" t="str">
        <f t="shared" si="203"/>
        <v>No</v>
      </c>
      <c r="AR324" s="46" t="str">
        <f t="shared" si="204"/>
        <v>AE2</v>
      </c>
      <c r="AS324" s="46" t="b">
        <f t="shared" si="205"/>
        <v>1</v>
      </c>
      <c r="AT324" s="82">
        <f t="shared" si="209"/>
        <v>0</v>
      </c>
      <c r="AU324" s="81">
        <f t="shared" si="192"/>
        <v>0</v>
      </c>
      <c r="AV324" s="81">
        <f t="shared" si="193"/>
        <v>0</v>
      </c>
      <c r="AW324" s="81">
        <f t="shared" si="194"/>
        <v>0</v>
      </c>
      <c r="AX324" s="85"/>
      <c r="AY324" s="81">
        <f t="shared" si="195"/>
        <v>0</v>
      </c>
      <c r="AZ324" s="83">
        <f t="shared" si="196"/>
        <v>0</v>
      </c>
      <c r="BA324" s="81">
        <f t="shared" si="197"/>
        <v>0</v>
      </c>
      <c r="BB324" s="83">
        <v>0</v>
      </c>
      <c r="BC324" s="83">
        <v>0</v>
      </c>
      <c r="BD324" s="83">
        <v>0</v>
      </c>
      <c r="BE324" s="84">
        <f>ROUND((IF(($AT324&lt;=700000),0,IF(((VLOOKUP($AR324,'Loyalty - Effec - 15July'!$B$5:$C$17,2,0)*$AT324)&lt;=120000),(VLOOKUP($AR324,'Loyalty - Effec - 15July'!$B$5:$C$17,2,0)*$AT324),120000))),0)</f>
        <v>0</v>
      </c>
      <c r="BF324" s="83">
        <f>ROUND(VLOOKUP($AR324,'Loyalty - Effec - 15July'!$B$5:$D$17,3,0)*$AT324,0)</f>
        <v>0</v>
      </c>
      <c r="BG324" s="85">
        <f t="shared" si="198"/>
        <v>0</v>
      </c>
      <c r="BH324" s="83">
        <f t="shared" si="199"/>
        <v>0</v>
      </c>
      <c r="BI324" s="85">
        <f t="shared" si="202"/>
        <v>0</v>
      </c>
      <c r="BJ324" s="85">
        <f t="shared" si="200"/>
        <v>0</v>
      </c>
      <c r="BK324" s="85">
        <f t="shared" si="201"/>
        <v>0</v>
      </c>
      <c r="BL324" s="85">
        <f t="shared" si="206"/>
        <v>0</v>
      </c>
      <c r="BM324" s="85">
        <f t="shared" si="207"/>
        <v>0</v>
      </c>
      <c r="BN324" s="85">
        <f t="shared" si="208"/>
        <v>0</v>
      </c>
      <c r="BO324" s="46" t="s">
        <v>85</v>
      </c>
      <c r="BP324" s="46"/>
      <c r="BQ324" s="46"/>
      <c r="BU324" s="47">
        <f t="shared" si="210"/>
        <v>0</v>
      </c>
      <c r="BV324" s="53" t="s">
        <v>588</v>
      </c>
      <c r="BW324" s="53" t="s">
        <v>932</v>
      </c>
      <c r="BX324" s="53" t="s">
        <v>807</v>
      </c>
      <c r="BY324" s="53"/>
      <c r="BZ324" s="53"/>
    </row>
    <row r="325" spans="1:78">
      <c r="A325" s="42" t="s">
        <v>589</v>
      </c>
      <c r="B325" s="28" t="s">
        <v>79</v>
      </c>
      <c r="C325" s="28" t="s">
        <v>80</v>
      </c>
      <c r="D325" s="28" t="s">
        <v>932</v>
      </c>
      <c r="F325" s="28" t="s">
        <v>901</v>
      </c>
      <c r="G325" s="44" t="s">
        <v>808</v>
      </c>
      <c r="H325" s="45">
        <v>45042</v>
      </c>
      <c r="I325" s="46" t="s">
        <v>1006</v>
      </c>
      <c r="J325" s="28">
        <v>2</v>
      </c>
      <c r="K325" s="28" t="s">
        <v>93</v>
      </c>
      <c r="L325" s="28" t="s">
        <v>873</v>
      </c>
      <c r="M325" s="28" t="s">
        <v>2</v>
      </c>
      <c r="N325" s="28" t="str">
        <f t="shared" si="179"/>
        <v>AE4</v>
      </c>
      <c r="O325" s="81"/>
      <c r="P325" s="81">
        <f t="shared" si="180"/>
        <v>0</v>
      </c>
      <c r="Q325" s="81">
        <f t="shared" si="181"/>
        <v>0</v>
      </c>
      <c r="R325" s="81">
        <f t="shared" si="182"/>
        <v>0</v>
      </c>
      <c r="S325" s="81"/>
      <c r="T325" s="82">
        <f t="shared" si="183"/>
        <v>0</v>
      </c>
      <c r="U325" s="82">
        <f t="shared" si="184"/>
        <v>0</v>
      </c>
      <c r="V325" s="82">
        <f t="shared" si="185"/>
        <v>0</v>
      </c>
      <c r="W325" s="83">
        <v>0</v>
      </c>
      <c r="X325" s="83">
        <v>0</v>
      </c>
      <c r="Y325" s="83">
        <v>0</v>
      </c>
      <c r="Z325" s="84">
        <f>ROUND((IF(($O325&lt;=700000),0,IF(((VLOOKUP($M325,'Loyalty - Effec - 15July'!$B$5:$C$17,2,0)*$O325)&lt;=120000),(VLOOKUP($M325,'Loyalty - Effec - 15July'!$B$5:$C$17,2,0)*$O325),120000))),0)</f>
        <v>0</v>
      </c>
      <c r="AA325" s="84">
        <f>ROUND(VLOOKUP($M325,'Loyalty - Effec - 15July'!$B$5:$D$17,3,0)*$O325,0)</f>
        <v>0</v>
      </c>
      <c r="AB325" s="85">
        <f t="shared" si="186"/>
        <v>0</v>
      </c>
      <c r="AC325" s="86">
        <f t="shared" si="187"/>
        <v>0</v>
      </c>
      <c r="AD325" s="87">
        <f t="shared" si="188"/>
        <v>0</v>
      </c>
      <c r="AE325" s="88">
        <f t="shared" si="189"/>
        <v>0</v>
      </c>
      <c r="AF325" s="88">
        <f t="shared" si="190"/>
        <v>0</v>
      </c>
      <c r="AG325" s="49" t="s">
        <v>920</v>
      </c>
      <c r="AH325" s="49" t="s">
        <v>120</v>
      </c>
      <c r="AI325" s="50"/>
      <c r="AJ325" s="46"/>
      <c r="AK325" s="46"/>
      <c r="AL325" s="46"/>
      <c r="AM325" s="51">
        <f>IF($AL325=4,VLOOKUP($AR325,'Loyalty Incentive v1'!$L$3:$Q$15,2,FALSE),
IF($AL325=3,VLOOKUP($AR325,'Loyalty Incentive v1'!$L$3:$Q$15,3,FALSE),
IF($AL325=2,VLOOKUP($AR325,'Loyalty Incentive v1'!$L$3:$Q$15,4,FALSE),
IF($AL325=1,VLOOKUP($AR325,'Loyalty Incentive v1'!$L$3:$Q$15,5,FALSE),
IF($AL325=0,VLOOKUP($AR325,'Loyalty Incentive v1'!$L$3:$Q$15,6,FALSE),0)))))</f>
        <v>0</v>
      </c>
      <c r="AN325" s="51">
        <f>IFERROR(IF(I325&gt;="1",AM325,VLOOKUP(VALUE(I325),'Loyalty - Effec - 15July'!$I$5:$J$16,2,0)*AM325),0)</f>
        <v>0</v>
      </c>
      <c r="AO325" s="51">
        <v>0</v>
      </c>
      <c r="AP325" s="51">
        <f t="shared" si="191"/>
        <v>0</v>
      </c>
      <c r="AQ325" s="46" t="str">
        <f t="shared" si="203"/>
        <v>No</v>
      </c>
      <c r="AR325" s="46" t="str">
        <f t="shared" si="204"/>
        <v>AE4</v>
      </c>
      <c r="AS325" s="46" t="b">
        <f t="shared" si="205"/>
        <v>1</v>
      </c>
      <c r="AT325" s="82">
        <f t="shared" si="209"/>
        <v>0</v>
      </c>
      <c r="AU325" s="81">
        <f t="shared" si="192"/>
        <v>0</v>
      </c>
      <c r="AV325" s="81">
        <f t="shared" si="193"/>
        <v>0</v>
      </c>
      <c r="AW325" s="81">
        <f t="shared" si="194"/>
        <v>0</v>
      </c>
      <c r="AX325" s="85"/>
      <c r="AY325" s="81">
        <f t="shared" si="195"/>
        <v>0</v>
      </c>
      <c r="AZ325" s="83">
        <f t="shared" si="196"/>
        <v>0</v>
      </c>
      <c r="BA325" s="81">
        <f t="shared" si="197"/>
        <v>0</v>
      </c>
      <c r="BB325" s="83">
        <v>0</v>
      </c>
      <c r="BC325" s="83">
        <v>0</v>
      </c>
      <c r="BD325" s="83">
        <v>0</v>
      </c>
      <c r="BE325" s="84">
        <f>ROUND((IF(($AT325&lt;=700000),0,IF(((VLOOKUP($AR325,'Loyalty - Effec - 15July'!$B$5:$C$17,2,0)*$AT325)&lt;=120000),(VLOOKUP($AR325,'Loyalty - Effec - 15July'!$B$5:$C$17,2,0)*$AT325),120000))),0)</f>
        <v>0</v>
      </c>
      <c r="BF325" s="83">
        <f>ROUND(VLOOKUP($AR325,'Loyalty - Effec - 15July'!$B$5:$D$17,3,0)*$AT325,0)</f>
        <v>0</v>
      </c>
      <c r="BG325" s="85">
        <f t="shared" si="198"/>
        <v>0</v>
      </c>
      <c r="BH325" s="83">
        <f t="shared" si="199"/>
        <v>0</v>
      </c>
      <c r="BI325" s="85">
        <f t="shared" si="202"/>
        <v>0</v>
      </c>
      <c r="BJ325" s="85">
        <f t="shared" si="200"/>
        <v>0</v>
      </c>
      <c r="BK325" s="85">
        <f t="shared" si="201"/>
        <v>0</v>
      </c>
      <c r="BL325" s="85">
        <f t="shared" si="206"/>
        <v>0</v>
      </c>
      <c r="BM325" s="85">
        <f t="shared" si="207"/>
        <v>0</v>
      </c>
      <c r="BN325" s="85">
        <f t="shared" si="208"/>
        <v>0</v>
      </c>
      <c r="BO325" s="46" t="s">
        <v>85</v>
      </c>
      <c r="BP325" s="46"/>
      <c r="BQ325" s="46"/>
      <c r="BU325" s="47">
        <f t="shared" si="210"/>
        <v>0</v>
      </c>
      <c r="BV325" s="53" t="s">
        <v>589</v>
      </c>
      <c r="BW325" s="53" t="s">
        <v>932</v>
      </c>
      <c r="BX325" s="53" t="s">
        <v>808</v>
      </c>
      <c r="BY325" s="53"/>
      <c r="BZ325" s="53"/>
    </row>
    <row r="326" spans="1:78">
      <c r="A326" s="42" t="s">
        <v>590</v>
      </c>
      <c r="B326" s="28" t="s">
        <v>79</v>
      </c>
      <c r="C326" s="28" t="s">
        <v>80</v>
      </c>
      <c r="D326" s="28" t="s">
        <v>932</v>
      </c>
      <c r="F326" s="28" t="s">
        <v>901</v>
      </c>
      <c r="G326" s="44" t="s">
        <v>809</v>
      </c>
      <c r="H326" s="45">
        <v>45049</v>
      </c>
      <c r="I326" s="46" t="s">
        <v>1007</v>
      </c>
      <c r="J326" s="28">
        <v>2</v>
      </c>
      <c r="K326" s="28" t="s">
        <v>415</v>
      </c>
      <c r="L326" s="28" t="s">
        <v>84</v>
      </c>
      <c r="M326" s="28" t="s">
        <v>10</v>
      </c>
      <c r="N326" s="28" t="str">
        <f t="shared" si="179"/>
        <v>E3</v>
      </c>
      <c r="O326" s="81"/>
      <c r="P326" s="81">
        <f t="shared" si="180"/>
        <v>0</v>
      </c>
      <c r="Q326" s="81">
        <f t="shared" si="181"/>
        <v>0</v>
      </c>
      <c r="R326" s="81">
        <f t="shared" si="182"/>
        <v>0</v>
      </c>
      <c r="S326" s="81"/>
      <c r="T326" s="82">
        <f t="shared" si="183"/>
        <v>0</v>
      </c>
      <c r="U326" s="82">
        <f t="shared" si="184"/>
        <v>0</v>
      </c>
      <c r="V326" s="82">
        <f t="shared" si="185"/>
        <v>0</v>
      </c>
      <c r="W326" s="83">
        <v>0</v>
      </c>
      <c r="X326" s="83">
        <v>0</v>
      </c>
      <c r="Y326" s="83">
        <v>0</v>
      </c>
      <c r="Z326" s="84">
        <f>ROUND((IF(($O326&lt;=700000),0,IF(((VLOOKUP($M326,'Loyalty - Effec - 15July'!$B$5:$C$17,2,0)*$O326)&lt;=120000),(VLOOKUP($M326,'Loyalty - Effec - 15July'!$B$5:$C$17,2,0)*$O326),120000))),0)</f>
        <v>0</v>
      </c>
      <c r="AA326" s="84">
        <f>ROUND(VLOOKUP($M326,'Loyalty - Effec - 15July'!$B$5:$D$17,3,0)*$O326,0)</f>
        <v>0</v>
      </c>
      <c r="AB326" s="85">
        <f t="shared" si="186"/>
        <v>0</v>
      </c>
      <c r="AC326" s="86">
        <f t="shared" si="187"/>
        <v>0</v>
      </c>
      <c r="AD326" s="87">
        <f t="shared" si="188"/>
        <v>0</v>
      </c>
      <c r="AE326" s="88">
        <f t="shared" si="189"/>
        <v>0</v>
      </c>
      <c r="AF326" s="88">
        <f t="shared" si="190"/>
        <v>0</v>
      </c>
      <c r="AG326" s="49" t="s">
        <v>83</v>
      </c>
      <c r="AH326" s="49" t="s">
        <v>904</v>
      </c>
      <c r="AI326" s="50"/>
      <c r="AJ326" s="46"/>
      <c r="AK326" s="46"/>
      <c r="AL326" s="46"/>
      <c r="AM326" s="51">
        <f>IF($AL326=4,VLOOKUP($AR326,'Loyalty Incentive v1'!$L$3:$Q$15,2,FALSE),
IF($AL326=3,VLOOKUP($AR326,'Loyalty Incentive v1'!$L$3:$Q$15,3,FALSE),
IF($AL326=2,VLOOKUP($AR326,'Loyalty Incentive v1'!$L$3:$Q$15,4,FALSE),
IF($AL326=1,VLOOKUP($AR326,'Loyalty Incentive v1'!$L$3:$Q$15,5,FALSE),
IF($AL326=0,VLOOKUP($AR326,'Loyalty Incentive v1'!$L$3:$Q$15,6,FALSE),0)))))</f>
        <v>0</v>
      </c>
      <c r="AN326" s="51">
        <f>IFERROR(IF(I326&gt;="1",AM326,VLOOKUP(VALUE(I326),'Loyalty - Effec - 15July'!$I$5:$J$16,2,0)*AM326),0)</f>
        <v>0</v>
      </c>
      <c r="AO326" s="51">
        <v>0</v>
      </c>
      <c r="AP326" s="51">
        <f t="shared" si="191"/>
        <v>0</v>
      </c>
      <c r="AQ326" s="46" t="str">
        <f t="shared" si="203"/>
        <v>No</v>
      </c>
      <c r="AR326" s="46" t="str">
        <f t="shared" si="204"/>
        <v>E3</v>
      </c>
      <c r="AS326" s="46" t="b">
        <f t="shared" si="205"/>
        <v>1</v>
      </c>
      <c r="AT326" s="82">
        <f t="shared" si="209"/>
        <v>0</v>
      </c>
      <c r="AU326" s="81">
        <f t="shared" si="192"/>
        <v>0</v>
      </c>
      <c r="AV326" s="81">
        <f t="shared" si="193"/>
        <v>0</v>
      </c>
      <c r="AW326" s="81">
        <f t="shared" si="194"/>
        <v>0</v>
      </c>
      <c r="AX326" s="85"/>
      <c r="AY326" s="81">
        <f t="shared" si="195"/>
        <v>0</v>
      </c>
      <c r="AZ326" s="83">
        <f t="shared" si="196"/>
        <v>0</v>
      </c>
      <c r="BA326" s="81">
        <f t="shared" si="197"/>
        <v>0</v>
      </c>
      <c r="BB326" s="83">
        <v>0</v>
      </c>
      <c r="BC326" s="83">
        <v>0</v>
      </c>
      <c r="BD326" s="83">
        <v>0</v>
      </c>
      <c r="BE326" s="84">
        <f>ROUND((IF(($AT326&lt;=700000),0,IF(((VLOOKUP($AR326,'Loyalty - Effec - 15July'!$B$5:$C$17,2,0)*$AT326)&lt;=120000),(VLOOKUP($AR326,'Loyalty - Effec - 15July'!$B$5:$C$17,2,0)*$AT326),120000))),0)</f>
        <v>0</v>
      </c>
      <c r="BF326" s="83">
        <f>ROUND(VLOOKUP($AR326,'Loyalty - Effec - 15July'!$B$5:$D$17,3,0)*$AT326,0)</f>
        <v>0</v>
      </c>
      <c r="BG326" s="85">
        <f t="shared" si="198"/>
        <v>0</v>
      </c>
      <c r="BH326" s="83">
        <f t="shared" si="199"/>
        <v>0</v>
      </c>
      <c r="BI326" s="85">
        <f t="shared" si="202"/>
        <v>0</v>
      </c>
      <c r="BJ326" s="85">
        <f t="shared" si="200"/>
        <v>0</v>
      </c>
      <c r="BK326" s="85">
        <f t="shared" si="201"/>
        <v>0</v>
      </c>
      <c r="BL326" s="85">
        <f t="shared" si="206"/>
        <v>0</v>
      </c>
      <c r="BM326" s="85">
        <f t="shared" si="207"/>
        <v>0</v>
      </c>
      <c r="BN326" s="85">
        <f t="shared" si="208"/>
        <v>0</v>
      </c>
      <c r="BO326" s="46" t="s">
        <v>85</v>
      </c>
      <c r="BP326" s="46"/>
      <c r="BQ326" s="46"/>
      <c r="BU326" s="47">
        <f t="shared" si="210"/>
        <v>0</v>
      </c>
      <c r="BV326" s="53" t="s">
        <v>590</v>
      </c>
      <c r="BW326" s="53" t="s">
        <v>932</v>
      </c>
      <c r="BX326" s="53" t="s">
        <v>809</v>
      </c>
      <c r="BY326" s="53"/>
      <c r="BZ326" s="53"/>
    </row>
    <row r="327" spans="1:78">
      <c r="A327" s="42" t="s">
        <v>591</v>
      </c>
      <c r="B327" s="28" t="s">
        <v>79</v>
      </c>
      <c r="C327" s="28" t="s">
        <v>80</v>
      </c>
      <c r="D327" s="28" t="s">
        <v>932</v>
      </c>
      <c r="F327" s="28" t="s">
        <v>901</v>
      </c>
      <c r="G327" s="44" t="s">
        <v>810</v>
      </c>
      <c r="H327" s="45">
        <v>45049</v>
      </c>
      <c r="I327" s="46" t="s">
        <v>1007</v>
      </c>
      <c r="J327" s="28">
        <v>2</v>
      </c>
      <c r="K327" s="28" t="s">
        <v>93</v>
      </c>
      <c r="L327" s="28" t="s">
        <v>873</v>
      </c>
      <c r="M327" s="28" t="s">
        <v>0</v>
      </c>
      <c r="N327" s="28" t="str">
        <f t="shared" si="179"/>
        <v>AE2</v>
      </c>
      <c r="O327" s="81"/>
      <c r="P327" s="81">
        <f t="shared" si="180"/>
        <v>0</v>
      </c>
      <c r="Q327" s="81">
        <f t="shared" si="181"/>
        <v>0</v>
      </c>
      <c r="R327" s="81">
        <f t="shared" si="182"/>
        <v>0</v>
      </c>
      <c r="S327" s="81"/>
      <c r="T327" s="82">
        <f t="shared" si="183"/>
        <v>0</v>
      </c>
      <c r="U327" s="82">
        <f t="shared" si="184"/>
        <v>0</v>
      </c>
      <c r="V327" s="82">
        <f t="shared" si="185"/>
        <v>0</v>
      </c>
      <c r="W327" s="83">
        <v>0</v>
      </c>
      <c r="X327" s="83">
        <v>0</v>
      </c>
      <c r="Y327" s="83">
        <v>0</v>
      </c>
      <c r="Z327" s="84">
        <f>ROUND((IF(($O327&lt;=700000),0,IF(((VLOOKUP($M327,'Loyalty - Effec - 15July'!$B$5:$C$17,2,0)*$O327)&lt;=120000),(VLOOKUP($M327,'Loyalty - Effec - 15July'!$B$5:$C$17,2,0)*$O327),120000))),0)</f>
        <v>0</v>
      </c>
      <c r="AA327" s="84">
        <f>ROUND(VLOOKUP($M327,'Loyalty - Effec - 15July'!$B$5:$D$17,3,0)*$O327,0)</f>
        <v>0</v>
      </c>
      <c r="AB327" s="85">
        <f t="shared" si="186"/>
        <v>0</v>
      </c>
      <c r="AC327" s="86">
        <f t="shared" si="187"/>
        <v>0</v>
      </c>
      <c r="AD327" s="87">
        <f t="shared" si="188"/>
        <v>0</v>
      </c>
      <c r="AE327" s="88">
        <f t="shared" si="189"/>
        <v>0</v>
      </c>
      <c r="AF327" s="88">
        <f t="shared" si="190"/>
        <v>0</v>
      </c>
      <c r="AG327" s="49" t="s">
        <v>88</v>
      </c>
      <c r="AH327" s="49" t="s">
        <v>200</v>
      </c>
      <c r="AI327" s="50"/>
      <c r="AJ327" s="46"/>
      <c r="AK327" s="46"/>
      <c r="AL327" s="46"/>
      <c r="AM327" s="51">
        <f>IF($AL327=4,VLOOKUP($AR327,'Loyalty Incentive v1'!$L$3:$Q$15,2,FALSE),
IF($AL327=3,VLOOKUP($AR327,'Loyalty Incentive v1'!$L$3:$Q$15,3,FALSE),
IF($AL327=2,VLOOKUP($AR327,'Loyalty Incentive v1'!$L$3:$Q$15,4,FALSE),
IF($AL327=1,VLOOKUP($AR327,'Loyalty Incentive v1'!$L$3:$Q$15,5,FALSE),
IF($AL327=0,VLOOKUP($AR327,'Loyalty Incentive v1'!$L$3:$Q$15,6,FALSE),0)))))</f>
        <v>0</v>
      </c>
      <c r="AN327" s="51">
        <f>IFERROR(IF(I327&gt;="1",AM327,VLOOKUP(VALUE(I327),'Loyalty - Effec - 15July'!$I$5:$J$16,2,0)*AM327),0)</f>
        <v>0</v>
      </c>
      <c r="AO327" s="51">
        <v>0</v>
      </c>
      <c r="AP327" s="51">
        <f t="shared" si="191"/>
        <v>0</v>
      </c>
      <c r="AQ327" s="46" t="str">
        <f t="shared" si="203"/>
        <v>No</v>
      </c>
      <c r="AR327" s="46" t="str">
        <f t="shared" si="204"/>
        <v>AE2</v>
      </c>
      <c r="AS327" s="46" t="b">
        <f t="shared" si="205"/>
        <v>1</v>
      </c>
      <c r="AT327" s="82">
        <f t="shared" si="209"/>
        <v>0</v>
      </c>
      <c r="AU327" s="81">
        <f t="shared" si="192"/>
        <v>0</v>
      </c>
      <c r="AV327" s="81">
        <f t="shared" si="193"/>
        <v>0</v>
      </c>
      <c r="AW327" s="81">
        <f t="shared" si="194"/>
        <v>0</v>
      </c>
      <c r="AX327" s="85"/>
      <c r="AY327" s="81">
        <f t="shared" si="195"/>
        <v>0</v>
      </c>
      <c r="AZ327" s="83">
        <f t="shared" si="196"/>
        <v>0</v>
      </c>
      <c r="BA327" s="81">
        <f t="shared" si="197"/>
        <v>0</v>
      </c>
      <c r="BB327" s="83">
        <v>0</v>
      </c>
      <c r="BC327" s="83">
        <v>0</v>
      </c>
      <c r="BD327" s="83">
        <v>0</v>
      </c>
      <c r="BE327" s="84">
        <f>ROUND((IF(($AT327&lt;=700000),0,IF(((VLOOKUP($AR327,'Loyalty - Effec - 15July'!$B$5:$C$17,2,0)*$AT327)&lt;=120000),(VLOOKUP($AR327,'Loyalty - Effec - 15July'!$B$5:$C$17,2,0)*$AT327),120000))),0)</f>
        <v>0</v>
      </c>
      <c r="BF327" s="83">
        <f>ROUND(VLOOKUP($AR327,'Loyalty - Effec - 15July'!$B$5:$D$17,3,0)*$AT327,0)</f>
        <v>0</v>
      </c>
      <c r="BG327" s="85">
        <f t="shared" si="198"/>
        <v>0</v>
      </c>
      <c r="BH327" s="83">
        <f t="shared" si="199"/>
        <v>0</v>
      </c>
      <c r="BI327" s="85">
        <f t="shared" si="202"/>
        <v>0</v>
      </c>
      <c r="BJ327" s="85">
        <f t="shared" si="200"/>
        <v>0</v>
      </c>
      <c r="BK327" s="85">
        <f t="shared" si="201"/>
        <v>0</v>
      </c>
      <c r="BL327" s="85">
        <f t="shared" si="206"/>
        <v>0</v>
      </c>
      <c r="BM327" s="85">
        <f t="shared" si="207"/>
        <v>0</v>
      </c>
      <c r="BN327" s="85">
        <f t="shared" si="208"/>
        <v>0</v>
      </c>
      <c r="BO327" s="46" t="s">
        <v>85</v>
      </c>
      <c r="BP327" s="46"/>
      <c r="BQ327" s="46"/>
      <c r="BU327" s="47">
        <f t="shared" si="210"/>
        <v>0</v>
      </c>
      <c r="BV327" s="53" t="s">
        <v>591</v>
      </c>
      <c r="BW327" s="53" t="s">
        <v>932</v>
      </c>
      <c r="BX327" s="53" t="s">
        <v>810</v>
      </c>
      <c r="BY327" s="53"/>
      <c r="BZ327" s="53"/>
    </row>
    <row r="328" spans="1:78">
      <c r="A328" s="42" t="s">
        <v>592</v>
      </c>
      <c r="B328" s="28" t="s">
        <v>79</v>
      </c>
      <c r="C328" s="28" t="s">
        <v>80</v>
      </c>
      <c r="D328" s="28" t="s">
        <v>932</v>
      </c>
      <c r="F328" s="28" t="s">
        <v>901</v>
      </c>
      <c r="G328" s="44" t="s">
        <v>811</v>
      </c>
      <c r="H328" s="45">
        <v>45054</v>
      </c>
      <c r="I328" s="46" t="s">
        <v>1007</v>
      </c>
      <c r="J328" s="28">
        <v>2</v>
      </c>
      <c r="K328" s="28" t="s">
        <v>418</v>
      </c>
      <c r="L328" s="28" t="s">
        <v>416</v>
      </c>
      <c r="M328" s="28" t="s">
        <v>6</v>
      </c>
      <c r="N328" s="28" t="str">
        <f t="shared" si="179"/>
        <v>E2</v>
      </c>
      <c r="O328" s="81"/>
      <c r="P328" s="81">
        <f t="shared" si="180"/>
        <v>0</v>
      </c>
      <c r="Q328" s="81">
        <f t="shared" si="181"/>
        <v>0</v>
      </c>
      <c r="R328" s="81">
        <f t="shared" si="182"/>
        <v>0</v>
      </c>
      <c r="S328" s="81"/>
      <c r="T328" s="82">
        <f t="shared" si="183"/>
        <v>0</v>
      </c>
      <c r="U328" s="82">
        <f t="shared" si="184"/>
        <v>0</v>
      </c>
      <c r="V328" s="82">
        <f t="shared" si="185"/>
        <v>0</v>
      </c>
      <c r="W328" s="83">
        <v>0</v>
      </c>
      <c r="X328" s="83">
        <v>0</v>
      </c>
      <c r="Y328" s="83">
        <v>0</v>
      </c>
      <c r="Z328" s="84">
        <f>ROUND((IF(($O328&lt;=700000),0,IF(((VLOOKUP($M328,'Loyalty - Effec - 15July'!$B$5:$C$17,2,0)*$O328)&lt;=120000),(VLOOKUP($M328,'Loyalty - Effec - 15July'!$B$5:$C$17,2,0)*$O328),120000))),0)</f>
        <v>0</v>
      </c>
      <c r="AA328" s="84">
        <f>ROUND(VLOOKUP($M328,'Loyalty - Effec - 15July'!$B$5:$D$17,3,0)*$O328,0)</f>
        <v>0</v>
      </c>
      <c r="AB328" s="85">
        <f t="shared" si="186"/>
        <v>0</v>
      </c>
      <c r="AC328" s="86">
        <f t="shared" si="187"/>
        <v>0</v>
      </c>
      <c r="AD328" s="87">
        <f t="shared" si="188"/>
        <v>0</v>
      </c>
      <c r="AE328" s="88">
        <f t="shared" si="189"/>
        <v>0</v>
      </c>
      <c r="AF328" s="88">
        <f t="shared" si="190"/>
        <v>0</v>
      </c>
      <c r="AG328" s="49" t="s">
        <v>774</v>
      </c>
      <c r="AH328" s="49" t="s">
        <v>904</v>
      </c>
      <c r="AI328" s="50"/>
      <c r="AJ328" s="46"/>
      <c r="AK328" s="46"/>
      <c r="AL328" s="46"/>
      <c r="AM328" s="51">
        <f>IF($AL328=4,VLOOKUP($AR328,'Loyalty Incentive v1'!$L$3:$Q$15,2,FALSE),
IF($AL328=3,VLOOKUP($AR328,'Loyalty Incentive v1'!$L$3:$Q$15,3,FALSE),
IF($AL328=2,VLOOKUP($AR328,'Loyalty Incentive v1'!$L$3:$Q$15,4,FALSE),
IF($AL328=1,VLOOKUP($AR328,'Loyalty Incentive v1'!$L$3:$Q$15,5,FALSE),
IF($AL328=0,VLOOKUP($AR328,'Loyalty Incentive v1'!$L$3:$Q$15,6,FALSE),0)))))</f>
        <v>0</v>
      </c>
      <c r="AN328" s="51">
        <f>IFERROR(IF(I328&gt;="1",AM328,VLOOKUP(VALUE(I328),'Loyalty - Effec - 15July'!$I$5:$J$16,2,0)*AM328),0)</f>
        <v>0</v>
      </c>
      <c r="AO328" s="51">
        <v>0</v>
      </c>
      <c r="AP328" s="51">
        <f t="shared" si="191"/>
        <v>0</v>
      </c>
      <c r="AQ328" s="46" t="str">
        <f t="shared" si="203"/>
        <v>No</v>
      </c>
      <c r="AR328" s="46" t="str">
        <f t="shared" si="204"/>
        <v>E2</v>
      </c>
      <c r="AS328" s="46" t="b">
        <f t="shared" si="205"/>
        <v>1</v>
      </c>
      <c r="AT328" s="82">
        <f t="shared" si="209"/>
        <v>0</v>
      </c>
      <c r="AU328" s="81">
        <f t="shared" si="192"/>
        <v>0</v>
      </c>
      <c r="AV328" s="81">
        <f t="shared" si="193"/>
        <v>0</v>
      </c>
      <c r="AW328" s="81">
        <f t="shared" si="194"/>
        <v>0</v>
      </c>
      <c r="AX328" s="85"/>
      <c r="AY328" s="81">
        <f t="shared" si="195"/>
        <v>0</v>
      </c>
      <c r="AZ328" s="83">
        <f t="shared" si="196"/>
        <v>0</v>
      </c>
      <c r="BA328" s="81">
        <f t="shared" si="197"/>
        <v>0</v>
      </c>
      <c r="BB328" s="83">
        <v>0</v>
      </c>
      <c r="BC328" s="83">
        <v>0</v>
      </c>
      <c r="BD328" s="83">
        <v>0</v>
      </c>
      <c r="BE328" s="84">
        <f>ROUND((IF(($AT328&lt;=700000),0,IF(((VLOOKUP($AR328,'Loyalty - Effec - 15July'!$B$5:$C$17,2,0)*$AT328)&lt;=120000),(VLOOKUP($AR328,'Loyalty - Effec - 15July'!$B$5:$C$17,2,0)*$AT328),120000))),0)</f>
        <v>0</v>
      </c>
      <c r="BF328" s="83">
        <f>ROUND(VLOOKUP($AR328,'Loyalty - Effec - 15July'!$B$5:$D$17,3,0)*$AT328,0)</f>
        <v>0</v>
      </c>
      <c r="BG328" s="85">
        <f t="shared" si="198"/>
        <v>0</v>
      </c>
      <c r="BH328" s="83">
        <f t="shared" si="199"/>
        <v>0</v>
      </c>
      <c r="BI328" s="85">
        <f t="shared" si="202"/>
        <v>0</v>
      </c>
      <c r="BJ328" s="85">
        <f t="shared" si="200"/>
        <v>0</v>
      </c>
      <c r="BK328" s="85">
        <f t="shared" si="201"/>
        <v>0</v>
      </c>
      <c r="BL328" s="85">
        <f t="shared" si="206"/>
        <v>0</v>
      </c>
      <c r="BM328" s="85">
        <f t="shared" si="207"/>
        <v>0</v>
      </c>
      <c r="BN328" s="85">
        <f t="shared" si="208"/>
        <v>0</v>
      </c>
      <c r="BO328" s="46" t="s">
        <v>85</v>
      </c>
      <c r="BP328" s="46"/>
      <c r="BQ328" s="46"/>
      <c r="BU328" s="47">
        <f t="shared" si="210"/>
        <v>0</v>
      </c>
      <c r="BV328" s="53" t="s">
        <v>592</v>
      </c>
      <c r="BW328" s="53" t="s">
        <v>932</v>
      </c>
      <c r="BX328" s="53" t="s">
        <v>811</v>
      </c>
      <c r="BY328" s="53"/>
      <c r="BZ328" s="53"/>
    </row>
    <row r="329" spans="1:78">
      <c r="A329" s="42" t="s">
        <v>593</v>
      </c>
      <c r="B329" s="28" t="s">
        <v>79</v>
      </c>
      <c r="C329" s="28" t="s">
        <v>80</v>
      </c>
      <c r="D329" s="28" t="s">
        <v>932</v>
      </c>
      <c r="F329" s="28" t="s">
        <v>901</v>
      </c>
      <c r="G329" s="44" t="s">
        <v>812</v>
      </c>
      <c r="H329" s="45">
        <v>45063</v>
      </c>
      <c r="I329" s="46" t="s">
        <v>1007</v>
      </c>
      <c r="J329" s="28">
        <v>2</v>
      </c>
      <c r="K329" s="28" t="s">
        <v>93</v>
      </c>
      <c r="L329" s="28" t="s">
        <v>873</v>
      </c>
      <c r="M329" s="28" t="s">
        <v>3</v>
      </c>
      <c r="N329" s="28" t="str">
        <f t="shared" si="179"/>
        <v>AE5</v>
      </c>
      <c r="O329" s="81"/>
      <c r="P329" s="81">
        <f t="shared" si="180"/>
        <v>0</v>
      </c>
      <c r="Q329" s="81">
        <f t="shared" si="181"/>
        <v>0</v>
      </c>
      <c r="R329" s="81">
        <f t="shared" si="182"/>
        <v>0</v>
      </c>
      <c r="S329" s="81"/>
      <c r="T329" s="82">
        <f t="shared" si="183"/>
        <v>0</v>
      </c>
      <c r="U329" s="82">
        <f t="shared" si="184"/>
        <v>0</v>
      </c>
      <c r="V329" s="82">
        <f t="shared" si="185"/>
        <v>0</v>
      </c>
      <c r="W329" s="83">
        <v>0</v>
      </c>
      <c r="X329" s="83">
        <v>0</v>
      </c>
      <c r="Y329" s="83">
        <v>0</v>
      </c>
      <c r="Z329" s="84">
        <f>ROUND((IF(($O329&lt;=700000),0,IF(((VLOOKUP($M329,'Loyalty - Effec - 15July'!$B$5:$C$17,2,0)*$O329)&lt;=120000),(VLOOKUP($M329,'Loyalty - Effec - 15July'!$B$5:$C$17,2,0)*$O329),120000))),0)</f>
        <v>0</v>
      </c>
      <c r="AA329" s="84">
        <f>ROUND(VLOOKUP($M329,'Loyalty - Effec - 15July'!$B$5:$D$17,3,0)*$O329,0)</f>
        <v>0</v>
      </c>
      <c r="AB329" s="85">
        <f t="shared" si="186"/>
        <v>0</v>
      </c>
      <c r="AC329" s="86">
        <f t="shared" si="187"/>
        <v>0</v>
      </c>
      <c r="AD329" s="87">
        <f t="shared" si="188"/>
        <v>0</v>
      </c>
      <c r="AE329" s="88">
        <f t="shared" si="189"/>
        <v>0</v>
      </c>
      <c r="AF329" s="88">
        <f t="shared" si="190"/>
        <v>0</v>
      </c>
      <c r="AG329" s="49" t="s">
        <v>913</v>
      </c>
      <c r="AH329" s="49" t="s">
        <v>909</v>
      </c>
      <c r="AI329" s="50"/>
      <c r="AJ329" s="46"/>
      <c r="AK329" s="46"/>
      <c r="AL329" s="46"/>
      <c r="AM329" s="51">
        <f>IF($AL329=4,VLOOKUP($AR329,'Loyalty Incentive v1'!$L$3:$Q$15,2,FALSE),
IF($AL329=3,VLOOKUP($AR329,'Loyalty Incentive v1'!$L$3:$Q$15,3,FALSE),
IF($AL329=2,VLOOKUP($AR329,'Loyalty Incentive v1'!$L$3:$Q$15,4,FALSE),
IF($AL329=1,VLOOKUP($AR329,'Loyalty Incentive v1'!$L$3:$Q$15,5,FALSE),
IF($AL329=0,VLOOKUP($AR329,'Loyalty Incentive v1'!$L$3:$Q$15,6,FALSE),0)))))</f>
        <v>0</v>
      </c>
      <c r="AN329" s="51">
        <f>IFERROR(IF(I329&gt;="1",AM329,VLOOKUP(VALUE(I329),'Loyalty - Effec - 15July'!$I$5:$J$16,2,0)*AM329),0)</f>
        <v>0</v>
      </c>
      <c r="AO329" s="51">
        <v>0</v>
      </c>
      <c r="AP329" s="51">
        <f t="shared" si="191"/>
        <v>0</v>
      </c>
      <c r="AQ329" s="46" t="str">
        <f t="shared" si="203"/>
        <v>No</v>
      </c>
      <c r="AR329" s="46" t="str">
        <f t="shared" si="204"/>
        <v>AE5</v>
      </c>
      <c r="AS329" s="46" t="b">
        <f t="shared" si="205"/>
        <v>1</v>
      </c>
      <c r="AT329" s="82">
        <f t="shared" si="209"/>
        <v>0</v>
      </c>
      <c r="AU329" s="81">
        <f t="shared" si="192"/>
        <v>0</v>
      </c>
      <c r="AV329" s="81">
        <f t="shared" si="193"/>
        <v>0</v>
      </c>
      <c r="AW329" s="81">
        <f t="shared" si="194"/>
        <v>0</v>
      </c>
      <c r="AX329" s="85"/>
      <c r="AY329" s="81">
        <f t="shared" si="195"/>
        <v>0</v>
      </c>
      <c r="AZ329" s="83">
        <f t="shared" si="196"/>
        <v>0</v>
      </c>
      <c r="BA329" s="81">
        <f t="shared" si="197"/>
        <v>0</v>
      </c>
      <c r="BB329" s="83">
        <v>0</v>
      </c>
      <c r="BC329" s="83">
        <v>0</v>
      </c>
      <c r="BD329" s="83">
        <v>0</v>
      </c>
      <c r="BE329" s="84">
        <f>ROUND((IF(($AT329&lt;=700000),0,IF(((VLOOKUP($AR329,'Loyalty - Effec - 15July'!$B$5:$C$17,2,0)*$AT329)&lt;=120000),(VLOOKUP($AR329,'Loyalty - Effec - 15July'!$B$5:$C$17,2,0)*$AT329),120000))),0)</f>
        <v>0</v>
      </c>
      <c r="BF329" s="83">
        <f>ROUND(VLOOKUP($AR329,'Loyalty - Effec - 15July'!$B$5:$D$17,3,0)*$AT329,0)</f>
        <v>0</v>
      </c>
      <c r="BG329" s="85">
        <f t="shared" si="198"/>
        <v>0</v>
      </c>
      <c r="BH329" s="83">
        <f t="shared" si="199"/>
        <v>0</v>
      </c>
      <c r="BI329" s="85">
        <f t="shared" si="202"/>
        <v>0</v>
      </c>
      <c r="BJ329" s="85">
        <f t="shared" si="200"/>
        <v>0</v>
      </c>
      <c r="BK329" s="85">
        <f t="shared" si="201"/>
        <v>0</v>
      </c>
      <c r="BL329" s="85">
        <f t="shared" si="206"/>
        <v>0</v>
      </c>
      <c r="BM329" s="85">
        <f t="shared" si="207"/>
        <v>0</v>
      </c>
      <c r="BN329" s="85">
        <f t="shared" si="208"/>
        <v>0</v>
      </c>
      <c r="BO329" s="46" t="s">
        <v>85</v>
      </c>
      <c r="BP329" s="46"/>
      <c r="BQ329" s="46"/>
      <c r="BU329" s="47">
        <f t="shared" si="210"/>
        <v>0</v>
      </c>
      <c r="BV329" s="53" t="s">
        <v>593</v>
      </c>
      <c r="BW329" s="53" t="s">
        <v>932</v>
      </c>
      <c r="BX329" s="53" t="s">
        <v>812</v>
      </c>
      <c r="BY329" s="53"/>
      <c r="BZ329" s="53"/>
    </row>
    <row r="330" spans="1:78">
      <c r="A330" s="42" t="s">
        <v>594</v>
      </c>
      <c r="B330" s="28" t="s">
        <v>79</v>
      </c>
      <c r="C330" s="28" t="s">
        <v>80</v>
      </c>
      <c r="D330" s="28" t="s">
        <v>932</v>
      </c>
      <c r="F330" s="28" t="s">
        <v>901</v>
      </c>
      <c r="G330" s="44" t="s">
        <v>813</v>
      </c>
      <c r="H330" s="45">
        <v>45075</v>
      </c>
      <c r="I330" s="46" t="s">
        <v>1007</v>
      </c>
      <c r="J330" s="28">
        <v>2</v>
      </c>
      <c r="K330" s="28" t="s">
        <v>403</v>
      </c>
      <c r="L330" s="28" t="s">
        <v>898</v>
      </c>
      <c r="M330" s="28" t="s">
        <v>3</v>
      </c>
      <c r="N330" s="28" t="str">
        <f t="shared" si="179"/>
        <v>AE5</v>
      </c>
      <c r="O330" s="81"/>
      <c r="P330" s="81">
        <f t="shared" si="180"/>
        <v>0</v>
      </c>
      <c r="Q330" s="81">
        <f t="shared" si="181"/>
        <v>0</v>
      </c>
      <c r="R330" s="81">
        <f t="shared" si="182"/>
        <v>0</v>
      </c>
      <c r="S330" s="81"/>
      <c r="T330" s="82">
        <f t="shared" si="183"/>
        <v>0</v>
      </c>
      <c r="U330" s="82">
        <f t="shared" si="184"/>
        <v>0</v>
      </c>
      <c r="V330" s="82">
        <f t="shared" si="185"/>
        <v>0</v>
      </c>
      <c r="W330" s="83">
        <v>0</v>
      </c>
      <c r="X330" s="83">
        <v>0</v>
      </c>
      <c r="Y330" s="83">
        <v>0</v>
      </c>
      <c r="Z330" s="84">
        <f>ROUND((IF(($O330&lt;=700000),0,IF(((VLOOKUP($M330,'Loyalty - Effec - 15July'!$B$5:$C$17,2,0)*$O330)&lt;=120000),(VLOOKUP($M330,'Loyalty - Effec - 15July'!$B$5:$C$17,2,0)*$O330),120000))),0)</f>
        <v>0</v>
      </c>
      <c r="AA330" s="84">
        <f>ROUND(VLOOKUP($M330,'Loyalty - Effec - 15July'!$B$5:$D$17,3,0)*$O330,0)</f>
        <v>0</v>
      </c>
      <c r="AB330" s="85">
        <f t="shared" si="186"/>
        <v>0</v>
      </c>
      <c r="AC330" s="86">
        <f t="shared" si="187"/>
        <v>0</v>
      </c>
      <c r="AD330" s="87">
        <f t="shared" si="188"/>
        <v>0</v>
      </c>
      <c r="AE330" s="88">
        <f t="shared" si="189"/>
        <v>0</v>
      </c>
      <c r="AF330" s="88">
        <f t="shared" si="190"/>
        <v>0</v>
      </c>
      <c r="AG330" s="49" t="s">
        <v>906</v>
      </c>
      <c r="AH330" s="49" t="s">
        <v>83</v>
      </c>
      <c r="AI330" s="50"/>
      <c r="AJ330" s="46"/>
      <c r="AK330" s="46"/>
      <c r="AL330" s="46"/>
      <c r="AM330" s="51">
        <f>IF($AL330=4,VLOOKUP($AR330,'Loyalty Incentive v1'!$L$3:$Q$15,2,FALSE),
IF($AL330=3,VLOOKUP($AR330,'Loyalty Incentive v1'!$L$3:$Q$15,3,FALSE),
IF($AL330=2,VLOOKUP($AR330,'Loyalty Incentive v1'!$L$3:$Q$15,4,FALSE),
IF($AL330=1,VLOOKUP($AR330,'Loyalty Incentive v1'!$L$3:$Q$15,5,FALSE),
IF($AL330=0,VLOOKUP($AR330,'Loyalty Incentive v1'!$L$3:$Q$15,6,FALSE),0)))))</f>
        <v>0</v>
      </c>
      <c r="AN330" s="51">
        <f>IFERROR(IF(I330&gt;="1",AM330,VLOOKUP(VALUE(I330),'Loyalty - Effec - 15July'!$I$5:$J$16,2,0)*AM330),0)</f>
        <v>0</v>
      </c>
      <c r="AO330" s="51">
        <v>0</v>
      </c>
      <c r="AP330" s="51">
        <f t="shared" si="191"/>
        <v>0</v>
      </c>
      <c r="AQ330" s="46" t="str">
        <f t="shared" si="203"/>
        <v>No</v>
      </c>
      <c r="AR330" s="46" t="str">
        <f t="shared" si="204"/>
        <v>AE5</v>
      </c>
      <c r="AS330" s="46" t="b">
        <f t="shared" si="205"/>
        <v>1</v>
      </c>
      <c r="AT330" s="82">
        <f t="shared" si="209"/>
        <v>0</v>
      </c>
      <c r="AU330" s="81">
        <f t="shared" si="192"/>
        <v>0</v>
      </c>
      <c r="AV330" s="81">
        <f t="shared" si="193"/>
        <v>0</v>
      </c>
      <c r="AW330" s="81">
        <f t="shared" si="194"/>
        <v>0</v>
      </c>
      <c r="AX330" s="85"/>
      <c r="AY330" s="81">
        <f t="shared" si="195"/>
        <v>0</v>
      </c>
      <c r="AZ330" s="83">
        <f t="shared" si="196"/>
        <v>0</v>
      </c>
      <c r="BA330" s="81">
        <f t="shared" si="197"/>
        <v>0</v>
      </c>
      <c r="BB330" s="83">
        <v>0</v>
      </c>
      <c r="BC330" s="83">
        <v>0</v>
      </c>
      <c r="BD330" s="83">
        <v>0</v>
      </c>
      <c r="BE330" s="84">
        <f>ROUND((IF(($AT330&lt;=700000),0,IF(((VLOOKUP($AR330,'Loyalty - Effec - 15July'!$B$5:$C$17,2,0)*$AT330)&lt;=120000),(VLOOKUP($AR330,'Loyalty - Effec - 15July'!$B$5:$C$17,2,0)*$AT330),120000))),0)</f>
        <v>0</v>
      </c>
      <c r="BF330" s="83">
        <f>ROUND(VLOOKUP($AR330,'Loyalty - Effec - 15July'!$B$5:$D$17,3,0)*$AT330,0)</f>
        <v>0</v>
      </c>
      <c r="BG330" s="85">
        <f t="shared" si="198"/>
        <v>0</v>
      </c>
      <c r="BH330" s="83">
        <f t="shared" si="199"/>
        <v>0</v>
      </c>
      <c r="BI330" s="85">
        <f t="shared" si="202"/>
        <v>0</v>
      </c>
      <c r="BJ330" s="85">
        <f t="shared" si="200"/>
        <v>0</v>
      </c>
      <c r="BK330" s="85">
        <f t="shared" si="201"/>
        <v>0</v>
      </c>
      <c r="BL330" s="85">
        <f t="shared" si="206"/>
        <v>0</v>
      </c>
      <c r="BM330" s="85">
        <f t="shared" si="207"/>
        <v>0</v>
      </c>
      <c r="BN330" s="85">
        <f t="shared" si="208"/>
        <v>0</v>
      </c>
      <c r="BO330" s="46" t="s">
        <v>85</v>
      </c>
      <c r="BP330" s="46"/>
      <c r="BQ330" s="46"/>
      <c r="BU330" s="47">
        <f t="shared" si="210"/>
        <v>0</v>
      </c>
      <c r="BV330" s="53" t="s">
        <v>594</v>
      </c>
      <c r="BW330" s="53" t="s">
        <v>932</v>
      </c>
      <c r="BX330" s="53" t="s">
        <v>813</v>
      </c>
      <c r="BY330" s="53"/>
      <c r="BZ330" s="53"/>
    </row>
    <row r="331" spans="1:78">
      <c r="A331" s="42" t="s">
        <v>595</v>
      </c>
      <c r="B331" s="28" t="s">
        <v>79</v>
      </c>
      <c r="C331" s="28" t="s">
        <v>80</v>
      </c>
      <c r="D331" s="28" t="s">
        <v>932</v>
      </c>
      <c r="F331" s="28" t="s">
        <v>901</v>
      </c>
      <c r="G331" s="44" t="s">
        <v>814</v>
      </c>
      <c r="H331" s="45">
        <v>45082</v>
      </c>
      <c r="I331" s="46" t="s">
        <v>1008</v>
      </c>
      <c r="J331" s="28">
        <v>2</v>
      </c>
      <c r="K331" s="28" t="s">
        <v>285</v>
      </c>
      <c r="L331" s="28" t="s">
        <v>899</v>
      </c>
      <c r="M331" s="28" t="s">
        <v>5</v>
      </c>
      <c r="N331" s="28" t="str">
        <f t="shared" si="179"/>
        <v>E1</v>
      </c>
      <c r="O331" s="81"/>
      <c r="P331" s="81">
        <f t="shared" si="180"/>
        <v>0</v>
      </c>
      <c r="Q331" s="81">
        <f t="shared" si="181"/>
        <v>0</v>
      </c>
      <c r="R331" s="81">
        <f t="shared" si="182"/>
        <v>0</v>
      </c>
      <c r="S331" s="81"/>
      <c r="T331" s="82">
        <f t="shared" si="183"/>
        <v>0</v>
      </c>
      <c r="U331" s="82">
        <f t="shared" si="184"/>
        <v>0</v>
      </c>
      <c r="V331" s="82">
        <f t="shared" si="185"/>
        <v>0</v>
      </c>
      <c r="W331" s="83">
        <v>0</v>
      </c>
      <c r="X331" s="83">
        <v>0</v>
      </c>
      <c r="Y331" s="83">
        <v>0</v>
      </c>
      <c r="Z331" s="84">
        <f>ROUND((IF(($O331&lt;=700000),0,IF(((VLOOKUP($M331,'Loyalty - Effec - 15July'!$B$5:$C$17,2,0)*$O331)&lt;=120000),(VLOOKUP($M331,'Loyalty - Effec - 15July'!$B$5:$C$17,2,0)*$O331),120000))),0)</f>
        <v>0</v>
      </c>
      <c r="AA331" s="84">
        <f>ROUND(VLOOKUP($M331,'Loyalty - Effec - 15July'!$B$5:$D$17,3,0)*$O331,0)</f>
        <v>0</v>
      </c>
      <c r="AB331" s="85">
        <f t="shared" si="186"/>
        <v>0</v>
      </c>
      <c r="AC331" s="86">
        <f t="shared" si="187"/>
        <v>0</v>
      </c>
      <c r="AD331" s="87">
        <f t="shared" si="188"/>
        <v>0</v>
      </c>
      <c r="AE331" s="88">
        <f t="shared" si="189"/>
        <v>0</v>
      </c>
      <c r="AF331" s="88">
        <f t="shared" si="190"/>
        <v>0</v>
      </c>
      <c r="AG331" s="49" t="s">
        <v>918</v>
      </c>
      <c r="AH331" s="49" t="s">
        <v>904</v>
      </c>
      <c r="AI331" s="50"/>
      <c r="AJ331" s="46"/>
      <c r="AK331" s="46"/>
      <c r="AL331" s="46"/>
      <c r="AM331" s="51">
        <f>IF($AL331=4,VLOOKUP($AR331,'Loyalty Incentive v1'!$L$3:$Q$15,2,FALSE),
IF($AL331=3,VLOOKUP($AR331,'Loyalty Incentive v1'!$L$3:$Q$15,3,FALSE),
IF($AL331=2,VLOOKUP($AR331,'Loyalty Incentive v1'!$L$3:$Q$15,4,FALSE),
IF($AL331=1,VLOOKUP($AR331,'Loyalty Incentive v1'!$L$3:$Q$15,5,FALSE),
IF($AL331=0,VLOOKUP($AR331,'Loyalty Incentive v1'!$L$3:$Q$15,6,FALSE),0)))))</f>
        <v>0</v>
      </c>
      <c r="AN331" s="51">
        <f>IFERROR(IF(I331&gt;="1",AM331,VLOOKUP(VALUE(I331),'Loyalty - Effec - 15July'!$I$5:$J$16,2,0)*AM331),0)</f>
        <v>0</v>
      </c>
      <c r="AO331" s="51">
        <v>0</v>
      </c>
      <c r="AP331" s="51">
        <f t="shared" si="191"/>
        <v>0</v>
      </c>
      <c r="AQ331" s="46" t="str">
        <f t="shared" si="203"/>
        <v>No</v>
      </c>
      <c r="AR331" s="46" t="str">
        <f t="shared" si="204"/>
        <v>E1</v>
      </c>
      <c r="AS331" s="46" t="b">
        <f t="shared" si="205"/>
        <v>1</v>
      </c>
      <c r="AT331" s="82">
        <f t="shared" si="209"/>
        <v>0</v>
      </c>
      <c r="AU331" s="81">
        <f t="shared" si="192"/>
        <v>0</v>
      </c>
      <c r="AV331" s="81">
        <f t="shared" si="193"/>
        <v>0</v>
      </c>
      <c r="AW331" s="81">
        <f t="shared" si="194"/>
        <v>0</v>
      </c>
      <c r="AX331" s="85"/>
      <c r="AY331" s="81">
        <f t="shared" si="195"/>
        <v>0</v>
      </c>
      <c r="AZ331" s="83">
        <f t="shared" si="196"/>
        <v>0</v>
      </c>
      <c r="BA331" s="81">
        <f t="shared" si="197"/>
        <v>0</v>
      </c>
      <c r="BB331" s="83">
        <v>0</v>
      </c>
      <c r="BC331" s="83">
        <v>0</v>
      </c>
      <c r="BD331" s="83">
        <v>0</v>
      </c>
      <c r="BE331" s="84">
        <f>ROUND((IF(($AT331&lt;=700000),0,IF(((VLOOKUP($AR331,'Loyalty - Effec - 15July'!$B$5:$C$17,2,0)*$AT331)&lt;=120000),(VLOOKUP($AR331,'Loyalty - Effec - 15July'!$B$5:$C$17,2,0)*$AT331),120000))),0)</f>
        <v>0</v>
      </c>
      <c r="BF331" s="83">
        <f>ROUND(VLOOKUP($AR331,'Loyalty - Effec - 15July'!$B$5:$D$17,3,0)*$AT331,0)</f>
        <v>0</v>
      </c>
      <c r="BG331" s="85">
        <f t="shared" si="198"/>
        <v>0</v>
      </c>
      <c r="BH331" s="83">
        <f t="shared" si="199"/>
        <v>0</v>
      </c>
      <c r="BI331" s="85">
        <f t="shared" si="202"/>
        <v>0</v>
      </c>
      <c r="BJ331" s="85">
        <f t="shared" si="200"/>
        <v>0</v>
      </c>
      <c r="BK331" s="85">
        <f t="shared" si="201"/>
        <v>0</v>
      </c>
      <c r="BL331" s="85">
        <f t="shared" si="206"/>
        <v>0</v>
      </c>
      <c r="BM331" s="85">
        <f t="shared" si="207"/>
        <v>0</v>
      </c>
      <c r="BN331" s="85">
        <f t="shared" si="208"/>
        <v>0</v>
      </c>
      <c r="BO331" s="46" t="s">
        <v>85</v>
      </c>
      <c r="BP331" s="46"/>
      <c r="BQ331" s="46"/>
      <c r="BU331" s="47">
        <f t="shared" si="210"/>
        <v>0</v>
      </c>
      <c r="BV331" s="53" t="s">
        <v>595</v>
      </c>
      <c r="BW331" s="53" t="s">
        <v>932</v>
      </c>
      <c r="BX331" s="53" t="s">
        <v>814</v>
      </c>
      <c r="BY331" s="53"/>
      <c r="BZ331" s="53"/>
    </row>
    <row r="332" spans="1:78">
      <c r="A332" s="42" t="s">
        <v>596</v>
      </c>
      <c r="B332" s="28" t="s">
        <v>79</v>
      </c>
      <c r="C332" s="28" t="s">
        <v>80</v>
      </c>
      <c r="D332" s="28" t="s">
        <v>932</v>
      </c>
      <c r="F332" s="28" t="s">
        <v>901</v>
      </c>
      <c r="G332" s="44" t="s">
        <v>815</v>
      </c>
      <c r="H332" s="45">
        <v>45084</v>
      </c>
      <c r="I332" s="46" t="s">
        <v>1008</v>
      </c>
      <c r="J332" s="28">
        <v>2</v>
      </c>
      <c r="K332" s="28" t="s">
        <v>413</v>
      </c>
      <c r="L332" s="28" t="s">
        <v>880</v>
      </c>
      <c r="M332" s="28" t="s">
        <v>9</v>
      </c>
      <c r="N332" s="28" t="str">
        <f t="shared" si="179"/>
        <v>AE1</v>
      </c>
      <c r="O332" s="81"/>
      <c r="P332" s="81">
        <f t="shared" si="180"/>
        <v>0</v>
      </c>
      <c r="Q332" s="81">
        <f t="shared" si="181"/>
        <v>0</v>
      </c>
      <c r="R332" s="81">
        <f t="shared" si="182"/>
        <v>0</v>
      </c>
      <c r="S332" s="81"/>
      <c r="T332" s="82">
        <f t="shared" si="183"/>
        <v>0</v>
      </c>
      <c r="U332" s="82">
        <f t="shared" si="184"/>
        <v>0</v>
      </c>
      <c r="V332" s="82">
        <f t="shared" si="185"/>
        <v>0</v>
      </c>
      <c r="W332" s="83">
        <v>0</v>
      </c>
      <c r="X332" s="83">
        <v>0</v>
      </c>
      <c r="Y332" s="83">
        <v>0</v>
      </c>
      <c r="Z332" s="84">
        <f>ROUND((IF(($O332&lt;=700000),0,IF(((VLOOKUP($M332,'Loyalty - Effec - 15July'!$B$5:$C$17,2,0)*$O332)&lt;=120000),(VLOOKUP($M332,'Loyalty - Effec - 15July'!$B$5:$C$17,2,0)*$O332),120000))),0)</f>
        <v>0</v>
      </c>
      <c r="AA332" s="84">
        <f>ROUND(VLOOKUP($M332,'Loyalty - Effec - 15July'!$B$5:$D$17,3,0)*$O332,0)</f>
        <v>0</v>
      </c>
      <c r="AB332" s="85">
        <f t="shared" si="186"/>
        <v>0</v>
      </c>
      <c r="AC332" s="86">
        <f t="shared" si="187"/>
        <v>0</v>
      </c>
      <c r="AD332" s="87">
        <f t="shared" si="188"/>
        <v>0</v>
      </c>
      <c r="AE332" s="88">
        <f t="shared" si="189"/>
        <v>0</v>
      </c>
      <c r="AF332" s="88">
        <f t="shared" si="190"/>
        <v>0</v>
      </c>
      <c r="AG332" s="49" t="s">
        <v>703</v>
      </c>
      <c r="AH332" s="49" t="s">
        <v>200</v>
      </c>
      <c r="AI332" s="50"/>
      <c r="AJ332" s="46"/>
      <c r="AK332" s="46"/>
      <c r="AL332" s="46"/>
      <c r="AM332" s="51">
        <f>IF($AL332=4,VLOOKUP($AR332,'Loyalty Incentive v1'!$L$3:$Q$15,2,FALSE),
IF($AL332=3,VLOOKUP($AR332,'Loyalty Incentive v1'!$L$3:$Q$15,3,FALSE),
IF($AL332=2,VLOOKUP($AR332,'Loyalty Incentive v1'!$L$3:$Q$15,4,FALSE),
IF($AL332=1,VLOOKUP($AR332,'Loyalty Incentive v1'!$L$3:$Q$15,5,FALSE),
IF($AL332=0,VLOOKUP($AR332,'Loyalty Incentive v1'!$L$3:$Q$15,6,FALSE),0)))))</f>
        <v>0</v>
      </c>
      <c r="AN332" s="51">
        <f>IFERROR(IF(I332&gt;="1",AM332,VLOOKUP(VALUE(I332),'Loyalty - Effec - 15July'!$I$5:$J$16,2,0)*AM332),0)</f>
        <v>0</v>
      </c>
      <c r="AO332" s="51">
        <v>0</v>
      </c>
      <c r="AP332" s="51">
        <f t="shared" si="191"/>
        <v>0</v>
      </c>
      <c r="AQ332" s="46" t="str">
        <f t="shared" si="203"/>
        <v>No</v>
      </c>
      <c r="AR332" s="46" t="str">
        <f t="shared" si="204"/>
        <v>AE1</v>
      </c>
      <c r="AS332" s="46" t="b">
        <f t="shared" si="205"/>
        <v>1</v>
      </c>
      <c r="AT332" s="82">
        <f t="shared" si="209"/>
        <v>0</v>
      </c>
      <c r="AU332" s="81">
        <f t="shared" si="192"/>
        <v>0</v>
      </c>
      <c r="AV332" s="81">
        <f t="shared" si="193"/>
        <v>0</v>
      </c>
      <c r="AW332" s="81">
        <f t="shared" si="194"/>
        <v>0</v>
      </c>
      <c r="AX332" s="85"/>
      <c r="AY332" s="81">
        <f t="shared" si="195"/>
        <v>0</v>
      </c>
      <c r="AZ332" s="83">
        <f t="shared" si="196"/>
        <v>0</v>
      </c>
      <c r="BA332" s="81">
        <f t="shared" si="197"/>
        <v>0</v>
      </c>
      <c r="BB332" s="83">
        <v>0</v>
      </c>
      <c r="BC332" s="83">
        <v>0</v>
      </c>
      <c r="BD332" s="83">
        <v>0</v>
      </c>
      <c r="BE332" s="84">
        <f>ROUND((IF(($AT332&lt;=700000),0,IF(((VLOOKUP($AR332,'Loyalty - Effec - 15July'!$B$5:$C$17,2,0)*$AT332)&lt;=120000),(VLOOKUP($AR332,'Loyalty - Effec - 15July'!$B$5:$C$17,2,0)*$AT332),120000))),0)</f>
        <v>0</v>
      </c>
      <c r="BF332" s="83">
        <f>ROUND(VLOOKUP($AR332,'Loyalty - Effec - 15July'!$B$5:$D$17,3,0)*$AT332,0)</f>
        <v>0</v>
      </c>
      <c r="BG332" s="85">
        <f t="shared" si="198"/>
        <v>0</v>
      </c>
      <c r="BH332" s="83">
        <f t="shared" si="199"/>
        <v>0</v>
      </c>
      <c r="BI332" s="85">
        <f t="shared" si="202"/>
        <v>0</v>
      </c>
      <c r="BJ332" s="85">
        <f t="shared" si="200"/>
        <v>0</v>
      </c>
      <c r="BK332" s="85">
        <f t="shared" si="201"/>
        <v>0</v>
      </c>
      <c r="BL332" s="85">
        <f t="shared" si="206"/>
        <v>0</v>
      </c>
      <c r="BM332" s="85">
        <f t="shared" si="207"/>
        <v>0</v>
      </c>
      <c r="BN332" s="85">
        <f t="shared" si="208"/>
        <v>0</v>
      </c>
      <c r="BO332" s="46" t="s">
        <v>85</v>
      </c>
      <c r="BP332" s="46"/>
      <c r="BQ332" s="46"/>
      <c r="BU332" s="47">
        <f t="shared" si="210"/>
        <v>0</v>
      </c>
      <c r="BV332" s="53" t="s">
        <v>596</v>
      </c>
      <c r="BW332" s="53" t="s">
        <v>932</v>
      </c>
      <c r="BX332" s="53" t="s">
        <v>815</v>
      </c>
      <c r="BY332" s="53"/>
      <c r="BZ332" s="53"/>
    </row>
    <row r="333" spans="1:78">
      <c r="A333" s="42" t="s">
        <v>597</v>
      </c>
      <c r="B333" s="28" t="s">
        <v>79</v>
      </c>
      <c r="C333" s="28" t="s">
        <v>80</v>
      </c>
      <c r="D333" s="28" t="s">
        <v>932</v>
      </c>
      <c r="F333" s="28" t="s">
        <v>901</v>
      </c>
      <c r="G333" s="44" t="s">
        <v>816</v>
      </c>
      <c r="H333" s="45">
        <v>45084</v>
      </c>
      <c r="I333" s="46" t="s">
        <v>1008</v>
      </c>
      <c r="J333" s="28">
        <v>2</v>
      </c>
      <c r="K333" s="28" t="s">
        <v>413</v>
      </c>
      <c r="L333" s="28" t="s">
        <v>880</v>
      </c>
      <c r="M333" s="28" t="s">
        <v>9</v>
      </c>
      <c r="N333" s="28" t="str">
        <f t="shared" si="179"/>
        <v>AE1</v>
      </c>
      <c r="O333" s="81"/>
      <c r="P333" s="81">
        <f t="shared" si="180"/>
        <v>0</v>
      </c>
      <c r="Q333" s="81">
        <f t="shared" si="181"/>
        <v>0</v>
      </c>
      <c r="R333" s="81">
        <f t="shared" si="182"/>
        <v>0</v>
      </c>
      <c r="S333" s="81"/>
      <c r="T333" s="82">
        <f t="shared" si="183"/>
        <v>0</v>
      </c>
      <c r="U333" s="82">
        <f t="shared" si="184"/>
        <v>0</v>
      </c>
      <c r="V333" s="82">
        <f t="shared" si="185"/>
        <v>0</v>
      </c>
      <c r="W333" s="83">
        <v>0</v>
      </c>
      <c r="X333" s="83">
        <v>0</v>
      </c>
      <c r="Y333" s="83">
        <v>0</v>
      </c>
      <c r="Z333" s="84">
        <f>ROUND((IF(($O333&lt;=700000),0,IF(((VLOOKUP($M333,'Loyalty - Effec - 15July'!$B$5:$C$17,2,0)*$O333)&lt;=120000),(VLOOKUP($M333,'Loyalty - Effec - 15July'!$B$5:$C$17,2,0)*$O333),120000))),0)</f>
        <v>0</v>
      </c>
      <c r="AA333" s="84">
        <f>ROUND(VLOOKUP($M333,'Loyalty - Effec - 15July'!$B$5:$D$17,3,0)*$O333,0)</f>
        <v>0</v>
      </c>
      <c r="AB333" s="85">
        <f t="shared" si="186"/>
        <v>0</v>
      </c>
      <c r="AC333" s="86">
        <f t="shared" si="187"/>
        <v>0</v>
      </c>
      <c r="AD333" s="87">
        <f t="shared" si="188"/>
        <v>0</v>
      </c>
      <c r="AE333" s="88">
        <f t="shared" si="189"/>
        <v>0</v>
      </c>
      <c r="AF333" s="88">
        <f t="shared" si="190"/>
        <v>0</v>
      </c>
      <c r="AG333" s="49" t="s">
        <v>133</v>
      </c>
      <c r="AH333" s="49" t="s">
        <v>910</v>
      </c>
      <c r="AI333" s="50"/>
      <c r="AJ333" s="46"/>
      <c r="AK333" s="46"/>
      <c r="AL333" s="46"/>
      <c r="AM333" s="51">
        <f>IF($AL333=4,VLOOKUP($AR333,'Loyalty Incentive v1'!$L$3:$Q$15,2,FALSE),
IF($AL333=3,VLOOKUP($AR333,'Loyalty Incentive v1'!$L$3:$Q$15,3,FALSE),
IF($AL333=2,VLOOKUP($AR333,'Loyalty Incentive v1'!$L$3:$Q$15,4,FALSE),
IF($AL333=1,VLOOKUP($AR333,'Loyalty Incentive v1'!$L$3:$Q$15,5,FALSE),
IF($AL333=0,VLOOKUP($AR333,'Loyalty Incentive v1'!$L$3:$Q$15,6,FALSE),0)))))</f>
        <v>0</v>
      </c>
      <c r="AN333" s="51">
        <f>IFERROR(IF(I333&gt;="1",AM333,VLOOKUP(VALUE(I333),'Loyalty - Effec - 15July'!$I$5:$J$16,2,0)*AM333),0)</f>
        <v>0</v>
      </c>
      <c r="AO333" s="51">
        <v>0</v>
      </c>
      <c r="AP333" s="51">
        <f t="shared" si="191"/>
        <v>0</v>
      </c>
      <c r="AQ333" s="46" t="str">
        <f t="shared" si="203"/>
        <v>No</v>
      </c>
      <c r="AR333" s="46" t="str">
        <f t="shared" si="204"/>
        <v>AE1</v>
      </c>
      <c r="AS333" s="46" t="b">
        <f t="shared" si="205"/>
        <v>1</v>
      </c>
      <c r="AT333" s="82">
        <f t="shared" si="209"/>
        <v>0</v>
      </c>
      <c r="AU333" s="81">
        <f t="shared" si="192"/>
        <v>0</v>
      </c>
      <c r="AV333" s="81">
        <f t="shared" si="193"/>
        <v>0</v>
      </c>
      <c r="AW333" s="81">
        <f t="shared" si="194"/>
        <v>0</v>
      </c>
      <c r="AX333" s="85"/>
      <c r="AY333" s="81">
        <f t="shared" si="195"/>
        <v>0</v>
      </c>
      <c r="AZ333" s="83">
        <f t="shared" si="196"/>
        <v>0</v>
      </c>
      <c r="BA333" s="81">
        <f t="shared" si="197"/>
        <v>0</v>
      </c>
      <c r="BB333" s="83">
        <v>0</v>
      </c>
      <c r="BC333" s="83">
        <v>0</v>
      </c>
      <c r="BD333" s="83">
        <v>0</v>
      </c>
      <c r="BE333" s="84">
        <f>ROUND((IF(($AT333&lt;=700000),0,IF(((VLOOKUP($AR333,'Loyalty - Effec - 15July'!$B$5:$C$17,2,0)*$AT333)&lt;=120000),(VLOOKUP($AR333,'Loyalty - Effec - 15July'!$B$5:$C$17,2,0)*$AT333),120000))),0)</f>
        <v>0</v>
      </c>
      <c r="BF333" s="83">
        <f>ROUND(VLOOKUP($AR333,'Loyalty - Effec - 15July'!$B$5:$D$17,3,0)*$AT333,0)</f>
        <v>0</v>
      </c>
      <c r="BG333" s="85">
        <f t="shared" si="198"/>
        <v>0</v>
      </c>
      <c r="BH333" s="83">
        <f t="shared" si="199"/>
        <v>0</v>
      </c>
      <c r="BI333" s="85">
        <f t="shared" si="202"/>
        <v>0</v>
      </c>
      <c r="BJ333" s="85">
        <f t="shared" si="200"/>
        <v>0</v>
      </c>
      <c r="BK333" s="85">
        <f t="shared" si="201"/>
        <v>0</v>
      </c>
      <c r="BL333" s="85">
        <f t="shared" si="206"/>
        <v>0</v>
      </c>
      <c r="BM333" s="85">
        <f t="shared" si="207"/>
        <v>0</v>
      </c>
      <c r="BN333" s="85">
        <f t="shared" si="208"/>
        <v>0</v>
      </c>
      <c r="BO333" s="46" t="s">
        <v>85</v>
      </c>
      <c r="BP333" s="46"/>
      <c r="BQ333" s="46"/>
      <c r="BU333" s="47">
        <f t="shared" si="210"/>
        <v>0</v>
      </c>
      <c r="BV333" s="53" t="s">
        <v>597</v>
      </c>
      <c r="BW333" s="53" t="s">
        <v>932</v>
      </c>
      <c r="BX333" s="53" t="s">
        <v>816</v>
      </c>
      <c r="BY333" s="53"/>
      <c r="BZ333" s="53"/>
    </row>
    <row r="334" spans="1:78">
      <c r="A334" s="42" t="s">
        <v>598</v>
      </c>
      <c r="B334" s="28" t="s">
        <v>79</v>
      </c>
      <c r="C334" s="28" t="s">
        <v>80</v>
      </c>
      <c r="D334" s="28" t="s">
        <v>932</v>
      </c>
      <c r="F334" s="28" t="s">
        <v>901</v>
      </c>
      <c r="G334" s="44" t="s">
        <v>817</v>
      </c>
      <c r="H334" s="45">
        <v>45084</v>
      </c>
      <c r="I334" s="46" t="s">
        <v>1008</v>
      </c>
      <c r="J334" s="28">
        <v>2</v>
      </c>
      <c r="K334" s="28" t="s">
        <v>413</v>
      </c>
      <c r="L334" s="28" t="s">
        <v>880</v>
      </c>
      <c r="M334" s="28" t="s">
        <v>9</v>
      </c>
      <c r="N334" s="28" t="str">
        <f t="shared" si="179"/>
        <v>AE1</v>
      </c>
      <c r="O334" s="81"/>
      <c r="P334" s="81">
        <f t="shared" si="180"/>
        <v>0</v>
      </c>
      <c r="Q334" s="81">
        <f t="shared" si="181"/>
        <v>0</v>
      </c>
      <c r="R334" s="81">
        <f t="shared" si="182"/>
        <v>0</v>
      </c>
      <c r="S334" s="81"/>
      <c r="T334" s="82">
        <f t="shared" si="183"/>
        <v>0</v>
      </c>
      <c r="U334" s="82">
        <f t="shared" si="184"/>
        <v>0</v>
      </c>
      <c r="V334" s="82">
        <f t="shared" si="185"/>
        <v>0</v>
      </c>
      <c r="W334" s="83">
        <v>0</v>
      </c>
      <c r="X334" s="83">
        <v>0</v>
      </c>
      <c r="Y334" s="83">
        <v>0</v>
      </c>
      <c r="Z334" s="84">
        <f>ROUND((IF(($O334&lt;=700000),0,IF(((VLOOKUP($M334,'Loyalty - Effec - 15July'!$B$5:$C$17,2,0)*$O334)&lt;=120000),(VLOOKUP($M334,'Loyalty - Effec - 15July'!$B$5:$C$17,2,0)*$O334),120000))),0)</f>
        <v>0</v>
      </c>
      <c r="AA334" s="84">
        <f>ROUND(VLOOKUP($M334,'Loyalty - Effec - 15July'!$B$5:$D$17,3,0)*$O334,0)</f>
        <v>0</v>
      </c>
      <c r="AB334" s="85">
        <f t="shared" si="186"/>
        <v>0</v>
      </c>
      <c r="AC334" s="86">
        <f t="shared" si="187"/>
        <v>0</v>
      </c>
      <c r="AD334" s="87">
        <f t="shared" si="188"/>
        <v>0</v>
      </c>
      <c r="AE334" s="88">
        <f t="shared" si="189"/>
        <v>0</v>
      </c>
      <c r="AF334" s="88">
        <f t="shared" si="190"/>
        <v>0</v>
      </c>
      <c r="AG334" s="49" t="s">
        <v>190</v>
      </c>
      <c r="AH334" s="49" t="s">
        <v>909</v>
      </c>
      <c r="AI334" s="50"/>
      <c r="AJ334" s="46"/>
      <c r="AK334" s="46"/>
      <c r="AL334" s="46"/>
      <c r="AM334" s="51">
        <f>IF($AL334=4,VLOOKUP($AR334,'Loyalty Incentive v1'!$L$3:$Q$15,2,FALSE),
IF($AL334=3,VLOOKUP($AR334,'Loyalty Incentive v1'!$L$3:$Q$15,3,FALSE),
IF($AL334=2,VLOOKUP($AR334,'Loyalty Incentive v1'!$L$3:$Q$15,4,FALSE),
IF($AL334=1,VLOOKUP($AR334,'Loyalty Incentive v1'!$L$3:$Q$15,5,FALSE),
IF($AL334=0,VLOOKUP($AR334,'Loyalty Incentive v1'!$L$3:$Q$15,6,FALSE),0)))))</f>
        <v>0</v>
      </c>
      <c r="AN334" s="51">
        <f>IFERROR(IF(I334&gt;="1",AM334,VLOOKUP(VALUE(I334),'Loyalty - Effec - 15July'!$I$5:$J$16,2,0)*AM334),0)</f>
        <v>0</v>
      </c>
      <c r="AO334" s="51">
        <v>0</v>
      </c>
      <c r="AP334" s="51">
        <f t="shared" si="191"/>
        <v>0</v>
      </c>
      <c r="AQ334" s="46" t="str">
        <f t="shared" si="203"/>
        <v>No</v>
      </c>
      <c r="AR334" s="46" t="str">
        <f t="shared" si="204"/>
        <v>AE1</v>
      </c>
      <c r="AS334" s="46" t="b">
        <f t="shared" si="205"/>
        <v>1</v>
      </c>
      <c r="AT334" s="82">
        <f t="shared" si="209"/>
        <v>0</v>
      </c>
      <c r="AU334" s="81">
        <f t="shared" si="192"/>
        <v>0</v>
      </c>
      <c r="AV334" s="81">
        <f t="shared" si="193"/>
        <v>0</v>
      </c>
      <c r="AW334" s="81">
        <f t="shared" si="194"/>
        <v>0</v>
      </c>
      <c r="AX334" s="85"/>
      <c r="AY334" s="81">
        <f t="shared" si="195"/>
        <v>0</v>
      </c>
      <c r="AZ334" s="83">
        <f t="shared" si="196"/>
        <v>0</v>
      </c>
      <c r="BA334" s="81">
        <f t="shared" si="197"/>
        <v>0</v>
      </c>
      <c r="BB334" s="83">
        <v>0</v>
      </c>
      <c r="BC334" s="83">
        <v>0</v>
      </c>
      <c r="BD334" s="83">
        <v>0</v>
      </c>
      <c r="BE334" s="84">
        <f>ROUND((IF(($AT334&lt;=700000),0,IF(((VLOOKUP($AR334,'Loyalty - Effec - 15July'!$B$5:$C$17,2,0)*$AT334)&lt;=120000),(VLOOKUP($AR334,'Loyalty - Effec - 15July'!$B$5:$C$17,2,0)*$AT334),120000))),0)</f>
        <v>0</v>
      </c>
      <c r="BF334" s="83">
        <f>ROUND(VLOOKUP($AR334,'Loyalty - Effec - 15July'!$B$5:$D$17,3,0)*$AT334,0)</f>
        <v>0</v>
      </c>
      <c r="BG334" s="85">
        <f t="shared" si="198"/>
        <v>0</v>
      </c>
      <c r="BH334" s="83">
        <f t="shared" si="199"/>
        <v>0</v>
      </c>
      <c r="BI334" s="85">
        <f t="shared" si="202"/>
        <v>0</v>
      </c>
      <c r="BJ334" s="85">
        <f t="shared" si="200"/>
        <v>0</v>
      </c>
      <c r="BK334" s="85">
        <f t="shared" si="201"/>
        <v>0</v>
      </c>
      <c r="BL334" s="85">
        <f t="shared" si="206"/>
        <v>0</v>
      </c>
      <c r="BM334" s="85">
        <f t="shared" si="207"/>
        <v>0</v>
      </c>
      <c r="BN334" s="85">
        <f t="shared" si="208"/>
        <v>0</v>
      </c>
      <c r="BO334" s="46" t="s">
        <v>85</v>
      </c>
      <c r="BP334" s="46"/>
      <c r="BQ334" s="46"/>
      <c r="BU334" s="47">
        <f t="shared" si="210"/>
        <v>0</v>
      </c>
      <c r="BV334" s="53" t="s">
        <v>598</v>
      </c>
      <c r="BW334" s="53" t="s">
        <v>932</v>
      </c>
      <c r="BX334" s="53" t="s">
        <v>817</v>
      </c>
      <c r="BY334" s="53"/>
      <c r="BZ334" s="53"/>
    </row>
    <row r="335" spans="1:78">
      <c r="A335" s="42" t="s">
        <v>599</v>
      </c>
      <c r="B335" s="28" t="s">
        <v>79</v>
      </c>
      <c r="C335" s="28" t="s">
        <v>80</v>
      </c>
      <c r="D335" s="28" t="s">
        <v>932</v>
      </c>
      <c r="F335" s="28" t="s">
        <v>901</v>
      </c>
      <c r="G335" s="44" t="s">
        <v>818</v>
      </c>
      <c r="H335" s="45">
        <v>45084</v>
      </c>
      <c r="I335" s="46" t="s">
        <v>1008</v>
      </c>
      <c r="J335" s="28">
        <v>2</v>
      </c>
      <c r="K335" s="28" t="s">
        <v>413</v>
      </c>
      <c r="L335" s="28" t="s">
        <v>880</v>
      </c>
      <c r="M335" s="28" t="s">
        <v>9</v>
      </c>
      <c r="N335" s="28" t="str">
        <f t="shared" si="179"/>
        <v>AE1</v>
      </c>
      <c r="O335" s="81"/>
      <c r="P335" s="81">
        <f t="shared" si="180"/>
        <v>0</v>
      </c>
      <c r="Q335" s="81">
        <f t="shared" si="181"/>
        <v>0</v>
      </c>
      <c r="R335" s="81">
        <f t="shared" si="182"/>
        <v>0</v>
      </c>
      <c r="S335" s="81"/>
      <c r="T335" s="82">
        <f t="shared" si="183"/>
        <v>0</v>
      </c>
      <c r="U335" s="82">
        <f t="shared" si="184"/>
        <v>0</v>
      </c>
      <c r="V335" s="82">
        <f t="shared" si="185"/>
        <v>0</v>
      </c>
      <c r="W335" s="83">
        <v>0</v>
      </c>
      <c r="X335" s="83">
        <v>0</v>
      </c>
      <c r="Y335" s="83">
        <v>0</v>
      </c>
      <c r="Z335" s="84">
        <f>ROUND((IF(($O335&lt;=700000),0,IF(((VLOOKUP($M335,'Loyalty - Effec - 15July'!$B$5:$C$17,2,0)*$O335)&lt;=120000),(VLOOKUP($M335,'Loyalty - Effec - 15July'!$B$5:$C$17,2,0)*$O335),120000))),0)</f>
        <v>0</v>
      </c>
      <c r="AA335" s="84">
        <f>ROUND(VLOOKUP($M335,'Loyalty - Effec - 15July'!$B$5:$D$17,3,0)*$O335,0)</f>
        <v>0</v>
      </c>
      <c r="AB335" s="85">
        <f t="shared" si="186"/>
        <v>0</v>
      </c>
      <c r="AC335" s="86">
        <f t="shared" si="187"/>
        <v>0</v>
      </c>
      <c r="AD335" s="87">
        <f t="shared" si="188"/>
        <v>0</v>
      </c>
      <c r="AE335" s="88">
        <f t="shared" si="189"/>
        <v>0</v>
      </c>
      <c r="AF335" s="88">
        <f t="shared" si="190"/>
        <v>0</v>
      </c>
      <c r="AG335" s="49" t="s">
        <v>921</v>
      </c>
      <c r="AH335" s="49" t="s">
        <v>120</v>
      </c>
      <c r="AI335" s="50"/>
      <c r="AJ335" s="46"/>
      <c r="AK335" s="46"/>
      <c r="AL335" s="46"/>
      <c r="AM335" s="51">
        <f>IF($AL335=4,VLOOKUP($AR335,'Loyalty Incentive v1'!$L$3:$Q$15,2,FALSE),
IF($AL335=3,VLOOKUP($AR335,'Loyalty Incentive v1'!$L$3:$Q$15,3,FALSE),
IF($AL335=2,VLOOKUP($AR335,'Loyalty Incentive v1'!$L$3:$Q$15,4,FALSE),
IF($AL335=1,VLOOKUP($AR335,'Loyalty Incentive v1'!$L$3:$Q$15,5,FALSE),
IF($AL335=0,VLOOKUP($AR335,'Loyalty Incentive v1'!$L$3:$Q$15,6,FALSE),0)))))</f>
        <v>0</v>
      </c>
      <c r="AN335" s="51">
        <f>IFERROR(IF(I335&gt;="1",AM335,VLOOKUP(VALUE(I335),'Loyalty - Effec - 15July'!$I$5:$J$16,2,0)*AM335),0)</f>
        <v>0</v>
      </c>
      <c r="AO335" s="51">
        <v>0</v>
      </c>
      <c r="AP335" s="51">
        <f t="shared" si="191"/>
        <v>0</v>
      </c>
      <c r="AQ335" s="46" t="str">
        <f t="shared" si="203"/>
        <v>No</v>
      </c>
      <c r="AR335" s="46" t="str">
        <f t="shared" si="204"/>
        <v>AE1</v>
      </c>
      <c r="AS335" s="46" t="b">
        <f t="shared" si="205"/>
        <v>1</v>
      </c>
      <c r="AT335" s="82">
        <f t="shared" si="209"/>
        <v>0</v>
      </c>
      <c r="AU335" s="81">
        <f t="shared" si="192"/>
        <v>0</v>
      </c>
      <c r="AV335" s="81">
        <f t="shared" si="193"/>
        <v>0</v>
      </c>
      <c r="AW335" s="81">
        <f t="shared" si="194"/>
        <v>0</v>
      </c>
      <c r="AX335" s="85"/>
      <c r="AY335" s="81">
        <f t="shared" si="195"/>
        <v>0</v>
      </c>
      <c r="AZ335" s="83">
        <f t="shared" si="196"/>
        <v>0</v>
      </c>
      <c r="BA335" s="81">
        <f t="shared" si="197"/>
        <v>0</v>
      </c>
      <c r="BB335" s="83">
        <v>0</v>
      </c>
      <c r="BC335" s="83">
        <v>0</v>
      </c>
      <c r="BD335" s="83">
        <v>0</v>
      </c>
      <c r="BE335" s="84">
        <f>ROUND((IF(($AT335&lt;=700000),0,IF(((VLOOKUP($AR335,'Loyalty - Effec - 15July'!$B$5:$C$17,2,0)*$AT335)&lt;=120000),(VLOOKUP($AR335,'Loyalty - Effec - 15July'!$B$5:$C$17,2,0)*$AT335),120000))),0)</f>
        <v>0</v>
      </c>
      <c r="BF335" s="83">
        <f>ROUND(VLOOKUP($AR335,'Loyalty - Effec - 15July'!$B$5:$D$17,3,0)*$AT335,0)</f>
        <v>0</v>
      </c>
      <c r="BG335" s="85">
        <f t="shared" si="198"/>
        <v>0</v>
      </c>
      <c r="BH335" s="83">
        <f t="shared" si="199"/>
        <v>0</v>
      </c>
      <c r="BI335" s="85">
        <f t="shared" si="202"/>
        <v>0</v>
      </c>
      <c r="BJ335" s="85">
        <f t="shared" si="200"/>
        <v>0</v>
      </c>
      <c r="BK335" s="85">
        <f t="shared" si="201"/>
        <v>0</v>
      </c>
      <c r="BL335" s="85">
        <f t="shared" si="206"/>
        <v>0</v>
      </c>
      <c r="BM335" s="85">
        <f t="shared" si="207"/>
        <v>0</v>
      </c>
      <c r="BN335" s="85">
        <f t="shared" si="208"/>
        <v>0</v>
      </c>
      <c r="BO335" s="46" t="s">
        <v>85</v>
      </c>
      <c r="BP335" s="46"/>
      <c r="BQ335" s="46"/>
      <c r="BU335" s="47">
        <f t="shared" si="210"/>
        <v>0</v>
      </c>
      <c r="BV335" s="53" t="s">
        <v>599</v>
      </c>
      <c r="BW335" s="53" t="s">
        <v>932</v>
      </c>
      <c r="BX335" s="53" t="s">
        <v>818</v>
      </c>
      <c r="BY335" s="53"/>
      <c r="BZ335" s="53"/>
    </row>
    <row r="336" spans="1:78">
      <c r="A336" s="42" t="s">
        <v>600</v>
      </c>
      <c r="B336" s="28" t="s">
        <v>79</v>
      </c>
      <c r="C336" s="28" t="s">
        <v>80</v>
      </c>
      <c r="D336" s="28" t="s">
        <v>932</v>
      </c>
      <c r="F336" s="28" t="s">
        <v>901</v>
      </c>
      <c r="G336" s="44" t="s">
        <v>819</v>
      </c>
      <c r="H336" s="45">
        <v>45084</v>
      </c>
      <c r="I336" s="46" t="s">
        <v>1008</v>
      </c>
      <c r="J336" s="28">
        <v>2</v>
      </c>
      <c r="K336" s="28" t="s">
        <v>413</v>
      </c>
      <c r="L336" s="28" t="s">
        <v>880</v>
      </c>
      <c r="M336" s="28" t="s">
        <v>9</v>
      </c>
      <c r="N336" s="28" t="str">
        <f t="shared" si="179"/>
        <v>AE1</v>
      </c>
      <c r="O336" s="81"/>
      <c r="P336" s="81">
        <f t="shared" si="180"/>
        <v>0</v>
      </c>
      <c r="Q336" s="81">
        <f t="shared" si="181"/>
        <v>0</v>
      </c>
      <c r="R336" s="81">
        <f t="shared" si="182"/>
        <v>0</v>
      </c>
      <c r="S336" s="81"/>
      <c r="T336" s="82">
        <f t="shared" si="183"/>
        <v>0</v>
      </c>
      <c r="U336" s="82">
        <f t="shared" si="184"/>
        <v>0</v>
      </c>
      <c r="V336" s="82">
        <f t="shared" si="185"/>
        <v>0</v>
      </c>
      <c r="W336" s="83">
        <v>0</v>
      </c>
      <c r="X336" s="83">
        <v>0</v>
      </c>
      <c r="Y336" s="83">
        <v>0</v>
      </c>
      <c r="Z336" s="84">
        <f>ROUND((IF(($O336&lt;=700000),0,IF(((VLOOKUP($M336,'Loyalty - Effec - 15July'!$B$5:$C$17,2,0)*$O336)&lt;=120000),(VLOOKUP($M336,'Loyalty - Effec - 15July'!$B$5:$C$17,2,0)*$O336),120000))),0)</f>
        <v>0</v>
      </c>
      <c r="AA336" s="84">
        <f>ROUND(VLOOKUP($M336,'Loyalty - Effec - 15July'!$B$5:$D$17,3,0)*$O336,0)</f>
        <v>0</v>
      </c>
      <c r="AB336" s="85">
        <f t="shared" si="186"/>
        <v>0</v>
      </c>
      <c r="AC336" s="86">
        <f t="shared" si="187"/>
        <v>0</v>
      </c>
      <c r="AD336" s="87">
        <f t="shared" si="188"/>
        <v>0</v>
      </c>
      <c r="AE336" s="88">
        <f t="shared" si="189"/>
        <v>0</v>
      </c>
      <c r="AF336" s="88">
        <f t="shared" si="190"/>
        <v>0</v>
      </c>
      <c r="AG336" s="49" t="s">
        <v>921</v>
      </c>
      <c r="AH336" s="49" t="s">
        <v>120</v>
      </c>
      <c r="AI336" s="50"/>
      <c r="AJ336" s="46"/>
      <c r="AK336" s="46"/>
      <c r="AL336" s="46"/>
      <c r="AM336" s="51">
        <f>IF($AL336=4,VLOOKUP($AR336,'Loyalty Incentive v1'!$L$3:$Q$15,2,FALSE),
IF($AL336=3,VLOOKUP($AR336,'Loyalty Incentive v1'!$L$3:$Q$15,3,FALSE),
IF($AL336=2,VLOOKUP($AR336,'Loyalty Incentive v1'!$L$3:$Q$15,4,FALSE),
IF($AL336=1,VLOOKUP($AR336,'Loyalty Incentive v1'!$L$3:$Q$15,5,FALSE),
IF($AL336=0,VLOOKUP($AR336,'Loyalty Incentive v1'!$L$3:$Q$15,6,FALSE),0)))))</f>
        <v>0</v>
      </c>
      <c r="AN336" s="51">
        <f>IFERROR(IF(I336&gt;="1",AM336,VLOOKUP(VALUE(I336),'Loyalty - Effec - 15July'!$I$5:$J$16,2,0)*AM336),0)</f>
        <v>0</v>
      </c>
      <c r="AO336" s="51">
        <v>0</v>
      </c>
      <c r="AP336" s="51">
        <f t="shared" si="191"/>
        <v>0</v>
      </c>
      <c r="AQ336" s="46" t="str">
        <f t="shared" si="203"/>
        <v>No</v>
      </c>
      <c r="AR336" s="46" t="str">
        <f t="shared" si="204"/>
        <v>AE1</v>
      </c>
      <c r="AS336" s="46" t="b">
        <f t="shared" si="205"/>
        <v>1</v>
      </c>
      <c r="AT336" s="82">
        <f t="shared" si="209"/>
        <v>0</v>
      </c>
      <c r="AU336" s="81">
        <f t="shared" si="192"/>
        <v>0</v>
      </c>
      <c r="AV336" s="81">
        <f t="shared" si="193"/>
        <v>0</v>
      </c>
      <c r="AW336" s="81">
        <f t="shared" si="194"/>
        <v>0</v>
      </c>
      <c r="AX336" s="85"/>
      <c r="AY336" s="81">
        <f t="shared" si="195"/>
        <v>0</v>
      </c>
      <c r="AZ336" s="83">
        <f t="shared" si="196"/>
        <v>0</v>
      </c>
      <c r="BA336" s="81">
        <f t="shared" si="197"/>
        <v>0</v>
      </c>
      <c r="BB336" s="83">
        <v>0</v>
      </c>
      <c r="BC336" s="83">
        <v>0</v>
      </c>
      <c r="BD336" s="83">
        <v>0</v>
      </c>
      <c r="BE336" s="84">
        <f>ROUND((IF(($AT336&lt;=700000),0,IF(((VLOOKUP($AR336,'Loyalty - Effec - 15July'!$B$5:$C$17,2,0)*$AT336)&lt;=120000),(VLOOKUP($AR336,'Loyalty - Effec - 15July'!$B$5:$C$17,2,0)*$AT336),120000))),0)</f>
        <v>0</v>
      </c>
      <c r="BF336" s="83">
        <f>ROUND(VLOOKUP($AR336,'Loyalty - Effec - 15July'!$B$5:$D$17,3,0)*$AT336,0)</f>
        <v>0</v>
      </c>
      <c r="BG336" s="85">
        <f t="shared" si="198"/>
        <v>0</v>
      </c>
      <c r="BH336" s="83">
        <f t="shared" si="199"/>
        <v>0</v>
      </c>
      <c r="BI336" s="85">
        <f t="shared" si="202"/>
        <v>0</v>
      </c>
      <c r="BJ336" s="85">
        <f t="shared" si="200"/>
        <v>0</v>
      </c>
      <c r="BK336" s="85">
        <f t="shared" si="201"/>
        <v>0</v>
      </c>
      <c r="BL336" s="85">
        <f t="shared" si="206"/>
        <v>0</v>
      </c>
      <c r="BM336" s="85">
        <f t="shared" si="207"/>
        <v>0</v>
      </c>
      <c r="BN336" s="85">
        <f t="shared" si="208"/>
        <v>0</v>
      </c>
      <c r="BO336" s="46" t="s">
        <v>85</v>
      </c>
      <c r="BP336" s="46"/>
      <c r="BQ336" s="46"/>
      <c r="BU336" s="47">
        <f t="shared" si="210"/>
        <v>0</v>
      </c>
      <c r="BV336" s="53" t="s">
        <v>600</v>
      </c>
      <c r="BW336" s="53" t="s">
        <v>932</v>
      </c>
      <c r="BX336" s="53" t="s">
        <v>819</v>
      </c>
      <c r="BY336" s="53"/>
      <c r="BZ336" s="53"/>
    </row>
    <row r="337" spans="1:78">
      <c r="A337" s="42" t="s">
        <v>601</v>
      </c>
      <c r="B337" s="28" t="s">
        <v>79</v>
      </c>
      <c r="C337" s="28" t="s">
        <v>80</v>
      </c>
      <c r="D337" s="28" t="s">
        <v>932</v>
      </c>
      <c r="F337" s="28" t="s">
        <v>901</v>
      </c>
      <c r="G337" s="44" t="s">
        <v>820</v>
      </c>
      <c r="H337" s="45">
        <v>45084</v>
      </c>
      <c r="I337" s="46" t="s">
        <v>1008</v>
      </c>
      <c r="J337" s="28">
        <v>2</v>
      </c>
      <c r="K337" s="28" t="s">
        <v>413</v>
      </c>
      <c r="L337" s="28" t="s">
        <v>880</v>
      </c>
      <c r="M337" s="28" t="s">
        <v>9</v>
      </c>
      <c r="N337" s="28" t="str">
        <f t="shared" si="179"/>
        <v>AE1</v>
      </c>
      <c r="O337" s="81"/>
      <c r="P337" s="81">
        <f t="shared" si="180"/>
        <v>0</v>
      </c>
      <c r="Q337" s="81">
        <f t="shared" si="181"/>
        <v>0</v>
      </c>
      <c r="R337" s="81">
        <f t="shared" si="182"/>
        <v>0</v>
      </c>
      <c r="S337" s="81"/>
      <c r="T337" s="82">
        <f t="shared" si="183"/>
        <v>0</v>
      </c>
      <c r="U337" s="82">
        <f t="shared" si="184"/>
        <v>0</v>
      </c>
      <c r="V337" s="82">
        <f t="shared" si="185"/>
        <v>0</v>
      </c>
      <c r="W337" s="83">
        <v>0</v>
      </c>
      <c r="X337" s="83">
        <v>0</v>
      </c>
      <c r="Y337" s="83">
        <v>0</v>
      </c>
      <c r="Z337" s="84">
        <f>ROUND((IF(($O337&lt;=700000),0,IF(((VLOOKUP($M337,'Loyalty - Effec - 15July'!$B$5:$C$17,2,0)*$O337)&lt;=120000),(VLOOKUP($M337,'Loyalty - Effec - 15July'!$B$5:$C$17,2,0)*$O337),120000))),0)</f>
        <v>0</v>
      </c>
      <c r="AA337" s="84">
        <f>ROUND(VLOOKUP($M337,'Loyalty - Effec - 15July'!$B$5:$D$17,3,0)*$O337,0)</f>
        <v>0</v>
      </c>
      <c r="AB337" s="85">
        <f t="shared" si="186"/>
        <v>0</v>
      </c>
      <c r="AC337" s="86">
        <f t="shared" si="187"/>
        <v>0</v>
      </c>
      <c r="AD337" s="87">
        <f t="shared" si="188"/>
        <v>0</v>
      </c>
      <c r="AE337" s="88">
        <f t="shared" si="189"/>
        <v>0</v>
      </c>
      <c r="AF337" s="88">
        <f t="shared" si="190"/>
        <v>0</v>
      </c>
      <c r="AG337" s="49" t="s">
        <v>100</v>
      </c>
      <c r="AH337" s="49" t="s">
        <v>126</v>
      </c>
      <c r="AI337" s="50"/>
      <c r="AJ337" s="46"/>
      <c r="AK337" s="46"/>
      <c r="AL337" s="46"/>
      <c r="AM337" s="51">
        <f>IF($AL337=4,VLOOKUP($AR337,'Loyalty Incentive v1'!$L$3:$Q$15,2,FALSE),
IF($AL337=3,VLOOKUP($AR337,'Loyalty Incentive v1'!$L$3:$Q$15,3,FALSE),
IF($AL337=2,VLOOKUP($AR337,'Loyalty Incentive v1'!$L$3:$Q$15,4,FALSE),
IF($AL337=1,VLOOKUP($AR337,'Loyalty Incentive v1'!$L$3:$Q$15,5,FALSE),
IF($AL337=0,VLOOKUP($AR337,'Loyalty Incentive v1'!$L$3:$Q$15,6,FALSE),0)))))</f>
        <v>0</v>
      </c>
      <c r="AN337" s="51">
        <f>IFERROR(IF(I337&gt;="1",AM337,VLOOKUP(VALUE(I337),'Loyalty - Effec - 15July'!$I$5:$J$16,2,0)*AM337),0)</f>
        <v>0</v>
      </c>
      <c r="AO337" s="51">
        <v>0</v>
      </c>
      <c r="AP337" s="51">
        <f t="shared" si="191"/>
        <v>0</v>
      </c>
      <c r="AQ337" s="46" t="str">
        <f t="shared" si="203"/>
        <v>No</v>
      </c>
      <c r="AR337" s="46" t="str">
        <f t="shared" si="204"/>
        <v>AE1</v>
      </c>
      <c r="AS337" s="46" t="b">
        <f t="shared" si="205"/>
        <v>1</v>
      </c>
      <c r="AT337" s="82">
        <f t="shared" si="209"/>
        <v>0</v>
      </c>
      <c r="AU337" s="81">
        <f t="shared" si="192"/>
        <v>0</v>
      </c>
      <c r="AV337" s="81">
        <f t="shared" si="193"/>
        <v>0</v>
      </c>
      <c r="AW337" s="81">
        <f t="shared" si="194"/>
        <v>0</v>
      </c>
      <c r="AX337" s="85"/>
      <c r="AY337" s="81">
        <f t="shared" si="195"/>
        <v>0</v>
      </c>
      <c r="AZ337" s="83">
        <f t="shared" si="196"/>
        <v>0</v>
      </c>
      <c r="BA337" s="81">
        <f t="shared" si="197"/>
        <v>0</v>
      </c>
      <c r="BB337" s="83">
        <v>0</v>
      </c>
      <c r="BC337" s="83">
        <v>0</v>
      </c>
      <c r="BD337" s="83">
        <v>0</v>
      </c>
      <c r="BE337" s="84">
        <f>ROUND((IF(($AT337&lt;=700000),0,IF(((VLOOKUP($AR337,'Loyalty - Effec - 15July'!$B$5:$C$17,2,0)*$AT337)&lt;=120000),(VLOOKUP($AR337,'Loyalty - Effec - 15July'!$B$5:$C$17,2,0)*$AT337),120000))),0)</f>
        <v>0</v>
      </c>
      <c r="BF337" s="83">
        <f>ROUND(VLOOKUP($AR337,'Loyalty - Effec - 15July'!$B$5:$D$17,3,0)*$AT337,0)</f>
        <v>0</v>
      </c>
      <c r="BG337" s="85">
        <f t="shared" si="198"/>
        <v>0</v>
      </c>
      <c r="BH337" s="83">
        <f t="shared" si="199"/>
        <v>0</v>
      </c>
      <c r="BI337" s="85">
        <f t="shared" si="202"/>
        <v>0</v>
      </c>
      <c r="BJ337" s="85">
        <f t="shared" si="200"/>
        <v>0</v>
      </c>
      <c r="BK337" s="85">
        <f t="shared" si="201"/>
        <v>0</v>
      </c>
      <c r="BL337" s="85">
        <f t="shared" si="206"/>
        <v>0</v>
      </c>
      <c r="BM337" s="85">
        <f t="shared" si="207"/>
        <v>0</v>
      </c>
      <c r="BN337" s="85">
        <f t="shared" si="208"/>
        <v>0</v>
      </c>
      <c r="BO337" s="46" t="s">
        <v>85</v>
      </c>
      <c r="BP337" s="46"/>
      <c r="BQ337" s="46"/>
      <c r="BU337" s="47">
        <f t="shared" si="210"/>
        <v>0</v>
      </c>
      <c r="BV337" s="53" t="s">
        <v>601</v>
      </c>
      <c r="BW337" s="53" t="s">
        <v>932</v>
      </c>
      <c r="BX337" s="53" t="s">
        <v>820</v>
      </c>
      <c r="BY337" s="53"/>
      <c r="BZ337" s="53"/>
    </row>
    <row r="338" spans="1:78">
      <c r="A338" s="42" t="s">
        <v>602</v>
      </c>
      <c r="B338" s="28" t="s">
        <v>79</v>
      </c>
      <c r="C338" s="28" t="s">
        <v>80</v>
      </c>
      <c r="D338" s="28" t="s">
        <v>932</v>
      </c>
      <c r="F338" s="28" t="s">
        <v>901</v>
      </c>
      <c r="G338" s="44" t="s">
        <v>821</v>
      </c>
      <c r="H338" s="45">
        <v>45084</v>
      </c>
      <c r="I338" s="46" t="s">
        <v>1008</v>
      </c>
      <c r="J338" s="28">
        <v>2</v>
      </c>
      <c r="K338" s="28" t="s">
        <v>413</v>
      </c>
      <c r="L338" s="28" t="s">
        <v>880</v>
      </c>
      <c r="M338" s="28" t="s">
        <v>9</v>
      </c>
      <c r="N338" s="28" t="str">
        <f t="shared" si="179"/>
        <v>AE1</v>
      </c>
      <c r="O338" s="81"/>
      <c r="P338" s="81">
        <f t="shared" si="180"/>
        <v>0</v>
      </c>
      <c r="Q338" s="81">
        <f t="shared" si="181"/>
        <v>0</v>
      </c>
      <c r="R338" s="81">
        <f t="shared" si="182"/>
        <v>0</v>
      </c>
      <c r="S338" s="81"/>
      <c r="T338" s="82">
        <f t="shared" si="183"/>
        <v>0</v>
      </c>
      <c r="U338" s="82">
        <f t="shared" si="184"/>
        <v>0</v>
      </c>
      <c r="V338" s="82">
        <f t="shared" si="185"/>
        <v>0</v>
      </c>
      <c r="W338" s="83">
        <v>0</v>
      </c>
      <c r="X338" s="83">
        <v>0</v>
      </c>
      <c r="Y338" s="83">
        <v>0</v>
      </c>
      <c r="Z338" s="84">
        <f>ROUND((IF(($O338&lt;=700000),0,IF(((VLOOKUP($M338,'Loyalty - Effec - 15July'!$B$5:$C$17,2,0)*$O338)&lt;=120000),(VLOOKUP($M338,'Loyalty - Effec - 15July'!$B$5:$C$17,2,0)*$O338),120000))),0)</f>
        <v>0</v>
      </c>
      <c r="AA338" s="84">
        <f>ROUND(VLOOKUP($M338,'Loyalty - Effec - 15July'!$B$5:$D$17,3,0)*$O338,0)</f>
        <v>0</v>
      </c>
      <c r="AB338" s="85">
        <f t="shared" si="186"/>
        <v>0</v>
      </c>
      <c r="AC338" s="86">
        <f t="shared" si="187"/>
        <v>0</v>
      </c>
      <c r="AD338" s="87">
        <f t="shared" si="188"/>
        <v>0</v>
      </c>
      <c r="AE338" s="88">
        <f t="shared" si="189"/>
        <v>0</v>
      </c>
      <c r="AF338" s="88">
        <f t="shared" si="190"/>
        <v>0</v>
      </c>
      <c r="AG338" s="49" t="s">
        <v>133</v>
      </c>
      <c r="AH338" s="49" t="s">
        <v>910</v>
      </c>
      <c r="AI338" s="50"/>
      <c r="AJ338" s="46"/>
      <c r="AK338" s="46"/>
      <c r="AL338" s="46"/>
      <c r="AM338" s="51">
        <f>IF($AL338=4,VLOOKUP($AR338,'Loyalty Incentive v1'!$L$3:$Q$15,2,FALSE),
IF($AL338=3,VLOOKUP($AR338,'Loyalty Incentive v1'!$L$3:$Q$15,3,FALSE),
IF($AL338=2,VLOOKUP($AR338,'Loyalty Incentive v1'!$L$3:$Q$15,4,FALSE),
IF($AL338=1,VLOOKUP($AR338,'Loyalty Incentive v1'!$L$3:$Q$15,5,FALSE),
IF($AL338=0,VLOOKUP($AR338,'Loyalty Incentive v1'!$L$3:$Q$15,6,FALSE),0)))))</f>
        <v>0</v>
      </c>
      <c r="AN338" s="51">
        <f>IFERROR(IF(I338&gt;="1",AM338,VLOOKUP(VALUE(I338),'Loyalty - Effec - 15July'!$I$5:$J$16,2,0)*AM338),0)</f>
        <v>0</v>
      </c>
      <c r="AO338" s="51">
        <v>0</v>
      </c>
      <c r="AP338" s="51">
        <f t="shared" si="191"/>
        <v>0</v>
      </c>
      <c r="AQ338" s="46" t="str">
        <f t="shared" si="203"/>
        <v>No</v>
      </c>
      <c r="AR338" s="46" t="str">
        <f t="shared" si="204"/>
        <v>AE1</v>
      </c>
      <c r="AS338" s="46" t="b">
        <f t="shared" si="205"/>
        <v>1</v>
      </c>
      <c r="AT338" s="82">
        <f t="shared" si="209"/>
        <v>0</v>
      </c>
      <c r="AU338" s="81">
        <f t="shared" si="192"/>
        <v>0</v>
      </c>
      <c r="AV338" s="81">
        <f t="shared" si="193"/>
        <v>0</v>
      </c>
      <c r="AW338" s="81">
        <f t="shared" si="194"/>
        <v>0</v>
      </c>
      <c r="AX338" s="85"/>
      <c r="AY338" s="81">
        <f t="shared" si="195"/>
        <v>0</v>
      </c>
      <c r="AZ338" s="83">
        <f t="shared" si="196"/>
        <v>0</v>
      </c>
      <c r="BA338" s="81">
        <f t="shared" si="197"/>
        <v>0</v>
      </c>
      <c r="BB338" s="83">
        <v>0</v>
      </c>
      <c r="BC338" s="83">
        <v>0</v>
      </c>
      <c r="BD338" s="83">
        <v>0</v>
      </c>
      <c r="BE338" s="84">
        <f>ROUND((IF(($AT338&lt;=700000),0,IF(((VLOOKUP($AR338,'Loyalty - Effec - 15July'!$B$5:$C$17,2,0)*$AT338)&lt;=120000),(VLOOKUP($AR338,'Loyalty - Effec - 15July'!$B$5:$C$17,2,0)*$AT338),120000))),0)</f>
        <v>0</v>
      </c>
      <c r="BF338" s="83">
        <f>ROUND(VLOOKUP($AR338,'Loyalty - Effec - 15July'!$B$5:$D$17,3,0)*$AT338,0)</f>
        <v>0</v>
      </c>
      <c r="BG338" s="85">
        <f t="shared" si="198"/>
        <v>0</v>
      </c>
      <c r="BH338" s="83">
        <f t="shared" si="199"/>
        <v>0</v>
      </c>
      <c r="BI338" s="85">
        <f t="shared" si="202"/>
        <v>0</v>
      </c>
      <c r="BJ338" s="85">
        <f t="shared" si="200"/>
        <v>0</v>
      </c>
      <c r="BK338" s="85">
        <f t="shared" si="201"/>
        <v>0</v>
      </c>
      <c r="BL338" s="85">
        <f t="shared" si="206"/>
        <v>0</v>
      </c>
      <c r="BM338" s="85">
        <f t="shared" si="207"/>
        <v>0</v>
      </c>
      <c r="BN338" s="85">
        <f t="shared" si="208"/>
        <v>0</v>
      </c>
      <c r="BO338" s="46" t="s">
        <v>85</v>
      </c>
      <c r="BP338" s="46"/>
      <c r="BQ338" s="46"/>
      <c r="BU338" s="47">
        <f t="shared" si="210"/>
        <v>0</v>
      </c>
      <c r="BV338" s="53" t="s">
        <v>602</v>
      </c>
      <c r="BW338" s="53" t="s">
        <v>932</v>
      </c>
      <c r="BX338" s="53" t="s">
        <v>821</v>
      </c>
      <c r="BY338" s="53"/>
      <c r="BZ338" s="53"/>
    </row>
    <row r="339" spans="1:78">
      <c r="A339" s="42" t="s">
        <v>603</v>
      </c>
      <c r="B339" s="28" t="s">
        <v>79</v>
      </c>
      <c r="C339" s="28" t="s">
        <v>80</v>
      </c>
      <c r="D339" s="28" t="s">
        <v>932</v>
      </c>
      <c r="F339" s="28" t="s">
        <v>901</v>
      </c>
      <c r="G339" s="44" t="s">
        <v>822</v>
      </c>
      <c r="H339" s="45">
        <v>45084</v>
      </c>
      <c r="I339" s="46" t="s">
        <v>1008</v>
      </c>
      <c r="J339" s="28">
        <v>2</v>
      </c>
      <c r="K339" s="28" t="s">
        <v>413</v>
      </c>
      <c r="L339" s="28" t="s">
        <v>880</v>
      </c>
      <c r="M339" s="28" t="s">
        <v>9</v>
      </c>
      <c r="N339" s="28" t="str">
        <f t="shared" si="179"/>
        <v>AE1</v>
      </c>
      <c r="O339" s="81"/>
      <c r="P339" s="81">
        <f t="shared" si="180"/>
        <v>0</v>
      </c>
      <c r="Q339" s="81">
        <f t="shared" si="181"/>
        <v>0</v>
      </c>
      <c r="R339" s="81">
        <f t="shared" si="182"/>
        <v>0</v>
      </c>
      <c r="S339" s="81"/>
      <c r="T339" s="82">
        <f t="shared" si="183"/>
        <v>0</v>
      </c>
      <c r="U339" s="82">
        <f t="shared" si="184"/>
        <v>0</v>
      </c>
      <c r="V339" s="82">
        <f t="shared" si="185"/>
        <v>0</v>
      </c>
      <c r="W339" s="83">
        <v>0</v>
      </c>
      <c r="X339" s="83">
        <v>0</v>
      </c>
      <c r="Y339" s="83">
        <v>0</v>
      </c>
      <c r="Z339" s="84">
        <f>ROUND((IF(($O339&lt;=700000),0,IF(((VLOOKUP($M339,'Loyalty - Effec - 15July'!$B$5:$C$17,2,0)*$O339)&lt;=120000),(VLOOKUP($M339,'Loyalty - Effec - 15July'!$B$5:$C$17,2,0)*$O339),120000))),0)</f>
        <v>0</v>
      </c>
      <c r="AA339" s="84">
        <f>ROUND(VLOOKUP($M339,'Loyalty - Effec - 15July'!$B$5:$D$17,3,0)*$O339,0)</f>
        <v>0</v>
      </c>
      <c r="AB339" s="85">
        <f t="shared" si="186"/>
        <v>0</v>
      </c>
      <c r="AC339" s="86">
        <f t="shared" si="187"/>
        <v>0</v>
      </c>
      <c r="AD339" s="87">
        <f t="shared" si="188"/>
        <v>0</v>
      </c>
      <c r="AE339" s="88">
        <f t="shared" si="189"/>
        <v>0</v>
      </c>
      <c r="AF339" s="88">
        <f t="shared" si="190"/>
        <v>0</v>
      </c>
      <c r="AG339" s="49" t="s">
        <v>190</v>
      </c>
      <c r="AH339" s="49" t="s">
        <v>909</v>
      </c>
      <c r="AI339" s="50"/>
      <c r="AJ339" s="46"/>
      <c r="AK339" s="46"/>
      <c r="AL339" s="46"/>
      <c r="AM339" s="51">
        <f>IF($AL339=4,VLOOKUP($AR339,'Loyalty Incentive v1'!$L$3:$Q$15,2,FALSE),
IF($AL339=3,VLOOKUP($AR339,'Loyalty Incentive v1'!$L$3:$Q$15,3,FALSE),
IF($AL339=2,VLOOKUP($AR339,'Loyalty Incentive v1'!$L$3:$Q$15,4,FALSE),
IF($AL339=1,VLOOKUP($AR339,'Loyalty Incentive v1'!$L$3:$Q$15,5,FALSE),
IF($AL339=0,VLOOKUP($AR339,'Loyalty Incentive v1'!$L$3:$Q$15,6,FALSE),0)))))</f>
        <v>0</v>
      </c>
      <c r="AN339" s="51">
        <f>IFERROR(IF(I339&gt;="1",AM339,VLOOKUP(VALUE(I339),'Loyalty - Effec - 15July'!$I$5:$J$16,2,0)*AM339),0)</f>
        <v>0</v>
      </c>
      <c r="AO339" s="51">
        <v>0</v>
      </c>
      <c r="AP339" s="51">
        <f t="shared" si="191"/>
        <v>0</v>
      </c>
      <c r="AQ339" s="46" t="str">
        <f t="shared" si="203"/>
        <v>No</v>
      </c>
      <c r="AR339" s="46" t="str">
        <f t="shared" si="204"/>
        <v>AE1</v>
      </c>
      <c r="AS339" s="46" t="b">
        <f t="shared" si="205"/>
        <v>1</v>
      </c>
      <c r="AT339" s="82">
        <f t="shared" si="209"/>
        <v>0</v>
      </c>
      <c r="AU339" s="81">
        <f t="shared" si="192"/>
        <v>0</v>
      </c>
      <c r="AV339" s="81">
        <f t="shared" si="193"/>
        <v>0</v>
      </c>
      <c r="AW339" s="81">
        <f t="shared" si="194"/>
        <v>0</v>
      </c>
      <c r="AX339" s="85"/>
      <c r="AY339" s="81">
        <f t="shared" si="195"/>
        <v>0</v>
      </c>
      <c r="AZ339" s="83">
        <f t="shared" si="196"/>
        <v>0</v>
      </c>
      <c r="BA339" s="81">
        <f t="shared" si="197"/>
        <v>0</v>
      </c>
      <c r="BB339" s="83">
        <v>0</v>
      </c>
      <c r="BC339" s="83">
        <v>0</v>
      </c>
      <c r="BD339" s="83">
        <v>0</v>
      </c>
      <c r="BE339" s="84">
        <f>ROUND((IF(($AT339&lt;=700000),0,IF(((VLOOKUP($AR339,'Loyalty - Effec - 15July'!$B$5:$C$17,2,0)*$AT339)&lt;=120000),(VLOOKUP($AR339,'Loyalty - Effec - 15July'!$B$5:$C$17,2,0)*$AT339),120000))),0)</f>
        <v>0</v>
      </c>
      <c r="BF339" s="83">
        <f>ROUND(VLOOKUP($AR339,'Loyalty - Effec - 15July'!$B$5:$D$17,3,0)*$AT339,0)</f>
        <v>0</v>
      </c>
      <c r="BG339" s="85">
        <f t="shared" si="198"/>
        <v>0</v>
      </c>
      <c r="BH339" s="83">
        <f t="shared" si="199"/>
        <v>0</v>
      </c>
      <c r="BI339" s="85">
        <f t="shared" si="202"/>
        <v>0</v>
      </c>
      <c r="BJ339" s="85">
        <f t="shared" si="200"/>
        <v>0</v>
      </c>
      <c r="BK339" s="85">
        <f t="shared" si="201"/>
        <v>0</v>
      </c>
      <c r="BL339" s="85">
        <f t="shared" si="206"/>
        <v>0</v>
      </c>
      <c r="BM339" s="85">
        <f t="shared" si="207"/>
        <v>0</v>
      </c>
      <c r="BN339" s="85">
        <f t="shared" si="208"/>
        <v>0</v>
      </c>
      <c r="BO339" s="46" t="s">
        <v>85</v>
      </c>
      <c r="BP339" s="46"/>
      <c r="BQ339" s="46"/>
      <c r="BU339" s="47">
        <f t="shared" si="210"/>
        <v>0</v>
      </c>
      <c r="BV339" s="53" t="s">
        <v>603</v>
      </c>
      <c r="BW339" s="53" t="s">
        <v>932</v>
      </c>
      <c r="BX339" s="53" t="s">
        <v>822</v>
      </c>
      <c r="BY339" s="53"/>
      <c r="BZ339" s="53"/>
    </row>
    <row r="340" spans="1:78">
      <c r="A340" s="42" t="s">
        <v>604</v>
      </c>
      <c r="B340" s="28" t="s">
        <v>79</v>
      </c>
      <c r="C340" s="28" t="s">
        <v>80</v>
      </c>
      <c r="D340" s="28" t="s">
        <v>932</v>
      </c>
      <c r="F340" s="28" t="s">
        <v>901</v>
      </c>
      <c r="G340" s="44" t="s">
        <v>823</v>
      </c>
      <c r="H340" s="45">
        <v>45084</v>
      </c>
      <c r="I340" s="46" t="s">
        <v>1008</v>
      </c>
      <c r="J340" s="28">
        <v>2</v>
      </c>
      <c r="K340" s="28" t="s">
        <v>413</v>
      </c>
      <c r="L340" s="28" t="s">
        <v>880</v>
      </c>
      <c r="M340" s="28" t="s">
        <v>9</v>
      </c>
      <c r="N340" s="28" t="str">
        <f t="shared" si="179"/>
        <v>AE1</v>
      </c>
      <c r="O340" s="81"/>
      <c r="P340" s="81">
        <f t="shared" si="180"/>
        <v>0</v>
      </c>
      <c r="Q340" s="81">
        <f t="shared" si="181"/>
        <v>0</v>
      </c>
      <c r="R340" s="81">
        <f t="shared" si="182"/>
        <v>0</v>
      </c>
      <c r="S340" s="81"/>
      <c r="T340" s="82">
        <f t="shared" si="183"/>
        <v>0</v>
      </c>
      <c r="U340" s="82">
        <f t="shared" si="184"/>
        <v>0</v>
      </c>
      <c r="V340" s="82">
        <f t="shared" si="185"/>
        <v>0</v>
      </c>
      <c r="W340" s="83">
        <v>0</v>
      </c>
      <c r="X340" s="83">
        <v>0</v>
      </c>
      <c r="Y340" s="83">
        <v>0</v>
      </c>
      <c r="Z340" s="84">
        <f>ROUND((IF(($O340&lt;=700000),0,IF(((VLOOKUP($M340,'Loyalty - Effec - 15July'!$B$5:$C$17,2,0)*$O340)&lt;=120000),(VLOOKUP($M340,'Loyalty - Effec - 15July'!$B$5:$C$17,2,0)*$O340),120000))),0)</f>
        <v>0</v>
      </c>
      <c r="AA340" s="84">
        <f>ROUND(VLOOKUP($M340,'Loyalty - Effec - 15July'!$B$5:$D$17,3,0)*$O340,0)</f>
        <v>0</v>
      </c>
      <c r="AB340" s="85">
        <f t="shared" si="186"/>
        <v>0</v>
      </c>
      <c r="AC340" s="86">
        <f t="shared" si="187"/>
        <v>0</v>
      </c>
      <c r="AD340" s="87">
        <f t="shared" si="188"/>
        <v>0</v>
      </c>
      <c r="AE340" s="88">
        <f t="shared" si="189"/>
        <v>0</v>
      </c>
      <c r="AF340" s="88">
        <f t="shared" si="190"/>
        <v>0</v>
      </c>
      <c r="AG340" s="49" t="s">
        <v>133</v>
      </c>
      <c r="AH340" s="49" t="s">
        <v>910</v>
      </c>
      <c r="AI340" s="50"/>
      <c r="AJ340" s="46"/>
      <c r="AK340" s="46"/>
      <c r="AL340" s="46"/>
      <c r="AM340" s="51">
        <f>IF($AL340=4,VLOOKUP($AR340,'Loyalty Incentive v1'!$L$3:$Q$15,2,FALSE),
IF($AL340=3,VLOOKUP($AR340,'Loyalty Incentive v1'!$L$3:$Q$15,3,FALSE),
IF($AL340=2,VLOOKUP($AR340,'Loyalty Incentive v1'!$L$3:$Q$15,4,FALSE),
IF($AL340=1,VLOOKUP($AR340,'Loyalty Incentive v1'!$L$3:$Q$15,5,FALSE),
IF($AL340=0,VLOOKUP($AR340,'Loyalty Incentive v1'!$L$3:$Q$15,6,FALSE),0)))))</f>
        <v>0</v>
      </c>
      <c r="AN340" s="51">
        <f>IFERROR(IF(I340&gt;="1",AM340,VLOOKUP(VALUE(I340),'Loyalty - Effec - 15July'!$I$5:$J$16,2,0)*AM340),0)</f>
        <v>0</v>
      </c>
      <c r="AO340" s="51">
        <v>0</v>
      </c>
      <c r="AP340" s="51">
        <f t="shared" si="191"/>
        <v>0</v>
      </c>
      <c r="AQ340" s="46" t="str">
        <f t="shared" si="203"/>
        <v>No</v>
      </c>
      <c r="AR340" s="46" t="str">
        <f t="shared" si="204"/>
        <v>AE1</v>
      </c>
      <c r="AS340" s="46" t="b">
        <f t="shared" si="205"/>
        <v>1</v>
      </c>
      <c r="AT340" s="82">
        <f t="shared" si="209"/>
        <v>0</v>
      </c>
      <c r="AU340" s="81">
        <f t="shared" si="192"/>
        <v>0</v>
      </c>
      <c r="AV340" s="81">
        <f t="shared" si="193"/>
        <v>0</v>
      </c>
      <c r="AW340" s="81">
        <f t="shared" si="194"/>
        <v>0</v>
      </c>
      <c r="AX340" s="85"/>
      <c r="AY340" s="81">
        <f t="shared" si="195"/>
        <v>0</v>
      </c>
      <c r="AZ340" s="83">
        <f t="shared" si="196"/>
        <v>0</v>
      </c>
      <c r="BA340" s="81">
        <f t="shared" si="197"/>
        <v>0</v>
      </c>
      <c r="BB340" s="83">
        <v>0</v>
      </c>
      <c r="BC340" s="83">
        <v>0</v>
      </c>
      <c r="BD340" s="83">
        <v>0</v>
      </c>
      <c r="BE340" s="84">
        <f>ROUND((IF(($AT340&lt;=700000),0,IF(((VLOOKUP($AR340,'Loyalty - Effec - 15July'!$B$5:$C$17,2,0)*$AT340)&lt;=120000),(VLOOKUP($AR340,'Loyalty - Effec - 15July'!$B$5:$C$17,2,0)*$AT340),120000))),0)</f>
        <v>0</v>
      </c>
      <c r="BF340" s="83">
        <f>ROUND(VLOOKUP($AR340,'Loyalty - Effec - 15July'!$B$5:$D$17,3,0)*$AT340,0)</f>
        <v>0</v>
      </c>
      <c r="BG340" s="85">
        <f t="shared" si="198"/>
        <v>0</v>
      </c>
      <c r="BH340" s="83">
        <f t="shared" si="199"/>
        <v>0</v>
      </c>
      <c r="BI340" s="85">
        <f t="shared" si="202"/>
        <v>0</v>
      </c>
      <c r="BJ340" s="85">
        <f t="shared" si="200"/>
        <v>0</v>
      </c>
      <c r="BK340" s="85">
        <f t="shared" si="201"/>
        <v>0</v>
      </c>
      <c r="BL340" s="85">
        <f t="shared" si="206"/>
        <v>0</v>
      </c>
      <c r="BM340" s="85">
        <f t="shared" si="207"/>
        <v>0</v>
      </c>
      <c r="BN340" s="85">
        <f t="shared" si="208"/>
        <v>0</v>
      </c>
      <c r="BO340" s="46" t="s">
        <v>85</v>
      </c>
      <c r="BP340" s="46"/>
      <c r="BQ340" s="46"/>
      <c r="BU340" s="47">
        <f t="shared" si="210"/>
        <v>0</v>
      </c>
      <c r="BV340" s="53" t="s">
        <v>604</v>
      </c>
      <c r="BW340" s="53" t="s">
        <v>932</v>
      </c>
      <c r="BX340" s="53" t="s">
        <v>823</v>
      </c>
      <c r="BY340" s="53"/>
      <c r="BZ340" s="53"/>
    </row>
    <row r="341" spans="1:78">
      <c r="A341" s="42" t="s">
        <v>605</v>
      </c>
      <c r="B341" s="28" t="s">
        <v>79</v>
      </c>
      <c r="C341" s="28" t="s">
        <v>80</v>
      </c>
      <c r="D341" s="28" t="s">
        <v>932</v>
      </c>
      <c r="F341" s="28" t="s">
        <v>901</v>
      </c>
      <c r="G341" s="44" t="s">
        <v>824</v>
      </c>
      <c r="H341" s="45">
        <v>45091</v>
      </c>
      <c r="I341" s="46" t="s">
        <v>1008</v>
      </c>
      <c r="J341" s="28">
        <v>2</v>
      </c>
      <c r="K341" s="28" t="s">
        <v>407</v>
      </c>
      <c r="L341" s="28" t="s">
        <v>868</v>
      </c>
      <c r="M341" s="28" t="s">
        <v>9</v>
      </c>
      <c r="N341" s="28" t="str">
        <f t="shared" si="179"/>
        <v>AE1</v>
      </c>
      <c r="O341" s="81"/>
      <c r="P341" s="81">
        <f t="shared" si="180"/>
        <v>0</v>
      </c>
      <c r="Q341" s="81">
        <f t="shared" si="181"/>
        <v>0</v>
      </c>
      <c r="R341" s="81">
        <f t="shared" si="182"/>
        <v>0</v>
      </c>
      <c r="S341" s="81"/>
      <c r="T341" s="82">
        <f t="shared" si="183"/>
        <v>0</v>
      </c>
      <c r="U341" s="82">
        <f t="shared" si="184"/>
        <v>0</v>
      </c>
      <c r="V341" s="82">
        <f t="shared" si="185"/>
        <v>0</v>
      </c>
      <c r="W341" s="83">
        <v>0</v>
      </c>
      <c r="X341" s="83">
        <v>0</v>
      </c>
      <c r="Y341" s="83">
        <v>0</v>
      </c>
      <c r="Z341" s="84">
        <f>ROUND((IF(($O341&lt;=700000),0,IF(((VLOOKUP($M341,'Loyalty - Effec - 15July'!$B$5:$C$17,2,0)*$O341)&lt;=120000),(VLOOKUP($M341,'Loyalty - Effec - 15July'!$B$5:$C$17,2,0)*$O341),120000))),0)</f>
        <v>0</v>
      </c>
      <c r="AA341" s="84">
        <f>ROUND(VLOOKUP($M341,'Loyalty - Effec - 15July'!$B$5:$D$17,3,0)*$O341,0)</f>
        <v>0</v>
      </c>
      <c r="AB341" s="85">
        <f t="shared" si="186"/>
        <v>0</v>
      </c>
      <c r="AC341" s="86">
        <f t="shared" si="187"/>
        <v>0</v>
      </c>
      <c r="AD341" s="87">
        <f t="shared" si="188"/>
        <v>0</v>
      </c>
      <c r="AE341" s="88">
        <f t="shared" si="189"/>
        <v>0</v>
      </c>
      <c r="AF341" s="88">
        <f t="shared" si="190"/>
        <v>0</v>
      </c>
      <c r="AG341" s="49" t="s">
        <v>702</v>
      </c>
      <c r="AH341" s="49" t="s">
        <v>349</v>
      </c>
      <c r="AI341" s="50"/>
      <c r="AJ341" s="46"/>
      <c r="AK341" s="46"/>
      <c r="AL341" s="46"/>
      <c r="AM341" s="51">
        <f>IF($AL341=4,VLOOKUP($AR341,'Loyalty Incentive v1'!$L$3:$Q$15,2,FALSE),
IF($AL341=3,VLOOKUP($AR341,'Loyalty Incentive v1'!$L$3:$Q$15,3,FALSE),
IF($AL341=2,VLOOKUP($AR341,'Loyalty Incentive v1'!$L$3:$Q$15,4,FALSE),
IF($AL341=1,VLOOKUP($AR341,'Loyalty Incentive v1'!$L$3:$Q$15,5,FALSE),
IF($AL341=0,VLOOKUP($AR341,'Loyalty Incentive v1'!$L$3:$Q$15,6,FALSE),0)))))</f>
        <v>0</v>
      </c>
      <c r="AN341" s="51">
        <f>IFERROR(IF(I341&gt;="1",AM341,VLOOKUP(VALUE(I341),'Loyalty - Effec - 15July'!$I$5:$J$16,2,0)*AM341),0)</f>
        <v>0</v>
      </c>
      <c r="AO341" s="51">
        <v>0</v>
      </c>
      <c r="AP341" s="51">
        <f t="shared" si="191"/>
        <v>0</v>
      </c>
      <c r="AQ341" s="46" t="str">
        <f t="shared" si="203"/>
        <v>No</v>
      </c>
      <c r="AR341" s="46" t="str">
        <f t="shared" si="204"/>
        <v>AE1</v>
      </c>
      <c r="AS341" s="46" t="b">
        <f t="shared" si="205"/>
        <v>1</v>
      </c>
      <c r="AT341" s="82">
        <f t="shared" ref="AT341:AT366" si="212">O341+(O341*AP341)</f>
        <v>0</v>
      </c>
      <c r="AU341" s="81">
        <f t="shared" si="192"/>
        <v>0</v>
      </c>
      <c r="AV341" s="81">
        <f t="shared" si="193"/>
        <v>0</v>
      </c>
      <c r="AW341" s="81">
        <f t="shared" si="194"/>
        <v>0</v>
      </c>
      <c r="AX341" s="85"/>
      <c r="AY341" s="81">
        <f t="shared" si="195"/>
        <v>0</v>
      </c>
      <c r="AZ341" s="83">
        <f t="shared" si="196"/>
        <v>0</v>
      </c>
      <c r="BA341" s="81">
        <f t="shared" si="197"/>
        <v>0</v>
      </c>
      <c r="BB341" s="83">
        <v>0</v>
      </c>
      <c r="BC341" s="83">
        <v>0</v>
      </c>
      <c r="BD341" s="83">
        <v>0</v>
      </c>
      <c r="BE341" s="84">
        <f>ROUND((IF(($AT341&lt;=700000),0,IF(((VLOOKUP($AR341,'Loyalty - Effec - 15July'!$B$5:$C$17,2,0)*$AT341)&lt;=120000),(VLOOKUP($AR341,'Loyalty - Effec - 15July'!$B$5:$C$17,2,0)*$AT341),120000))),0)</f>
        <v>0</v>
      </c>
      <c r="BF341" s="83">
        <f>ROUND(VLOOKUP($AR341,'Loyalty - Effec - 15July'!$B$5:$D$17,3,0)*$AT341,0)</f>
        <v>0</v>
      </c>
      <c r="BG341" s="85">
        <f t="shared" si="198"/>
        <v>0</v>
      </c>
      <c r="BH341" s="83">
        <f t="shared" si="199"/>
        <v>0</v>
      </c>
      <c r="BI341" s="85">
        <f t="shared" si="202"/>
        <v>0</v>
      </c>
      <c r="BJ341" s="85">
        <f t="shared" si="200"/>
        <v>0</v>
      </c>
      <c r="BK341" s="85">
        <f t="shared" si="201"/>
        <v>0</v>
      </c>
      <c r="BL341" s="85">
        <f t="shared" si="206"/>
        <v>0</v>
      </c>
      <c r="BM341" s="85">
        <f t="shared" si="207"/>
        <v>0</v>
      </c>
      <c r="BN341" s="85">
        <f t="shared" si="208"/>
        <v>0</v>
      </c>
      <c r="BO341" s="46" t="s">
        <v>85</v>
      </c>
      <c r="BP341" s="46"/>
      <c r="BQ341" s="46"/>
      <c r="BU341" s="47">
        <f t="shared" si="210"/>
        <v>0</v>
      </c>
      <c r="BV341" s="53" t="s">
        <v>605</v>
      </c>
      <c r="BW341" s="53" t="s">
        <v>932</v>
      </c>
      <c r="BX341" s="53" t="s">
        <v>824</v>
      </c>
      <c r="BY341" s="53"/>
      <c r="BZ341" s="53"/>
    </row>
    <row r="342" spans="1:78">
      <c r="A342" s="42" t="s">
        <v>606</v>
      </c>
      <c r="B342" s="28" t="s">
        <v>79</v>
      </c>
      <c r="C342" s="28" t="s">
        <v>80</v>
      </c>
      <c r="D342" s="28" t="s">
        <v>932</v>
      </c>
      <c r="F342" s="28" t="s">
        <v>901</v>
      </c>
      <c r="G342" s="44" t="s">
        <v>825</v>
      </c>
      <c r="H342" s="45">
        <v>45091</v>
      </c>
      <c r="I342" s="46" t="s">
        <v>1008</v>
      </c>
      <c r="J342" s="28">
        <v>2</v>
      </c>
      <c r="K342" s="28" t="s">
        <v>407</v>
      </c>
      <c r="L342" s="28" t="s">
        <v>868</v>
      </c>
      <c r="M342" s="28" t="s">
        <v>9</v>
      </c>
      <c r="N342" s="28" t="str">
        <f t="shared" si="179"/>
        <v>AE1</v>
      </c>
      <c r="O342" s="81"/>
      <c r="P342" s="81">
        <f t="shared" si="180"/>
        <v>0</v>
      </c>
      <c r="Q342" s="81">
        <f t="shared" si="181"/>
        <v>0</v>
      </c>
      <c r="R342" s="81">
        <f t="shared" si="182"/>
        <v>0</v>
      </c>
      <c r="S342" s="81"/>
      <c r="T342" s="82">
        <f t="shared" si="183"/>
        <v>0</v>
      </c>
      <c r="U342" s="82">
        <f t="shared" si="184"/>
        <v>0</v>
      </c>
      <c r="V342" s="82">
        <f t="shared" si="185"/>
        <v>0</v>
      </c>
      <c r="W342" s="83">
        <v>0</v>
      </c>
      <c r="X342" s="83">
        <v>0</v>
      </c>
      <c r="Y342" s="83">
        <v>0</v>
      </c>
      <c r="Z342" s="84">
        <f>ROUND((IF(($O342&lt;=700000),0,IF(((VLOOKUP($M342,'Loyalty - Effec - 15July'!$B$5:$C$17,2,0)*$O342)&lt;=120000),(VLOOKUP($M342,'Loyalty - Effec - 15July'!$B$5:$C$17,2,0)*$O342),120000))),0)</f>
        <v>0</v>
      </c>
      <c r="AA342" s="84">
        <f>ROUND(VLOOKUP($M342,'Loyalty - Effec - 15July'!$B$5:$D$17,3,0)*$O342,0)</f>
        <v>0</v>
      </c>
      <c r="AB342" s="85">
        <f t="shared" si="186"/>
        <v>0</v>
      </c>
      <c r="AC342" s="86">
        <f t="shared" si="187"/>
        <v>0</v>
      </c>
      <c r="AD342" s="87">
        <f t="shared" si="188"/>
        <v>0</v>
      </c>
      <c r="AE342" s="88">
        <f t="shared" si="189"/>
        <v>0</v>
      </c>
      <c r="AF342" s="88">
        <f t="shared" si="190"/>
        <v>0</v>
      </c>
      <c r="AG342" s="49" t="s">
        <v>702</v>
      </c>
      <c r="AH342" s="49" t="s">
        <v>349</v>
      </c>
      <c r="AI342" s="50"/>
      <c r="AJ342" s="46"/>
      <c r="AK342" s="46"/>
      <c r="AL342" s="46"/>
      <c r="AM342" s="51">
        <f>IF($AL342=4,VLOOKUP($AR342,'Loyalty Incentive v1'!$L$3:$Q$15,2,FALSE),
IF($AL342=3,VLOOKUP($AR342,'Loyalty Incentive v1'!$L$3:$Q$15,3,FALSE),
IF($AL342=2,VLOOKUP($AR342,'Loyalty Incentive v1'!$L$3:$Q$15,4,FALSE),
IF($AL342=1,VLOOKUP($AR342,'Loyalty Incentive v1'!$L$3:$Q$15,5,FALSE),
IF($AL342=0,VLOOKUP($AR342,'Loyalty Incentive v1'!$L$3:$Q$15,6,FALSE),0)))))</f>
        <v>0</v>
      </c>
      <c r="AN342" s="51">
        <f>IFERROR(IF(I342&gt;="1",AM342,VLOOKUP(VALUE(I342),'Loyalty - Effec - 15July'!$I$5:$J$16,2,0)*AM342),0)</f>
        <v>0</v>
      </c>
      <c r="AO342" s="51">
        <v>0</v>
      </c>
      <c r="AP342" s="51">
        <f t="shared" si="191"/>
        <v>0</v>
      </c>
      <c r="AQ342" s="46" t="str">
        <f t="shared" si="203"/>
        <v>No</v>
      </c>
      <c r="AR342" s="46" t="str">
        <f t="shared" si="204"/>
        <v>AE1</v>
      </c>
      <c r="AS342" s="46" t="b">
        <f t="shared" si="205"/>
        <v>1</v>
      </c>
      <c r="AT342" s="82">
        <f t="shared" si="212"/>
        <v>0</v>
      </c>
      <c r="AU342" s="81">
        <f t="shared" si="192"/>
        <v>0</v>
      </c>
      <c r="AV342" s="81">
        <f t="shared" si="193"/>
        <v>0</v>
      </c>
      <c r="AW342" s="81">
        <f t="shared" si="194"/>
        <v>0</v>
      </c>
      <c r="AX342" s="85"/>
      <c r="AY342" s="81">
        <f t="shared" si="195"/>
        <v>0</v>
      </c>
      <c r="AZ342" s="83">
        <f t="shared" si="196"/>
        <v>0</v>
      </c>
      <c r="BA342" s="81">
        <f t="shared" si="197"/>
        <v>0</v>
      </c>
      <c r="BB342" s="83">
        <v>0</v>
      </c>
      <c r="BC342" s="83">
        <v>0</v>
      </c>
      <c r="BD342" s="83">
        <v>0</v>
      </c>
      <c r="BE342" s="84">
        <f>ROUND((IF(($AT342&lt;=700000),0,IF(((VLOOKUP($AR342,'Loyalty - Effec - 15July'!$B$5:$C$17,2,0)*$AT342)&lt;=120000),(VLOOKUP($AR342,'Loyalty - Effec - 15July'!$B$5:$C$17,2,0)*$AT342),120000))),0)</f>
        <v>0</v>
      </c>
      <c r="BF342" s="83">
        <f>ROUND(VLOOKUP($AR342,'Loyalty - Effec - 15July'!$B$5:$D$17,3,0)*$AT342,0)</f>
        <v>0</v>
      </c>
      <c r="BG342" s="85">
        <f t="shared" si="198"/>
        <v>0</v>
      </c>
      <c r="BH342" s="83">
        <f t="shared" si="199"/>
        <v>0</v>
      </c>
      <c r="BI342" s="85">
        <f t="shared" si="202"/>
        <v>0</v>
      </c>
      <c r="BJ342" s="85">
        <f t="shared" si="200"/>
        <v>0</v>
      </c>
      <c r="BK342" s="85">
        <f t="shared" si="201"/>
        <v>0</v>
      </c>
      <c r="BL342" s="85">
        <f t="shared" si="206"/>
        <v>0</v>
      </c>
      <c r="BM342" s="85">
        <f t="shared" si="207"/>
        <v>0</v>
      </c>
      <c r="BN342" s="85">
        <f t="shared" si="208"/>
        <v>0</v>
      </c>
      <c r="BO342" s="46" t="s">
        <v>85</v>
      </c>
      <c r="BP342" s="46"/>
      <c r="BQ342" s="46"/>
      <c r="BU342" s="47">
        <f t="shared" si="210"/>
        <v>0</v>
      </c>
      <c r="BV342" s="53" t="s">
        <v>606</v>
      </c>
      <c r="BW342" s="53" t="s">
        <v>932</v>
      </c>
      <c r="BX342" s="53" t="s">
        <v>825</v>
      </c>
      <c r="BY342" s="53"/>
      <c r="BZ342" s="53"/>
    </row>
    <row r="343" spans="1:78">
      <c r="A343" s="42" t="s">
        <v>607</v>
      </c>
      <c r="B343" s="28" t="s">
        <v>79</v>
      </c>
      <c r="C343" s="28" t="s">
        <v>80</v>
      </c>
      <c r="D343" s="28" t="s">
        <v>932</v>
      </c>
      <c r="F343" s="28" t="s">
        <v>901</v>
      </c>
      <c r="G343" s="44" t="s">
        <v>826</v>
      </c>
      <c r="H343" s="45">
        <v>45091</v>
      </c>
      <c r="I343" s="46" t="s">
        <v>1008</v>
      </c>
      <c r="J343" s="28">
        <v>2</v>
      </c>
      <c r="K343" s="28" t="s">
        <v>407</v>
      </c>
      <c r="L343" s="28" t="s">
        <v>868</v>
      </c>
      <c r="M343" s="28" t="s">
        <v>9</v>
      </c>
      <c r="N343" s="28" t="str">
        <f t="shared" si="179"/>
        <v>AE1</v>
      </c>
      <c r="O343" s="81"/>
      <c r="P343" s="81">
        <f t="shared" si="180"/>
        <v>0</v>
      </c>
      <c r="Q343" s="81">
        <f t="shared" si="181"/>
        <v>0</v>
      </c>
      <c r="R343" s="81">
        <f t="shared" si="182"/>
        <v>0</v>
      </c>
      <c r="S343" s="81"/>
      <c r="T343" s="82">
        <f t="shared" si="183"/>
        <v>0</v>
      </c>
      <c r="U343" s="82">
        <f t="shared" si="184"/>
        <v>0</v>
      </c>
      <c r="V343" s="82">
        <f t="shared" si="185"/>
        <v>0</v>
      </c>
      <c r="W343" s="83">
        <v>0</v>
      </c>
      <c r="X343" s="83">
        <v>0</v>
      </c>
      <c r="Y343" s="83">
        <v>0</v>
      </c>
      <c r="Z343" s="84">
        <f>ROUND((IF(($O343&lt;=700000),0,IF(((VLOOKUP($M343,'Loyalty - Effec - 15July'!$B$5:$C$17,2,0)*$O343)&lt;=120000),(VLOOKUP($M343,'Loyalty - Effec - 15July'!$B$5:$C$17,2,0)*$O343),120000))),0)</f>
        <v>0</v>
      </c>
      <c r="AA343" s="84">
        <f>ROUND(VLOOKUP($M343,'Loyalty - Effec - 15July'!$B$5:$D$17,3,0)*$O343,0)</f>
        <v>0</v>
      </c>
      <c r="AB343" s="85">
        <f t="shared" si="186"/>
        <v>0</v>
      </c>
      <c r="AC343" s="86">
        <f t="shared" si="187"/>
        <v>0</v>
      </c>
      <c r="AD343" s="87">
        <f t="shared" si="188"/>
        <v>0</v>
      </c>
      <c r="AE343" s="88">
        <f t="shared" si="189"/>
        <v>0</v>
      </c>
      <c r="AF343" s="88">
        <f t="shared" si="190"/>
        <v>0</v>
      </c>
      <c r="AG343" s="49" t="s">
        <v>702</v>
      </c>
      <c r="AH343" s="49" t="s">
        <v>349</v>
      </c>
      <c r="AI343" s="50"/>
      <c r="AJ343" s="46"/>
      <c r="AK343" s="46"/>
      <c r="AL343" s="46"/>
      <c r="AM343" s="51">
        <f>IF($AL343=4,VLOOKUP($AR343,'Loyalty Incentive v1'!$L$3:$Q$15,2,FALSE),
IF($AL343=3,VLOOKUP($AR343,'Loyalty Incentive v1'!$L$3:$Q$15,3,FALSE),
IF($AL343=2,VLOOKUP($AR343,'Loyalty Incentive v1'!$L$3:$Q$15,4,FALSE),
IF($AL343=1,VLOOKUP($AR343,'Loyalty Incentive v1'!$L$3:$Q$15,5,FALSE),
IF($AL343=0,VLOOKUP($AR343,'Loyalty Incentive v1'!$L$3:$Q$15,6,FALSE),0)))))</f>
        <v>0</v>
      </c>
      <c r="AN343" s="51">
        <f>IFERROR(IF(I343&gt;="1",AM343,VLOOKUP(VALUE(I343),'Loyalty - Effec - 15July'!$I$5:$J$16,2,0)*AM343),0)</f>
        <v>0</v>
      </c>
      <c r="AO343" s="51">
        <v>0</v>
      </c>
      <c r="AP343" s="51">
        <f t="shared" si="191"/>
        <v>0</v>
      </c>
      <c r="AQ343" s="46" t="str">
        <f t="shared" si="203"/>
        <v>No</v>
      </c>
      <c r="AR343" s="46" t="str">
        <f t="shared" si="204"/>
        <v>AE1</v>
      </c>
      <c r="AS343" s="46" t="b">
        <f t="shared" si="205"/>
        <v>1</v>
      </c>
      <c r="AT343" s="82">
        <f t="shared" si="212"/>
        <v>0</v>
      </c>
      <c r="AU343" s="81">
        <f t="shared" si="192"/>
        <v>0</v>
      </c>
      <c r="AV343" s="81">
        <f t="shared" si="193"/>
        <v>0</v>
      </c>
      <c r="AW343" s="81">
        <f t="shared" si="194"/>
        <v>0</v>
      </c>
      <c r="AX343" s="85"/>
      <c r="AY343" s="81">
        <f t="shared" si="195"/>
        <v>0</v>
      </c>
      <c r="AZ343" s="83">
        <f t="shared" si="196"/>
        <v>0</v>
      </c>
      <c r="BA343" s="81">
        <f t="shared" si="197"/>
        <v>0</v>
      </c>
      <c r="BB343" s="83">
        <v>0</v>
      </c>
      <c r="BC343" s="83">
        <v>0</v>
      </c>
      <c r="BD343" s="83">
        <v>0</v>
      </c>
      <c r="BE343" s="84">
        <f>ROUND((IF(($AT343&lt;=700000),0,IF(((VLOOKUP($AR343,'Loyalty - Effec - 15July'!$B$5:$C$17,2,0)*$AT343)&lt;=120000),(VLOOKUP($AR343,'Loyalty - Effec - 15July'!$B$5:$C$17,2,0)*$AT343),120000))),0)</f>
        <v>0</v>
      </c>
      <c r="BF343" s="83">
        <f>ROUND(VLOOKUP($AR343,'Loyalty - Effec - 15July'!$B$5:$D$17,3,0)*$AT343,0)</f>
        <v>0</v>
      </c>
      <c r="BG343" s="85">
        <f t="shared" si="198"/>
        <v>0</v>
      </c>
      <c r="BH343" s="83">
        <f t="shared" si="199"/>
        <v>0</v>
      </c>
      <c r="BI343" s="85">
        <f t="shared" si="202"/>
        <v>0</v>
      </c>
      <c r="BJ343" s="85">
        <f t="shared" si="200"/>
        <v>0</v>
      </c>
      <c r="BK343" s="85">
        <f t="shared" si="201"/>
        <v>0</v>
      </c>
      <c r="BL343" s="85">
        <f t="shared" si="206"/>
        <v>0</v>
      </c>
      <c r="BM343" s="85">
        <f t="shared" si="207"/>
        <v>0</v>
      </c>
      <c r="BN343" s="85">
        <f t="shared" si="208"/>
        <v>0</v>
      </c>
      <c r="BO343" s="46" t="s">
        <v>85</v>
      </c>
      <c r="BP343" s="46"/>
      <c r="BQ343" s="46"/>
      <c r="BU343" s="47">
        <f t="shared" si="210"/>
        <v>0</v>
      </c>
      <c r="BV343" s="53" t="s">
        <v>607</v>
      </c>
      <c r="BW343" s="53" t="s">
        <v>932</v>
      </c>
      <c r="BX343" s="53" t="s">
        <v>826</v>
      </c>
      <c r="BY343" s="53"/>
      <c r="BZ343" s="53"/>
    </row>
    <row r="344" spans="1:78">
      <c r="A344" s="42" t="s">
        <v>608</v>
      </c>
      <c r="B344" s="28" t="s">
        <v>79</v>
      </c>
      <c r="C344" s="28" t="s">
        <v>80</v>
      </c>
      <c r="D344" s="28" t="s">
        <v>932</v>
      </c>
      <c r="F344" s="28" t="s">
        <v>901</v>
      </c>
      <c r="G344" s="44" t="s">
        <v>827</v>
      </c>
      <c r="H344" s="45">
        <v>45091</v>
      </c>
      <c r="I344" s="46" t="s">
        <v>1008</v>
      </c>
      <c r="J344" s="28">
        <v>2</v>
      </c>
      <c r="K344" s="28" t="s">
        <v>407</v>
      </c>
      <c r="L344" s="28" t="s">
        <v>868</v>
      </c>
      <c r="M344" s="28" t="s">
        <v>9</v>
      </c>
      <c r="N344" s="28" t="str">
        <f t="shared" si="179"/>
        <v>AE1</v>
      </c>
      <c r="O344" s="81"/>
      <c r="P344" s="81">
        <f t="shared" si="180"/>
        <v>0</v>
      </c>
      <c r="Q344" s="81">
        <f t="shared" si="181"/>
        <v>0</v>
      </c>
      <c r="R344" s="81">
        <f t="shared" si="182"/>
        <v>0</v>
      </c>
      <c r="S344" s="81"/>
      <c r="T344" s="82">
        <f t="shared" si="183"/>
        <v>0</v>
      </c>
      <c r="U344" s="82">
        <f t="shared" si="184"/>
        <v>0</v>
      </c>
      <c r="V344" s="82">
        <f t="shared" si="185"/>
        <v>0</v>
      </c>
      <c r="W344" s="83">
        <v>0</v>
      </c>
      <c r="X344" s="83">
        <v>0</v>
      </c>
      <c r="Y344" s="83">
        <v>0</v>
      </c>
      <c r="Z344" s="84">
        <f>ROUND((IF(($O344&lt;=700000),0,IF(((VLOOKUP($M344,'Loyalty - Effec - 15July'!$B$5:$C$17,2,0)*$O344)&lt;=120000),(VLOOKUP($M344,'Loyalty - Effec - 15July'!$B$5:$C$17,2,0)*$O344),120000))),0)</f>
        <v>0</v>
      </c>
      <c r="AA344" s="84">
        <f>ROUND(VLOOKUP($M344,'Loyalty - Effec - 15July'!$B$5:$D$17,3,0)*$O344,0)</f>
        <v>0</v>
      </c>
      <c r="AB344" s="85">
        <f t="shared" si="186"/>
        <v>0</v>
      </c>
      <c r="AC344" s="86">
        <f t="shared" si="187"/>
        <v>0</v>
      </c>
      <c r="AD344" s="87">
        <f t="shared" si="188"/>
        <v>0</v>
      </c>
      <c r="AE344" s="88">
        <f t="shared" si="189"/>
        <v>0</v>
      </c>
      <c r="AF344" s="88">
        <f t="shared" si="190"/>
        <v>0</v>
      </c>
      <c r="AG344" s="49" t="s">
        <v>702</v>
      </c>
      <c r="AH344" s="49" t="s">
        <v>349</v>
      </c>
      <c r="AI344" s="50"/>
      <c r="AJ344" s="46"/>
      <c r="AK344" s="46"/>
      <c r="AL344" s="46"/>
      <c r="AM344" s="51">
        <f>IF($AL344=4,VLOOKUP($AR344,'Loyalty Incentive v1'!$L$3:$Q$15,2,FALSE),
IF($AL344=3,VLOOKUP($AR344,'Loyalty Incentive v1'!$L$3:$Q$15,3,FALSE),
IF($AL344=2,VLOOKUP($AR344,'Loyalty Incentive v1'!$L$3:$Q$15,4,FALSE),
IF($AL344=1,VLOOKUP($AR344,'Loyalty Incentive v1'!$L$3:$Q$15,5,FALSE),
IF($AL344=0,VLOOKUP($AR344,'Loyalty Incentive v1'!$L$3:$Q$15,6,FALSE),0)))))</f>
        <v>0</v>
      </c>
      <c r="AN344" s="51">
        <f>IFERROR(IF(I344&gt;="1",AM344,VLOOKUP(VALUE(I344),'Loyalty - Effec - 15July'!$I$5:$J$16,2,0)*AM344),0)</f>
        <v>0</v>
      </c>
      <c r="AO344" s="51">
        <v>0</v>
      </c>
      <c r="AP344" s="51">
        <f t="shared" si="191"/>
        <v>0</v>
      </c>
      <c r="AQ344" s="46" t="str">
        <f t="shared" si="203"/>
        <v>No</v>
      </c>
      <c r="AR344" s="46" t="str">
        <f t="shared" si="204"/>
        <v>AE1</v>
      </c>
      <c r="AS344" s="46" t="b">
        <f t="shared" si="205"/>
        <v>1</v>
      </c>
      <c r="AT344" s="82">
        <f t="shared" si="212"/>
        <v>0</v>
      </c>
      <c r="AU344" s="81">
        <f t="shared" si="192"/>
        <v>0</v>
      </c>
      <c r="AV344" s="81">
        <f t="shared" si="193"/>
        <v>0</v>
      </c>
      <c r="AW344" s="81">
        <f t="shared" si="194"/>
        <v>0</v>
      </c>
      <c r="AX344" s="85"/>
      <c r="AY344" s="81">
        <f t="shared" si="195"/>
        <v>0</v>
      </c>
      <c r="AZ344" s="83">
        <f t="shared" si="196"/>
        <v>0</v>
      </c>
      <c r="BA344" s="81">
        <f t="shared" si="197"/>
        <v>0</v>
      </c>
      <c r="BB344" s="83">
        <v>0</v>
      </c>
      <c r="BC344" s="83">
        <v>0</v>
      </c>
      <c r="BD344" s="83">
        <v>0</v>
      </c>
      <c r="BE344" s="84">
        <f>ROUND((IF(($AT344&lt;=700000),0,IF(((VLOOKUP($AR344,'Loyalty - Effec - 15July'!$B$5:$C$17,2,0)*$AT344)&lt;=120000),(VLOOKUP($AR344,'Loyalty - Effec - 15July'!$B$5:$C$17,2,0)*$AT344),120000))),0)</f>
        <v>0</v>
      </c>
      <c r="BF344" s="83">
        <f>ROUND(VLOOKUP($AR344,'Loyalty - Effec - 15July'!$B$5:$D$17,3,0)*$AT344,0)</f>
        <v>0</v>
      </c>
      <c r="BG344" s="85">
        <f t="shared" si="198"/>
        <v>0</v>
      </c>
      <c r="BH344" s="83">
        <f t="shared" si="199"/>
        <v>0</v>
      </c>
      <c r="BI344" s="85">
        <f t="shared" si="202"/>
        <v>0</v>
      </c>
      <c r="BJ344" s="85">
        <f t="shared" si="200"/>
        <v>0</v>
      </c>
      <c r="BK344" s="85">
        <f t="shared" si="201"/>
        <v>0</v>
      </c>
      <c r="BL344" s="85">
        <f t="shared" si="206"/>
        <v>0</v>
      </c>
      <c r="BM344" s="85">
        <f t="shared" si="207"/>
        <v>0</v>
      </c>
      <c r="BN344" s="85">
        <f t="shared" si="208"/>
        <v>0</v>
      </c>
      <c r="BO344" s="46" t="s">
        <v>85</v>
      </c>
      <c r="BP344" s="46"/>
      <c r="BQ344" s="46"/>
      <c r="BU344" s="47">
        <f t="shared" si="210"/>
        <v>0</v>
      </c>
      <c r="BV344" s="53" t="s">
        <v>608</v>
      </c>
      <c r="BW344" s="53" t="s">
        <v>932</v>
      </c>
      <c r="BX344" s="53" t="s">
        <v>827</v>
      </c>
      <c r="BY344" s="53"/>
      <c r="BZ344" s="53"/>
    </row>
    <row r="345" spans="1:78">
      <c r="A345" s="42" t="s">
        <v>609</v>
      </c>
      <c r="B345" s="28" t="s">
        <v>79</v>
      </c>
      <c r="C345" s="28" t="s">
        <v>80</v>
      </c>
      <c r="D345" s="28" t="s">
        <v>932</v>
      </c>
      <c r="F345" s="28" t="s">
        <v>901</v>
      </c>
      <c r="G345" s="44" t="s">
        <v>828</v>
      </c>
      <c r="H345" s="45">
        <v>45091</v>
      </c>
      <c r="I345" s="46" t="s">
        <v>1008</v>
      </c>
      <c r="J345" s="28">
        <v>2</v>
      </c>
      <c r="K345" s="28" t="s">
        <v>407</v>
      </c>
      <c r="L345" s="28" t="s">
        <v>868</v>
      </c>
      <c r="M345" s="28" t="s">
        <v>9</v>
      </c>
      <c r="N345" s="28" t="str">
        <f t="shared" si="179"/>
        <v>AE1</v>
      </c>
      <c r="O345" s="81"/>
      <c r="P345" s="81">
        <f t="shared" si="180"/>
        <v>0</v>
      </c>
      <c r="Q345" s="81">
        <f t="shared" si="181"/>
        <v>0</v>
      </c>
      <c r="R345" s="81">
        <f t="shared" si="182"/>
        <v>0</v>
      </c>
      <c r="S345" s="81"/>
      <c r="T345" s="82">
        <f t="shared" si="183"/>
        <v>0</v>
      </c>
      <c r="U345" s="82">
        <f t="shared" si="184"/>
        <v>0</v>
      </c>
      <c r="V345" s="82">
        <f t="shared" si="185"/>
        <v>0</v>
      </c>
      <c r="W345" s="83">
        <v>0</v>
      </c>
      <c r="X345" s="83">
        <v>0</v>
      </c>
      <c r="Y345" s="83">
        <v>0</v>
      </c>
      <c r="Z345" s="84">
        <f>ROUND((IF(($O345&lt;=700000),0,IF(((VLOOKUP($M345,'Loyalty - Effec - 15July'!$B$5:$C$17,2,0)*$O345)&lt;=120000),(VLOOKUP($M345,'Loyalty - Effec - 15July'!$B$5:$C$17,2,0)*$O345),120000))),0)</f>
        <v>0</v>
      </c>
      <c r="AA345" s="84">
        <f>ROUND(VLOOKUP($M345,'Loyalty - Effec - 15July'!$B$5:$D$17,3,0)*$O345,0)</f>
        <v>0</v>
      </c>
      <c r="AB345" s="85">
        <f t="shared" si="186"/>
        <v>0</v>
      </c>
      <c r="AC345" s="86">
        <f t="shared" si="187"/>
        <v>0</v>
      </c>
      <c r="AD345" s="87">
        <f t="shared" si="188"/>
        <v>0</v>
      </c>
      <c r="AE345" s="88">
        <f t="shared" si="189"/>
        <v>0</v>
      </c>
      <c r="AF345" s="88">
        <f t="shared" si="190"/>
        <v>0</v>
      </c>
      <c r="AG345" s="49" t="s">
        <v>702</v>
      </c>
      <c r="AH345" s="49" t="s">
        <v>349</v>
      </c>
      <c r="AI345" s="50"/>
      <c r="AJ345" s="46"/>
      <c r="AK345" s="46"/>
      <c r="AL345" s="46"/>
      <c r="AM345" s="51">
        <f>IF($AL345=4,VLOOKUP($AR345,'Loyalty Incentive v1'!$L$3:$Q$15,2,FALSE),
IF($AL345=3,VLOOKUP($AR345,'Loyalty Incentive v1'!$L$3:$Q$15,3,FALSE),
IF($AL345=2,VLOOKUP($AR345,'Loyalty Incentive v1'!$L$3:$Q$15,4,FALSE),
IF($AL345=1,VLOOKUP($AR345,'Loyalty Incentive v1'!$L$3:$Q$15,5,FALSE),
IF($AL345=0,VLOOKUP($AR345,'Loyalty Incentive v1'!$L$3:$Q$15,6,FALSE),0)))))</f>
        <v>0</v>
      </c>
      <c r="AN345" s="51">
        <f>IFERROR(IF(I345&gt;="1",AM345,VLOOKUP(VALUE(I345),'Loyalty - Effec - 15July'!$I$5:$J$16,2,0)*AM345),0)</f>
        <v>0</v>
      </c>
      <c r="AO345" s="51">
        <v>0</v>
      </c>
      <c r="AP345" s="51">
        <f t="shared" si="191"/>
        <v>0</v>
      </c>
      <c r="AQ345" s="46" t="str">
        <f t="shared" si="203"/>
        <v>No</v>
      </c>
      <c r="AR345" s="46" t="str">
        <f t="shared" si="204"/>
        <v>AE1</v>
      </c>
      <c r="AS345" s="46" t="b">
        <f t="shared" si="205"/>
        <v>1</v>
      </c>
      <c r="AT345" s="82">
        <f t="shared" si="212"/>
        <v>0</v>
      </c>
      <c r="AU345" s="81">
        <f t="shared" si="192"/>
        <v>0</v>
      </c>
      <c r="AV345" s="81">
        <f t="shared" si="193"/>
        <v>0</v>
      </c>
      <c r="AW345" s="81">
        <f t="shared" si="194"/>
        <v>0</v>
      </c>
      <c r="AX345" s="85"/>
      <c r="AY345" s="81">
        <f t="shared" si="195"/>
        <v>0</v>
      </c>
      <c r="AZ345" s="83">
        <f t="shared" si="196"/>
        <v>0</v>
      </c>
      <c r="BA345" s="81">
        <f t="shared" si="197"/>
        <v>0</v>
      </c>
      <c r="BB345" s="83">
        <v>0</v>
      </c>
      <c r="BC345" s="83">
        <v>0</v>
      </c>
      <c r="BD345" s="83">
        <v>0</v>
      </c>
      <c r="BE345" s="84">
        <f>ROUND((IF(($AT345&lt;=700000),0,IF(((VLOOKUP($AR345,'Loyalty - Effec - 15July'!$B$5:$C$17,2,0)*$AT345)&lt;=120000),(VLOOKUP($AR345,'Loyalty - Effec - 15July'!$B$5:$C$17,2,0)*$AT345),120000))),0)</f>
        <v>0</v>
      </c>
      <c r="BF345" s="83">
        <f>ROUND(VLOOKUP($AR345,'Loyalty - Effec - 15July'!$B$5:$D$17,3,0)*$AT345,0)</f>
        <v>0</v>
      </c>
      <c r="BG345" s="85">
        <f t="shared" si="198"/>
        <v>0</v>
      </c>
      <c r="BH345" s="83">
        <f t="shared" si="199"/>
        <v>0</v>
      </c>
      <c r="BI345" s="85">
        <f t="shared" si="202"/>
        <v>0</v>
      </c>
      <c r="BJ345" s="85">
        <f t="shared" si="200"/>
        <v>0</v>
      </c>
      <c r="BK345" s="85">
        <f t="shared" si="201"/>
        <v>0</v>
      </c>
      <c r="BL345" s="85">
        <f t="shared" si="206"/>
        <v>0</v>
      </c>
      <c r="BM345" s="85">
        <f t="shared" si="207"/>
        <v>0</v>
      </c>
      <c r="BN345" s="85">
        <f t="shared" si="208"/>
        <v>0</v>
      </c>
      <c r="BO345" s="46" t="s">
        <v>85</v>
      </c>
      <c r="BP345" s="46"/>
      <c r="BQ345" s="46"/>
      <c r="BU345" s="47">
        <f t="shared" si="210"/>
        <v>0</v>
      </c>
      <c r="BV345" s="53" t="s">
        <v>609</v>
      </c>
      <c r="BW345" s="53" t="s">
        <v>932</v>
      </c>
      <c r="BX345" s="53" t="s">
        <v>828</v>
      </c>
      <c r="BY345" s="53"/>
      <c r="BZ345" s="53"/>
    </row>
    <row r="346" spans="1:78">
      <c r="A346" s="42" t="s">
        <v>610</v>
      </c>
      <c r="B346" s="28" t="s">
        <v>79</v>
      </c>
      <c r="C346" s="28" t="s">
        <v>80</v>
      </c>
      <c r="D346" s="28" t="s">
        <v>932</v>
      </c>
      <c r="F346" s="28" t="s">
        <v>901</v>
      </c>
      <c r="G346" s="44" t="s">
        <v>830</v>
      </c>
      <c r="H346" s="45">
        <v>45098</v>
      </c>
      <c r="I346" s="46" t="s">
        <v>1008</v>
      </c>
      <c r="J346" s="28">
        <v>2</v>
      </c>
      <c r="K346" s="28" t="s">
        <v>93</v>
      </c>
      <c r="L346" s="28" t="s">
        <v>873</v>
      </c>
      <c r="M346" s="28" t="s">
        <v>3</v>
      </c>
      <c r="N346" s="28" t="str">
        <f t="shared" si="179"/>
        <v>AE5</v>
      </c>
      <c r="O346" s="81"/>
      <c r="P346" s="81">
        <f t="shared" si="180"/>
        <v>0</v>
      </c>
      <c r="Q346" s="81">
        <f t="shared" si="181"/>
        <v>0</v>
      </c>
      <c r="R346" s="81">
        <f t="shared" si="182"/>
        <v>0</v>
      </c>
      <c r="S346" s="81"/>
      <c r="T346" s="82">
        <f t="shared" si="183"/>
        <v>0</v>
      </c>
      <c r="U346" s="82">
        <f t="shared" si="184"/>
        <v>0</v>
      </c>
      <c r="V346" s="82">
        <f t="shared" si="185"/>
        <v>0</v>
      </c>
      <c r="W346" s="83">
        <v>0</v>
      </c>
      <c r="X346" s="83">
        <v>0</v>
      </c>
      <c r="Y346" s="83">
        <v>0</v>
      </c>
      <c r="Z346" s="84">
        <f>ROUND((IF(($O346&lt;=700000),0,IF(((VLOOKUP($M346,'Loyalty - Effec - 15July'!$B$5:$C$17,2,0)*$O346)&lt;=120000),(VLOOKUP($M346,'Loyalty - Effec - 15July'!$B$5:$C$17,2,0)*$O346),120000))),0)</f>
        <v>0</v>
      </c>
      <c r="AA346" s="84">
        <f>ROUND(VLOOKUP($M346,'Loyalty - Effec - 15July'!$B$5:$D$17,3,0)*$O346,0)</f>
        <v>0</v>
      </c>
      <c r="AB346" s="85">
        <f t="shared" si="186"/>
        <v>0</v>
      </c>
      <c r="AC346" s="86">
        <f t="shared" si="187"/>
        <v>0</v>
      </c>
      <c r="AD346" s="87">
        <f t="shared" si="188"/>
        <v>0</v>
      </c>
      <c r="AE346" s="88">
        <f t="shared" si="189"/>
        <v>0</v>
      </c>
      <c r="AF346" s="88">
        <f t="shared" si="190"/>
        <v>0</v>
      </c>
      <c r="AG346" s="49" t="s">
        <v>913</v>
      </c>
      <c r="AH346" s="49" t="s">
        <v>909</v>
      </c>
      <c r="AI346" s="50"/>
      <c r="AJ346" s="46"/>
      <c r="AK346" s="46"/>
      <c r="AL346" s="46"/>
      <c r="AM346" s="51">
        <f>IF($AL346=4,VLOOKUP($AR346,'Loyalty Incentive v1'!$L$3:$Q$15,2,FALSE),
IF($AL346=3,VLOOKUP($AR346,'Loyalty Incentive v1'!$L$3:$Q$15,3,FALSE),
IF($AL346=2,VLOOKUP($AR346,'Loyalty Incentive v1'!$L$3:$Q$15,4,FALSE),
IF($AL346=1,VLOOKUP($AR346,'Loyalty Incentive v1'!$L$3:$Q$15,5,FALSE),
IF($AL346=0,VLOOKUP($AR346,'Loyalty Incentive v1'!$L$3:$Q$15,6,FALSE),0)))))</f>
        <v>0</v>
      </c>
      <c r="AN346" s="51">
        <f>IFERROR(IF(I346&gt;="1",AM346,VLOOKUP(VALUE(I346),'Loyalty - Effec - 15July'!$I$5:$J$16,2,0)*AM346),0)</f>
        <v>0</v>
      </c>
      <c r="AO346" s="51">
        <v>0</v>
      </c>
      <c r="AP346" s="51">
        <f t="shared" si="191"/>
        <v>0</v>
      </c>
      <c r="AQ346" s="46" t="str">
        <f t="shared" si="203"/>
        <v>No</v>
      </c>
      <c r="AR346" s="46" t="str">
        <f t="shared" si="204"/>
        <v>AE5</v>
      </c>
      <c r="AS346" s="46" t="b">
        <f t="shared" si="205"/>
        <v>1</v>
      </c>
      <c r="AT346" s="82">
        <f t="shared" si="212"/>
        <v>0</v>
      </c>
      <c r="AU346" s="81">
        <f t="shared" si="192"/>
        <v>0</v>
      </c>
      <c r="AV346" s="81">
        <f t="shared" si="193"/>
        <v>0</v>
      </c>
      <c r="AW346" s="81">
        <f t="shared" si="194"/>
        <v>0</v>
      </c>
      <c r="AX346" s="85"/>
      <c r="AY346" s="81">
        <f t="shared" si="195"/>
        <v>0</v>
      </c>
      <c r="AZ346" s="83">
        <f t="shared" si="196"/>
        <v>0</v>
      </c>
      <c r="BA346" s="81">
        <f t="shared" si="197"/>
        <v>0</v>
      </c>
      <c r="BB346" s="83">
        <v>0</v>
      </c>
      <c r="BC346" s="83">
        <v>0</v>
      </c>
      <c r="BD346" s="83">
        <v>0</v>
      </c>
      <c r="BE346" s="84">
        <f>ROUND((IF(($AT346&lt;=700000),0,IF(((VLOOKUP($AR346,'Loyalty - Effec - 15July'!$B$5:$C$17,2,0)*$AT346)&lt;=120000),(VLOOKUP($AR346,'Loyalty - Effec - 15July'!$B$5:$C$17,2,0)*$AT346),120000))),0)</f>
        <v>0</v>
      </c>
      <c r="BF346" s="83">
        <f>ROUND(VLOOKUP($AR346,'Loyalty - Effec - 15July'!$B$5:$D$17,3,0)*$AT346,0)</f>
        <v>0</v>
      </c>
      <c r="BG346" s="85">
        <f t="shared" si="198"/>
        <v>0</v>
      </c>
      <c r="BH346" s="83">
        <f t="shared" si="199"/>
        <v>0</v>
      </c>
      <c r="BI346" s="85">
        <f t="shared" si="202"/>
        <v>0</v>
      </c>
      <c r="BJ346" s="85">
        <f t="shared" si="200"/>
        <v>0</v>
      </c>
      <c r="BK346" s="85">
        <f t="shared" si="201"/>
        <v>0</v>
      </c>
      <c r="BL346" s="85">
        <f t="shared" si="206"/>
        <v>0</v>
      </c>
      <c r="BM346" s="85">
        <f t="shared" si="207"/>
        <v>0</v>
      </c>
      <c r="BN346" s="85">
        <f t="shared" si="208"/>
        <v>0</v>
      </c>
      <c r="BO346" s="46" t="s">
        <v>85</v>
      </c>
      <c r="BP346" s="46"/>
      <c r="BQ346" s="46"/>
      <c r="BU346" s="47">
        <f t="shared" si="210"/>
        <v>0</v>
      </c>
      <c r="BV346" s="53" t="s">
        <v>610</v>
      </c>
      <c r="BW346" s="53" t="s">
        <v>932</v>
      </c>
      <c r="BX346" s="53" t="s">
        <v>830</v>
      </c>
      <c r="BY346" s="53"/>
      <c r="BZ346" s="53"/>
    </row>
    <row r="347" spans="1:78">
      <c r="A347" s="42" t="s">
        <v>611</v>
      </c>
      <c r="B347" s="28" t="s">
        <v>79</v>
      </c>
      <c r="C347" s="28" t="s">
        <v>80</v>
      </c>
      <c r="D347" s="28" t="s">
        <v>932</v>
      </c>
      <c r="F347" s="28" t="s">
        <v>901</v>
      </c>
      <c r="G347" s="44" t="s">
        <v>831</v>
      </c>
      <c r="H347" s="45">
        <v>45098</v>
      </c>
      <c r="I347" s="46" t="s">
        <v>1008</v>
      </c>
      <c r="J347" s="28">
        <v>2</v>
      </c>
      <c r="K347" s="28" t="s">
        <v>396</v>
      </c>
      <c r="L347" s="28" t="s">
        <v>155</v>
      </c>
      <c r="M347" s="28" t="s">
        <v>9</v>
      </c>
      <c r="N347" s="28" t="str">
        <f t="shared" si="179"/>
        <v>AE1</v>
      </c>
      <c r="O347" s="81"/>
      <c r="P347" s="81">
        <f t="shared" si="180"/>
        <v>0</v>
      </c>
      <c r="Q347" s="81">
        <f t="shared" si="181"/>
        <v>0</v>
      </c>
      <c r="R347" s="81">
        <f t="shared" si="182"/>
        <v>0</v>
      </c>
      <c r="S347" s="81"/>
      <c r="T347" s="82">
        <f t="shared" si="183"/>
        <v>0</v>
      </c>
      <c r="U347" s="82">
        <f t="shared" si="184"/>
        <v>0</v>
      </c>
      <c r="V347" s="82">
        <f t="shared" si="185"/>
        <v>0</v>
      </c>
      <c r="W347" s="83">
        <v>0</v>
      </c>
      <c r="X347" s="83">
        <v>0</v>
      </c>
      <c r="Y347" s="83">
        <v>0</v>
      </c>
      <c r="Z347" s="84">
        <f>ROUND((IF(($O347&lt;=700000),0,IF(((VLOOKUP($M347,'Loyalty - Effec - 15July'!$B$5:$C$17,2,0)*$O347)&lt;=120000),(VLOOKUP($M347,'Loyalty - Effec - 15July'!$B$5:$C$17,2,0)*$O347),120000))),0)</f>
        <v>0</v>
      </c>
      <c r="AA347" s="84">
        <f>ROUND(VLOOKUP($M347,'Loyalty - Effec - 15July'!$B$5:$D$17,3,0)*$O347,0)</f>
        <v>0</v>
      </c>
      <c r="AB347" s="85">
        <f t="shared" si="186"/>
        <v>0</v>
      </c>
      <c r="AC347" s="86">
        <f t="shared" si="187"/>
        <v>0</v>
      </c>
      <c r="AD347" s="87">
        <f t="shared" si="188"/>
        <v>0</v>
      </c>
      <c r="AE347" s="88">
        <f t="shared" si="189"/>
        <v>0</v>
      </c>
      <c r="AF347" s="88">
        <f t="shared" si="190"/>
        <v>0</v>
      </c>
      <c r="AG347" s="49" t="s">
        <v>150</v>
      </c>
      <c r="AH347" s="49" t="s">
        <v>910</v>
      </c>
      <c r="AI347" s="50"/>
      <c r="AJ347" s="46"/>
      <c r="AK347" s="46"/>
      <c r="AL347" s="46"/>
      <c r="AM347" s="51">
        <f>IF($AL347=4,VLOOKUP($AR347,'Loyalty Incentive v1'!$L$3:$Q$15,2,FALSE),
IF($AL347=3,VLOOKUP($AR347,'Loyalty Incentive v1'!$L$3:$Q$15,3,FALSE),
IF($AL347=2,VLOOKUP($AR347,'Loyalty Incentive v1'!$L$3:$Q$15,4,FALSE),
IF($AL347=1,VLOOKUP($AR347,'Loyalty Incentive v1'!$L$3:$Q$15,5,FALSE),
IF($AL347=0,VLOOKUP($AR347,'Loyalty Incentive v1'!$L$3:$Q$15,6,FALSE),0)))))</f>
        <v>0</v>
      </c>
      <c r="AN347" s="51">
        <f>IFERROR(IF(I347&gt;="1",AM347,VLOOKUP(VALUE(I347),'Loyalty - Effec - 15July'!$I$5:$J$16,2,0)*AM347),0)</f>
        <v>0</v>
      </c>
      <c r="AO347" s="51">
        <v>0</v>
      </c>
      <c r="AP347" s="51">
        <f t="shared" si="191"/>
        <v>0</v>
      </c>
      <c r="AQ347" s="46" t="str">
        <f t="shared" si="203"/>
        <v>No</v>
      </c>
      <c r="AR347" s="46" t="str">
        <f t="shared" si="204"/>
        <v>AE1</v>
      </c>
      <c r="AS347" s="46" t="b">
        <f t="shared" si="205"/>
        <v>1</v>
      </c>
      <c r="AT347" s="82">
        <f t="shared" si="212"/>
        <v>0</v>
      </c>
      <c r="AU347" s="81">
        <f t="shared" si="192"/>
        <v>0</v>
      </c>
      <c r="AV347" s="81">
        <f t="shared" si="193"/>
        <v>0</v>
      </c>
      <c r="AW347" s="81">
        <f t="shared" si="194"/>
        <v>0</v>
      </c>
      <c r="AX347" s="85"/>
      <c r="AY347" s="81">
        <f t="shared" si="195"/>
        <v>0</v>
      </c>
      <c r="AZ347" s="83">
        <f t="shared" si="196"/>
        <v>0</v>
      </c>
      <c r="BA347" s="81">
        <f t="shared" si="197"/>
        <v>0</v>
      </c>
      <c r="BB347" s="83">
        <v>0</v>
      </c>
      <c r="BC347" s="83">
        <v>0</v>
      </c>
      <c r="BD347" s="83">
        <v>0</v>
      </c>
      <c r="BE347" s="84">
        <f>ROUND((IF(($AT347&lt;=700000),0,IF(((VLOOKUP($AR347,'Loyalty - Effec - 15July'!$B$5:$C$17,2,0)*$AT347)&lt;=120000),(VLOOKUP($AR347,'Loyalty - Effec - 15July'!$B$5:$C$17,2,0)*$AT347),120000))),0)</f>
        <v>0</v>
      </c>
      <c r="BF347" s="83">
        <f>ROUND(VLOOKUP($AR347,'Loyalty - Effec - 15July'!$B$5:$D$17,3,0)*$AT347,0)</f>
        <v>0</v>
      </c>
      <c r="BG347" s="85">
        <f t="shared" si="198"/>
        <v>0</v>
      </c>
      <c r="BH347" s="83">
        <f t="shared" si="199"/>
        <v>0</v>
      </c>
      <c r="BI347" s="85">
        <f t="shared" si="202"/>
        <v>0</v>
      </c>
      <c r="BJ347" s="85">
        <f t="shared" si="200"/>
        <v>0</v>
      </c>
      <c r="BK347" s="85">
        <f t="shared" si="201"/>
        <v>0</v>
      </c>
      <c r="BL347" s="85">
        <f t="shared" si="206"/>
        <v>0</v>
      </c>
      <c r="BM347" s="85">
        <f t="shared" si="207"/>
        <v>0</v>
      </c>
      <c r="BN347" s="85">
        <f t="shared" si="208"/>
        <v>0</v>
      </c>
      <c r="BO347" s="46" t="s">
        <v>85</v>
      </c>
      <c r="BP347" s="46"/>
      <c r="BQ347" s="46"/>
      <c r="BU347" s="47">
        <f t="shared" si="210"/>
        <v>0</v>
      </c>
      <c r="BV347" s="53" t="s">
        <v>611</v>
      </c>
      <c r="BW347" s="53" t="s">
        <v>932</v>
      </c>
      <c r="BX347" s="53" t="s">
        <v>831</v>
      </c>
      <c r="BY347" s="53"/>
      <c r="BZ347" s="53"/>
    </row>
    <row r="348" spans="1:78">
      <c r="A348" s="42" t="s">
        <v>612</v>
      </c>
      <c r="B348" s="28" t="s">
        <v>79</v>
      </c>
      <c r="C348" s="28" t="s">
        <v>80</v>
      </c>
      <c r="D348" s="28" t="s">
        <v>932</v>
      </c>
      <c r="F348" s="28" t="s">
        <v>901</v>
      </c>
      <c r="G348" s="44" t="s">
        <v>832</v>
      </c>
      <c r="H348" s="45">
        <v>45098</v>
      </c>
      <c r="I348" s="46" t="s">
        <v>1008</v>
      </c>
      <c r="J348" s="28">
        <v>2</v>
      </c>
      <c r="K348" s="28" t="s">
        <v>396</v>
      </c>
      <c r="L348" s="28" t="s">
        <v>155</v>
      </c>
      <c r="M348" s="28" t="s">
        <v>9</v>
      </c>
      <c r="N348" s="28" t="str">
        <f t="shared" si="179"/>
        <v>AE1</v>
      </c>
      <c r="O348" s="81"/>
      <c r="P348" s="81">
        <f t="shared" si="180"/>
        <v>0</v>
      </c>
      <c r="Q348" s="81">
        <f t="shared" si="181"/>
        <v>0</v>
      </c>
      <c r="R348" s="81">
        <f t="shared" si="182"/>
        <v>0</v>
      </c>
      <c r="S348" s="81"/>
      <c r="T348" s="82">
        <f t="shared" si="183"/>
        <v>0</v>
      </c>
      <c r="U348" s="82">
        <f t="shared" si="184"/>
        <v>0</v>
      </c>
      <c r="V348" s="82">
        <f t="shared" si="185"/>
        <v>0</v>
      </c>
      <c r="W348" s="83">
        <v>0</v>
      </c>
      <c r="X348" s="83">
        <v>0</v>
      </c>
      <c r="Y348" s="83">
        <v>0</v>
      </c>
      <c r="Z348" s="84">
        <f>ROUND((IF(($O348&lt;=700000),0,IF(((VLOOKUP($M348,'Loyalty - Effec - 15July'!$B$5:$C$17,2,0)*$O348)&lt;=120000),(VLOOKUP($M348,'Loyalty - Effec - 15July'!$B$5:$C$17,2,0)*$O348),120000))),0)</f>
        <v>0</v>
      </c>
      <c r="AA348" s="84">
        <f>ROUND(VLOOKUP($M348,'Loyalty - Effec - 15July'!$B$5:$D$17,3,0)*$O348,0)</f>
        <v>0</v>
      </c>
      <c r="AB348" s="85">
        <f t="shared" si="186"/>
        <v>0</v>
      </c>
      <c r="AC348" s="86">
        <f t="shared" si="187"/>
        <v>0</v>
      </c>
      <c r="AD348" s="87">
        <f t="shared" si="188"/>
        <v>0</v>
      </c>
      <c r="AE348" s="88">
        <f t="shared" si="189"/>
        <v>0</v>
      </c>
      <c r="AF348" s="88">
        <f t="shared" si="190"/>
        <v>0</v>
      </c>
      <c r="AG348" s="49" t="s">
        <v>400</v>
      </c>
      <c r="AH348" s="49" t="s">
        <v>928</v>
      </c>
      <c r="AI348" s="50"/>
      <c r="AJ348" s="46"/>
      <c r="AK348" s="46"/>
      <c r="AL348" s="46"/>
      <c r="AM348" s="51">
        <f>IF($AL348=4,VLOOKUP($AR348,'Loyalty Incentive v1'!$L$3:$Q$15,2,FALSE),
IF($AL348=3,VLOOKUP($AR348,'Loyalty Incentive v1'!$L$3:$Q$15,3,FALSE),
IF($AL348=2,VLOOKUP($AR348,'Loyalty Incentive v1'!$L$3:$Q$15,4,FALSE),
IF($AL348=1,VLOOKUP($AR348,'Loyalty Incentive v1'!$L$3:$Q$15,5,FALSE),
IF($AL348=0,VLOOKUP($AR348,'Loyalty Incentive v1'!$L$3:$Q$15,6,FALSE),0)))))</f>
        <v>0</v>
      </c>
      <c r="AN348" s="51">
        <f>IFERROR(IF(I348&gt;="1",AM348,VLOOKUP(VALUE(I348),'Loyalty - Effec - 15July'!$I$5:$J$16,2,0)*AM348),0)</f>
        <v>0</v>
      </c>
      <c r="AO348" s="51">
        <v>0</v>
      </c>
      <c r="AP348" s="51">
        <f t="shared" si="191"/>
        <v>0</v>
      </c>
      <c r="AQ348" s="46" t="str">
        <f t="shared" si="203"/>
        <v>No</v>
      </c>
      <c r="AR348" s="46" t="str">
        <f t="shared" si="204"/>
        <v>AE1</v>
      </c>
      <c r="AS348" s="46" t="b">
        <f t="shared" si="205"/>
        <v>1</v>
      </c>
      <c r="AT348" s="82">
        <f t="shared" si="212"/>
        <v>0</v>
      </c>
      <c r="AU348" s="81">
        <f t="shared" si="192"/>
        <v>0</v>
      </c>
      <c r="AV348" s="81">
        <f t="shared" si="193"/>
        <v>0</v>
      </c>
      <c r="AW348" s="81">
        <f t="shared" si="194"/>
        <v>0</v>
      </c>
      <c r="AX348" s="85"/>
      <c r="AY348" s="81">
        <f t="shared" si="195"/>
        <v>0</v>
      </c>
      <c r="AZ348" s="83">
        <f t="shared" si="196"/>
        <v>0</v>
      </c>
      <c r="BA348" s="81">
        <f t="shared" si="197"/>
        <v>0</v>
      </c>
      <c r="BB348" s="83">
        <v>0</v>
      </c>
      <c r="BC348" s="83">
        <v>0</v>
      </c>
      <c r="BD348" s="83">
        <v>0</v>
      </c>
      <c r="BE348" s="84">
        <f>ROUND((IF(($AT348&lt;=700000),0,IF(((VLOOKUP($AR348,'Loyalty - Effec - 15July'!$B$5:$C$17,2,0)*$AT348)&lt;=120000),(VLOOKUP($AR348,'Loyalty - Effec - 15July'!$B$5:$C$17,2,0)*$AT348),120000))),0)</f>
        <v>0</v>
      </c>
      <c r="BF348" s="83">
        <f>ROUND(VLOOKUP($AR348,'Loyalty - Effec - 15July'!$B$5:$D$17,3,0)*$AT348,0)</f>
        <v>0</v>
      </c>
      <c r="BG348" s="85">
        <f t="shared" si="198"/>
        <v>0</v>
      </c>
      <c r="BH348" s="83">
        <f t="shared" si="199"/>
        <v>0</v>
      </c>
      <c r="BI348" s="85">
        <f t="shared" si="202"/>
        <v>0</v>
      </c>
      <c r="BJ348" s="85">
        <f t="shared" si="200"/>
        <v>0</v>
      </c>
      <c r="BK348" s="85">
        <f t="shared" si="201"/>
        <v>0</v>
      </c>
      <c r="BL348" s="85">
        <f t="shared" si="206"/>
        <v>0</v>
      </c>
      <c r="BM348" s="85">
        <f t="shared" si="207"/>
        <v>0</v>
      </c>
      <c r="BN348" s="85">
        <f t="shared" si="208"/>
        <v>0</v>
      </c>
      <c r="BO348" s="46" t="s">
        <v>85</v>
      </c>
      <c r="BP348" s="46"/>
      <c r="BQ348" s="46"/>
      <c r="BU348" s="47">
        <f t="shared" si="210"/>
        <v>0</v>
      </c>
      <c r="BV348" s="53" t="s">
        <v>612</v>
      </c>
      <c r="BW348" s="53" t="s">
        <v>932</v>
      </c>
      <c r="BX348" s="53" t="s">
        <v>832</v>
      </c>
      <c r="BY348" s="53"/>
      <c r="BZ348" s="53"/>
    </row>
    <row r="349" spans="1:78">
      <c r="A349" s="42" t="s">
        <v>613</v>
      </c>
      <c r="B349" s="28" t="s">
        <v>79</v>
      </c>
      <c r="C349" s="28" t="s">
        <v>80</v>
      </c>
      <c r="D349" s="28" t="s">
        <v>932</v>
      </c>
      <c r="F349" s="28" t="s">
        <v>901</v>
      </c>
      <c r="G349" s="44" t="s">
        <v>833</v>
      </c>
      <c r="H349" s="45">
        <v>45098</v>
      </c>
      <c r="I349" s="46" t="s">
        <v>1008</v>
      </c>
      <c r="J349" s="28">
        <v>2</v>
      </c>
      <c r="K349" s="28" t="s">
        <v>396</v>
      </c>
      <c r="L349" s="28" t="s">
        <v>155</v>
      </c>
      <c r="M349" s="28" t="s">
        <v>9</v>
      </c>
      <c r="N349" s="28" t="str">
        <f t="shared" si="179"/>
        <v>AE1</v>
      </c>
      <c r="O349" s="81"/>
      <c r="P349" s="81">
        <f t="shared" si="180"/>
        <v>0</v>
      </c>
      <c r="Q349" s="81">
        <f t="shared" si="181"/>
        <v>0</v>
      </c>
      <c r="R349" s="81">
        <f t="shared" si="182"/>
        <v>0</v>
      </c>
      <c r="S349" s="81"/>
      <c r="T349" s="82">
        <f t="shared" si="183"/>
        <v>0</v>
      </c>
      <c r="U349" s="82">
        <f t="shared" si="184"/>
        <v>0</v>
      </c>
      <c r="V349" s="82">
        <f t="shared" si="185"/>
        <v>0</v>
      </c>
      <c r="W349" s="83">
        <v>0</v>
      </c>
      <c r="X349" s="83">
        <v>0</v>
      </c>
      <c r="Y349" s="83">
        <v>0</v>
      </c>
      <c r="Z349" s="84">
        <f>ROUND((IF(($O349&lt;=700000),0,IF(((VLOOKUP($M349,'Loyalty - Effec - 15July'!$B$5:$C$17,2,0)*$O349)&lt;=120000),(VLOOKUP($M349,'Loyalty - Effec - 15July'!$B$5:$C$17,2,0)*$O349),120000))),0)</f>
        <v>0</v>
      </c>
      <c r="AA349" s="84">
        <f>ROUND(VLOOKUP($M349,'Loyalty - Effec - 15July'!$B$5:$D$17,3,0)*$O349,0)</f>
        <v>0</v>
      </c>
      <c r="AB349" s="85">
        <f t="shared" si="186"/>
        <v>0</v>
      </c>
      <c r="AC349" s="86">
        <f t="shared" si="187"/>
        <v>0</v>
      </c>
      <c r="AD349" s="87">
        <f t="shared" si="188"/>
        <v>0</v>
      </c>
      <c r="AE349" s="88">
        <f t="shared" si="189"/>
        <v>0</v>
      </c>
      <c r="AF349" s="88">
        <f t="shared" si="190"/>
        <v>0</v>
      </c>
      <c r="AG349" s="49" t="s">
        <v>400</v>
      </c>
      <c r="AH349" s="49" t="s">
        <v>126</v>
      </c>
      <c r="AI349" s="50"/>
      <c r="AJ349" s="46"/>
      <c r="AK349" s="46"/>
      <c r="AL349" s="46"/>
      <c r="AM349" s="51">
        <f>IF($AL349=4,VLOOKUP($AR349,'Loyalty Incentive v1'!$L$3:$Q$15,2,FALSE),
IF($AL349=3,VLOOKUP($AR349,'Loyalty Incentive v1'!$L$3:$Q$15,3,FALSE),
IF($AL349=2,VLOOKUP($AR349,'Loyalty Incentive v1'!$L$3:$Q$15,4,FALSE),
IF($AL349=1,VLOOKUP($AR349,'Loyalty Incentive v1'!$L$3:$Q$15,5,FALSE),
IF($AL349=0,VLOOKUP($AR349,'Loyalty Incentive v1'!$L$3:$Q$15,6,FALSE),0)))))</f>
        <v>0</v>
      </c>
      <c r="AN349" s="51">
        <f>IFERROR(IF(I349&gt;="1",AM349,VLOOKUP(VALUE(I349),'Loyalty - Effec - 15July'!$I$5:$J$16,2,0)*AM349),0)</f>
        <v>0</v>
      </c>
      <c r="AO349" s="51">
        <v>0</v>
      </c>
      <c r="AP349" s="51">
        <f t="shared" si="191"/>
        <v>0</v>
      </c>
      <c r="AQ349" s="46" t="str">
        <f t="shared" si="203"/>
        <v>No</v>
      </c>
      <c r="AR349" s="46" t="str">
        <f t="shared" si="204"/>
        <v>AE1</v>
      </c>
      <c r="AS349" s="46" t="b">
        <f t="shared" si="205"/>
        <v>1</v>
      </c>
      <c r="AT349" s="82">
        <f t="shared" si="212"/>
        <v>0</v>
      </c>
      <c r="AU349" s="81">
        <f t="shared" si="192"/>
        <v>0</v>
      </c>
      <c r="AV349" s="81">
        <f t="shared" si="193"/>
        <v>0</v>
      </c>
      <c r="AW349" s="81">
        <f t="shared" si="194"/>
        <v>0</v>
      </c>
      <c r="AX349" s="85"/>
      <c r="AY349" s="81">
        <f t="shared" si="195"/>
        <v>0</v>
      </c>
      <c r="AZ349" s="83">
        <f t="shared" si="196"/>
        <v>0</v>
      </c>
      <c r="BA349" s="81">
        <f t="shared" si="197"/>
        <v>0</v>
      </c>
      <c r="BB349" s="83">
        <v>0</v>
      </c>
      <c r="BC349" s="83">
        <v>0</v>
      </c>
      <c r="BD349" s="83">
        <v>0</v>
      </c>
      <c r="BE349" s="84">
        <f>ROUND((IF(($AT349&lt;=700000),0,IF(((VLOOKUP($AR349,'Loyalty - Effec - 15July'!$B$5:$C$17,2,0)*$AT349)&lt;=120000),(VLOOKUP($AR349,'Loyalty - Effec - 15July'!$B$5:$C$17,2,0)*$AT349),120000))),0)</f>
        <v>0</v>
      </c>
      <c r="BF349" s="83">
        <f>ROUND(VLOOKUP($AR349,'Loyalty - Effec - 15July'!$B$5:$D$17,3,0)*$AT349,0)</f>
        <v>0</v>
      </c>
      <c r="BG349" s="85">
        <f t="shared" si="198"/>
        <v>0</v>
      </c>
      <c r="BH349" s="83">
        <f t="shared" si="199"/>
        <v>0</v>
      </c>
      <c r="BI349" s="85">
        <f t="shared" si="202"/>
        <v>0</v>
      </c>
      <c r="BJ349" s="85">
        <f t="shared" si="200"/>
        <v>0</v>
      </c>
      <c r="BK349" s="85">
        <f t="shared" si="201"/>
        <v>0</v>
      </c>
      <c r="BL349" s="85">
        <f t="shared" si="206"/>
        <v>0</v>
      </c>
      <c r="BM349" s="85">
        <f t="shared" si="207"/>
        <v>0</v>
      </c>
      <c r="BN349" s="85">
        <f t="shared" si="208"/>
        <v>0</v>
      </c>
      <c r="BO349" s="46" t="s">
        <v>85</v>
      </c>
      <c r="BP349" s="46"/>
      <c r="BQ349" s="46"/>
      <c r="BU349" s="47">
        <f t="shared" si="210"/>
        <v>0</v>
      </c>
      <c r="BV349" s="53" t="s">
        <v>613</v>
      </c>
      <c r="BW349" s="53" t="s">
        <v>932</v>
      </c>
      <c r="BX349" s="53" t="s">
        <v>833</v>
      </c>
      <c r="BY349" s="53"/>
      <c r="BZ349" s="53"/>
    </row>
    <row r="350" spans="1:78">
      <c r="A350" s="42" t="s">
        <v>614</v>
      </c>
      <c r="B350" s="28" t="s">
        <v>79</v>
      </c>
      <c r="C350" s="28" t="s">
        <v>80</v>
      </c>
      <c r="D350" s="28" t="s">
        <v>932</v>
      </c>
      <c r="F350" s="28" t="s">
        <v>901</v>
      </c>
      <c r="G350" s="44" t="s">
        <v>834</v>
      </c>
      <c r="H350" s="45">
        <v>45098</v>
      </c>
      <c r="I350" s="46" t="s">
        <v>1008</v>
      </c>
      <c r="J350" s="28">
        <v>2</v>
      </c>
      <c r="K350" s="28" t="s">
        <v>396</v>
      </c>
      <c r="L350" s="28" t="s">
        <v>155</v>
      </c>
      <c r="M350" s="28" t="s">
        <v>9</v>
      </c>
      <c r="N350" s="28" t="str">
        <f t="shared" si="179"/>
        <v>AE1</v>
      </c>
      <c r="O350" s="81"/>
      <c r="P350" s="81">
        <f t="shared" si="180"/>
        <v>0</v>
      </c>
      <c r="Q350" s="81">
        <f t="shared" si="181"/>
        <v>0</v>
      </c>
      <c r="R350" s="81">
        <f t="shared" si="182"/>
        <v>0</v>
      </c>
      <c r="S350" s="81"/>
      <c r="T350" s="82">
        <f t="shared" si="183"/>
        <v>0</v>
      </c>
      <c r="U350" s="82">
        <f t="shared" si="184"/>
        <v>0</v>
      </c>
      <c r="V350" s="82">
        <f t="shared" si="185"/>
        <v>0</v>
      </c>
      <c r="W350" s="83">
        <v>0</v>
      </c>
      <c r="X350" s="83">
        <v>0</v>
      </c>
      <c r="Y350" s="83">
        <v>0</v>
      </c>
      <c r="Z350" s="84">
        <f>ROUND((IF(($O350&lt;=700000),0,IF(((VLOOKUP($M350,'Loyalty - Effec - 15July'!$B$5:$C$17,2,0)*$O350)&lt;=120000),(VLOOKUP($M350,'Loyalty - Effec - 15July'!$B$5:$C$17,2,0)*$O350),120000))),0)</f>
        <v>0</v>
      </c>
      <c r="AA350" s="84">
        <f>ROUND(VLOOKUP($M350,'Loyalty - Effec - 15July'!$B$5:$D$17,3,0)*$O350,0)</f>
        <v>0</v>
      </c>
      <c r="AB350" s="85">
        <f t="shared" si="186"/>
        <v>0</v>
      </c>
      <c r="AC350" s="86">
        <f t="shared" si="187"/>
        <v>0</v>
      </c>
      <c r="AD350" s="87">
        <f t="shared" si="188"/>
        <v>0</v>
      </c>
      <c r="AE350" s="88">
        <f t="shared" si="189"/>
        <v>0</v>
      </c>
      <c r="AF350" s="88">
        <f t="shared" si="190"/>
        <v>0</v>
      </c>
      <c r="AG350" s="49" t="s">
        <v>400</v>
      </c>
      <c r="AH350" s="49" t="s">
        <v>126</v>
      </c>
      <c r="AI350" s="50"/>
      <c r="AJ350" s="46"/>
      <c r="AK350" s="46"/>
      <c r="AL350" s="46"/>
      <c r="AM350" s="51">
        <f>IF($AL350=4,VLOOKUP($AR350,'Loyalty Incentive v1'!$L$3:$Q$15,2,FALSE),
IF($AL350=3,VLOOKUP($AR350,'Loyalty Incentive v1'!$L$3:$Q$15,3,FALSE),
IF($AL350=2,VLOOKUP($AR350,'Loyalty Incentive v1'!$L$3:$Q$15,4,FALSE),
IF($AL350=1,VLOOKUP($AR350,'Loyalty Incentive v1'!$L$3:$Q$15,5,FALSE),
IF($AL350=0,VLOOKUP($AR350,'Loyalty Incentive v1'!$L$3:$Q$15,6,FALSE),0)))))</f>
        <v>0</v>
      </c>
      <c r="AN350" s="51">
        <f>IFERROR(IF(I350&gt;="1",AM350,VLOOKUP(VALUE(I350),'Loyalty - Effec - 15July'!$I$5:$J$16,2,0)*AM350),0)</f>
        <v>0</v>
      </c>
      <c r="AO350" s="51">
        <v>0</v>
      </c>
      <c r="AP350" s="51">
        <f t="shared" si="191"/>
        <v>0</v>
      </c>
      <c r="AQ350" s="46" t="str">
        <f t="shared" si="203"/>
        <v>No</v>
      </c>
      <c r="AR350" s="46" t="str">
        <f t="shared" si="204"/>
        <v>AE1</v>
      </c>
      <c r="AS350" s="46" t="b">
        <f t="shared" si="205"/>
        <v>1</v>
      </c>
      <c r="AT350" s="82">
        <f t="shared" si="212"/>
        <v>0</v>
      </c>
      <c r="AU350" s="81">
        <f t="shared" si="192"/>
        <v>0</v>
      </c>
      <c r="AV350" s="81">
        <f t="shared" si="193"/>
        <v>0</v>
      </c>
      <c r="AW350" s="81">
        <f t="shared" si="194"/>
        <v>0</v>
      </c>
      <c r="AX350" s="85"/>
      <c r="AY350" s="81">
        <f t="shared" si="195"/>
        <v>0</v>
      </c>
      <c r="AZ350" s="83">
        <f t="shared" si="196"/>
        <v>0</v>
      </c>
      <c r="BA350" s="81">
        <f t="shared" si="197"/>
        <v>0</v>
      </c>
      <c r="BB350" s="83">
        <v>0</v>
      </c>
      <c r="BC350" s="83">
        <v>0</v>
      </c>
      <c r="BD350" s="83">
        <v>0</v>
      </c>
      <c r="BE350" s="84">
        <f>ROUND((IF(($AT350&lt;=700000),0,IF(((VLOOKUP($AR350,'Loyalty - Effec - 15July'!$B$5:$C$17,2,0)*$AT350)&lt;=120000),(VLOOKUP($AR350,'Loyalty - Effec - 15July'!$B$5:$C$17,2,0)*$AT350),120000))),0)</f>
        <v>0</v>
      </c>
      <c r="BF350" s="83">
        <f>ROUND(VLOOKUP($AR350,'Loyalty - Effec - 15July'!$B$5:$D$17,3,0)*$AT350,0)</f>
        <v>0</v>
      </c>
      <c r="BG350" s="85">
        <f t="shared" si="198"/>
        <v>0</v>
      </c>
      <c r="BH350" s="83">
        <f t="shared" si="199"/>
        <v>0</v>
      </c>
      <c r="BI350" s="85">
        <f t="shared" si="202"/>
        <v>0</v>
      </c>
      <c r="BJ350" s="85">
        <f t="shared" si="200"/>
        <v>0</v>
      </c>
      <c r="BK350" s="85">
        <f t="shared" si="201"/>
        <v>0</v>
      </c>
      <c r="BL350" s="85">
        <f t="shared" si="206"/>
        <v>0</v>
      </c>
      <c r="BM350" s="85">
        <f t="shared" si="207"/>
        <v>0</v>
      </c>
      <c r="BN350" s="85">
        <f t="shared" si="208"/>
        <v>0</v>
      </c>
      <c r="BO350" s="46" t="s">
        <v>85</v>
      </c>
      <c r="BP350" s="46"/>
      <c r="BQ350" s="46"/>
      <c r="BU350" s="47">
        <f t="shared" si="210"/>
        <v>0</v>
      </c>
      <c r="BV350" s="53" t="s">
        <v>614</v>
      </c>
      <c r="BW350" s="53" t="s">
        <v>932</v>
      </c>
      <c r="BX350" s="53" t="s">
        <v>834</v>
      </c>
      <c r="BY350" s="53"/>
      <c r="BZ350" s="53"/>
    </row>
    <row r="351" spans="1:78">
      <c r="A351" s="42" t="s">
        <v>615</v>
      </c>
      <c r="B351" s="28" t="s">
        <v>79</v>
      </c>
      <c r="C351" s="28" t="s">
        <v>80</v>
      </c>
      <c r="D351" s="28" t="s">
        <v>932</v>
      </c>
      <c r="F351" s="28" t="s">
        <v>901</v>
      </c>
      <c r="G351" s="44" t="s">
        <v>835</v>
      </c>
      <c r="H351" s="45">
        <v>45098</v>
      </c>
      <c r="I351" s="46" t="s">
        <v>1008</v>
      </c>
      <c r="J351" s="28">
        <v>2</v>
      </c>
      <c r="K351" s="28" t="s">
        <v>396</v>
      </c>
      <c r="L351" s="28" t="s">
        <v>155</v>
      </c>
      <c r="M351" s="28" t="s">
        <v>9</v>
      </c>
      <c r="N351" s="28" t="str">
        <f t="shared" si="179"/>
        <v>AE1</v>
      </c>
      <c r="O351" s="81"/>
      <c r="P351" s="81">
        <f t="shared" si="180"/>
        <v>0</v>
      </c>
      <c r="Q351" s="81">
        <f t="shared" si="181"/>
        <v>0</v>
      </c>
      <c r="R351" s="81">
        <f t="shared" si="182"/>
        <v>0</v>
      </c>
      <c r="S351" s="81"/>
      <c r="T351" s="82">
        <f t="shared" si="183"/>
        <v>0</v>
      </c>
      <c r="U351" s="82">
        <f t="shared" si="184"/>
        <v>0</v>
      </c>
      <c r="V351" s="82">
        <f t="shared" si="185"/>
        <v>0</v>
      </c>
      <c r="W351" s="83">
        <v>0</v>
      </c>
      <c r="X351" s="83">
        <v>0</v>
      </c>
      <c r="Y351" s="83">
        <v>0</v>
      </c>
      <c r="Z351" s="84">
        <f>ROUND((IF(($O351&lt;=700000),0,IF(((VLOOKUP($M351,'Loyalty - Effec - 15July'!$B$5:$C$17,2,0)*$O351)&lt;=120000),(VLOOKUP($M351,'Loyalty - Effec - 15July'!$B$5:$C$17,2,0)*$O351),120000))),0)</f>
        <v>0</v>
      </c>
      <c r="AA351" s="84">
        <f>ROUND(VLOOKUP($M351,'Loyalty - Effec - 15July'!$B$5:$D$17,3,0)*$O351,0)</f>
        <v>0</v>
      </c>
      <c r="AB351" s="85">
        <f t="shared" si="186"/>
        <v>0</v>
      </c>
      <c r="AC351" s="86">
        <f t="shared" si="187"/>
        <v>0</v>
      </c>
      <c r="AD351" s="87">
        <f t="shared" si="188"/>
        <v>0</v>
      </c>
      <c r="AE351" s="88">
        <f t="shared" si="189"/>
        <v>0</v>
      </c>
      <c r="AF351" s="88">
        <f t="shared" si="190"/>
        <v>0</v>
      </c>
      <c r="AG351" s="49" t="s">
        <v>400</v>
      </c>
      <c r="AH351" s="49" t="s">
        <v>126</v>
      </c>
      <c r="AI351" s="50"/>
      <c r="AJ351" s="46"/>
      <c r="AK351" s="46"/>
      <c r="AL351" s="46"/>
      <c r="AM351" s="51">
        <f>IF($AL351=4,VLOOKUP($AR351,'Loyalty Incentive v1'!$L$3:$Q$15,2,FALSE),
IF($AL351=3,VLOOKUP($AR351,'Loyalty Incentive v1'!$L$3:$Q$15,3,FALSE),
IF($AL351=2,VLOOKUP($AR351,'Loyalty Incentive v1'!$L$3:$Q$15,4,FALSE),
IF($AL351=1,VLOOKUP($AR351,'Loyalty Incentive v1'!$L$3:$Q$15,5,FALSE),
IF($AL351=0,VLOOKUP($AR351,'Loyalty Incentive v1'!$L$3:$Q$15,6,FALSE),0)))))</f>
        <v>0</v>
      </c>
      <c r="AN351" s="51">
        <f>IFERROR(IF(I351&gt;="1",AM351,VLOOKUP(VALUE(I351),'Loyalty - Effec - 15July'!$I$5:$J$16,2,0)*AM351),0)</f>
        <v>0</v>
      </c>
      <c r="AO351" s="51">
        <v>0</v>
      </c>
      <c r="AP351" s="51">
        <f t="shared" si="191"/>
        <v>0</v>
      </c>
      <c r="AQ351" s="46" t="str">
        <f t="shared" si="203"/>
        <v>No</v>
      </c>
      <c r="AR351" s="46" t="str">
        <f t="shared" si="204"/>
        <v>AE1</v>
      </c>
      <c r="AS351" s="46" t="b">
        <f t="shared" si="205"/>
        <v>1</v>
      </c>
      <c r="AT351" s="82">
        <f t="shared" si="212"/>
        <v>0</v>
      </c>
      <c r="AU351" s="81">
        <f t="shared" si="192"/>
        <v>0</v>
      </c>
      <c r="AV351" s="81">
        <f t="shared" si="193"/>
        <v>0</v>
      </c>
      <c r="AW351" s="81">
        <f t="shared" si="194"/>
        <v>0</v>
      </c>
      <c r="AX351" s="85"/>
      <c r="AY351" s="81">
        <f t="shared" si="195"/>
        <v>0</v>
      </c>
      <c r="AZ351" s="83">
        <f t="shared" si="196"/>
        <v>0</v>
      </c>
      <c r="BA351" s="81">
        <f t="shared" si="197"/>
        <v>0</v>
      </c>
      <c r="BB351" s="83">
        <v>0</v>
      </c>
      <c r="BC351" s="83">
        <v>0</v>
      </c>
      <c r="BD351" s="83">
        <v>0</v>
      </c>
      <c r="BE351" s="84">
        <f>ROUND((IF(($AT351&lt;=700000),0,IF(((VLOOKUP($AR351,'Loyalty - Effec - 15July'!$B$5:$C$17,2,0)*$AT351)&lt;=120000),(VLOOKUP($AR351,'Loyalty - Effec - 15July'!$B$5:$C$17,2,0)*$AT351),120000))),0)</f>
        <v>0</v>
      </c>
      <c r="BF351" s="83">
        <f>ROUND(VLOOKUP($AR351,'Loyalty - Effec - 15July'!$B$5:$D$17,3,0)*$AT351,0)</f>
        <v>0</v>
      </c>
      <c r="BG351" s="85">
        <f t="shared" si="198"/>
        <v>0</v>
      </c>
      <c r="BH351" s="83">
        <f t="shared" si="199"/>
        <v>0</v>
      </c>
      <c r="BI351" s="85">
        <f t="shared" si="202"/>
        <v>0</v>
      </c>
      <c r="BJ351" s="85">
        <f t="shared" si="200"/>
        <v>0</v>
      </c>
      <c r="BK351" s="85">
        <f t="shared" si="201"/>
        <v>0</v>
      </c>
      <c r="BL351" s="85">
        <f t="shared" si="206"/>
        <v>0</v>
      </c>
      <c r="BM351" s="85">
        <f t="shared" si="207"/>
        <v>0</v>
      </c>
      <c r="BN351" s="85">
        <f t="shared" si="208"/>
        <v>0</v>
      </c>
      <c r="BO351" s="46" t="s">
        <v>85</v>
      </c>
      <c r="BP351" s="46"/>
      <c r="BQ351" s="46"/>
      <c r="BU351" s="47">
        <f t="shared" si="210"/>
        <v>0</v>
      </c>
      <c r="BV351" s="53" t="s">
        <v>615</v>
      </c>
      <c r="BW351" s="53" t="s">
        <v>932</v>
      </c>
      <c r="BX351" s="53" t="s">
        <v>835</v>
      </c>
      <c r="BY351" s="53"/>
      <c r="BZ351" s="53"/>
    </row>
    <row r="352" spans="1:78">
      <c r="A352" s="42" t="s">
        <v>616</v>
      </c>
      <c r="B352" s="28" t="s">
        <v>79</v>
      </c>
      <c r="C352" s="28" t="s">
        <v>80</v>
      </c>
      <c r="D352" s="28" t="s">
        <v>932</v>
      </c>
      <c r="F352" s="28" t="s">
        <v>901</v>
      </c>
      <c r="G352" s="44" t="s">
        <v>836</v>
      </c>
      <c r="H352" s="45">
        <v>45098</v>
      </c>
      <c r="I352" s="46" t="s">
        <v>1008</v>
      </c>
      <c r="J352" s="28">
        <v>2</v>
      </c>
      <c r="K352" s="28" t="s">
        <v>396</v>
      </c>
      <c r="L352" s="28" t="s">
        <v>155</v>
      </c>
      <c r="M352" s="28" t="s">
        <v>9</v>
      </c>
      <c r="N352" s="28" t="str">
        <f t="shared" si="179"/>
        <v>AE1</v>
      </c>
      <c r="O352" s="81"/>
      <c r="P352" s="81">
        <f t="shared" si="180"/>
        <v>0</v>
      </c>
      <c r="Q352" s="81">
        <f t="shared" si="181"/>
        <v>0</v>
      </c>
      <c r="R352" s="81">
        <f t="shared" si="182"/>
        <v>0</v>
      </c>
      <c r="S352" s="81"/>
      <c r="T352" s="82">
        <f t="shared" si="183"/>
        <v>0</v>
      </c>
      <c r="U352" s="82">
        <f t="shared" si="184"/>
        <v>0</v>
      </c>
      <c r="V352" s="82">
        <f t="shared" si="185"/>
        <v>0</v>
      </c>
      <c r="W352" s="83">
        <v>0</v>
      </c>
      <c r="X352" s="83">
        <v>0</v>
      </c>
      <c r="Y352" s="83">
        <v>0</v>
      </c>
      <c r="Z352" s="84">
        <f>ROUND((IF(($O352&lt;=700000),0,IF(((VLOOKUP($M352,'Loyalty - Effec - 15July'!$B$5:$C$17,2,0)*$O352)&lt;=120000),(VLOOKUP($M352,'Loyalty - Effec - 15July'!$B$5:$C$17,2,0)*$O352),120000))),0)</f>
        <v>0</v>
      </c>
      <c r="AA352" s="84">
        <f>ROUND(VLOOKUP($M352,'Loyalty - Effec - 15July'!$B$5:$D$17,3,0)*$O352,0)</f>
        <v>0</v>
      </c>
      <c r="AB352" s="85">
        <f t="shared" si="186"/>
        <v>0</v>
      </c>
      <c r="AC352" s="86">
        <f t="shared" si="187"/>
        <v>0</v>
      </c>
      <c r="AD352" s="87">
        <f t="shared" si="188"/>
        <v>0</v>
      </c>
      <c r="AE352" s="88">
        <f t="shared" si="189"/>
        <v>0</v>
      </c>
      <c r="AF352" s="88">
        <f t="shared" si="190"/>
        <v>0</v>
      </c>
      <c r="AG352" s="49" t="s">
        <v>400</v>
      </c>
      <c r="AH352" s="49" t="s">
        <v>928</v>
      </c>
      <c r="AI352" s="50"/>
      <c r="AJ352" s="46"/>
      <c r="AK352" s="46"/>
      <c r="AL352" s="46"/>
      <c r="AM352" s="51">
        <f>IF($AL352=4,VLOOKUP($AR352,'Loyalty Incentive v1'!$L$3:$Q$15,2,FALSE),
IF($AL352=3,VLOOKUP($AR352,'Loyalty Incentive v1'!$L$3:$Q$15,3,FALSE),
IF($AL352=2,VLOOKUP($AR352,'Loyalty Incentive v1'!$L$3:$Q$15,4,FALSE),
IF($AL352=1,VLOOKUP($AR352,'Loyalty Incentive v1'!$L$3:$Q$15,5,FALSE),
IF($AL352=0,VLOOKUP($AR352,'Loyalty Incentive v1'!$L$3:$Q$15,6,FALSE),0)))))</f>
        <v>0</v>
      </c>
      <c r="AN352" s="51">
        <f>IFERROR(IF(I352&gt;="1",AM352,VLOOKUP(VALUE(I352),'Loyalty - Effec - 15July'!$I$5:$J$16,2,0)*AM352),0)</f>
        <v>0</v>
      </c>
      <c r="AO352" s="51">
        <v>0</v>
      </c>
      <c r="AP352" s="51">
        <f t="shared" si="191"/>
        <v>0</v>
      </c>
      <c r="AQ352" s="46" t="str">
        <f t="shared" si="203"/>
        <v>No</v>
      </c>
      <c r="AR352" s="46" t="str">
        <f t="shared" si="204"/>
        <v>AE1</v>
      </c>
      <c r="AS352" s="46" t="b">
        <f t="shared" si="205"/>
        <v>1</v>
      </c>
      <c r="AT352" s="82">
        <f t="shared" si="212"/>
        <v>0</v>
      </c>
      <c r="AU352" s="81">
        <f t="shared" si="192"/>
        <v>0</v>
      </c>
      <c r="AV352" s="81">
        <f t="shared" si="193"/>
        <v>0</v>
      </c>
      <c r="AW352" s="81">
        <f t="shared" si="194"/>
        <v>0</v>
      </c>
      <c r="AX352" s="85"/>
      <c r="AY352" s="81">
        <f t="shared" si="195"/>
        <v>0</v>
      </c>
      <c r="AZ352" s="83">
        <f t="shared" si="196"/>
        <v>0</v>
      </c>
      <c r="BA352" s="81">
        <f t="shared" si="197"/>
        <v>0</v>
      </c>
      <c r="BB352" s="83">
        <v>0</v>
      </c>
      <c r="BC352" s="83">
        <v>0</v>
      </c>
      <c r="BD352" s="83">
        <v>0</v>
      </c>
      <c r="BE352" s="84">
        <f>ROUND((IF(($AT352&lt;=700000),0,IF(((VLOOKUP($AR352,'Loyalty - Effec - 15July'!$B$5:$C$17,2,0)*$AT352)&lt;=120000),(VLOOKUP($AR352,'Loyalty - Effec - 15July'!$B$5:$C$17,2,0)*$AT352),120000))),0)</f>
        <v>0</v>
      </c>
      <c r="BF352" s="83">
        <f>ROUND(VLOOKUP($AR352,'Loyalty - Effec - 15July'!$B$5:$D$17,3,0)*$AT352,0)</f>
        <v>0</v>
      </c>
      <c r="BG352" s="85">
        <f t="shared" si="198"/>
        <v>0</v>
      </c>
      <c r="BH352" s="83">
        <f t="shared" si="199"/>
        <v>0</v>
      </c>
      <c r="BI352" s="85">
        <f t="shared" si="202"/>
        <v>0</v>
      </c>
      <c r="BJ352" s="85">
        <f t="shared" si="200"/>
        <v>0</v>
      </c>
      <c r="BK352" s="85">
        <f t="shared" si="201"/>
        <v>0</v>
      </c>
      <c r="BL352" s="85">
        <f t="shared" si="206"/>
        <v>0</v>
      </c>
      <c r="BM352" s="85">
        <f t="shared" si="207"/>
        <v>0</v>
      </c>
      <c r="BN352" s="85">
        <f t="shared" si="208"/>
        <v>0</v>
      </c>
      <c r="BO352" s="46" t="s">
        <v>85</v>
      </c>
      <c r="BP352" s="46"/>
      <c r="BQ352" s="46"/>
      <c r="BU352" s="47">
        <f t="shared" si="210"/>
        <v>0</v>
      </c>
      <c r="BV352" s="53" t="s">
        <v>616</v>
      </c>
      <c r="BW352" s="53" t="s">
        <v>932</v>
      </c>
      <c r="BX352" s="53" t="s">
        <v>836</v>
      </c>
      <c r="BY352" s="53"/>
      <c r="BZ352" s="53"/>
    </row>
    <row r="353" spans="1:78">
      <c r="A353" s="42" t="s">
        <v>617</v>
      </c>
      <c r="B353" s="28" t="s">
        <v>79</v>
      </c>
      <c r="C353" s="28" t="s">
        <v>80</v>
      </c>
      <c r="D353" s="28" t="s">
        <v>932</v>
      </c>
      <c r="F353" s="28" t="s">
        <v>901</v>
      </c>
      <c r="G353" s="44" t="s">
        <v>837</v>
      </c>
      <c r="H353" s="45">
        <v>45133</v>
      </c>
      <c r="I353" s="46" t="s">
        <v>1009</v>
      </c>
      <c r="J353" s="28">
        <v>2</v>
      </c>
      <c r="K353" s="28" t="s">
        <v>417</v>
      </c>
      <c r="L353" s="28" t="s">
        <v>872</v>
      </c>
      <c r="M353" s="28" t="s">
        <v>9</v>
      </c>
      <c r="N353" s="28" t="str">
        <f t="shared" si="179"/>
        <v>AE1</v>
      </c>
      <c r="O353" s="81"/>
      <c r="P353" s="81">
        <f t="shared" si="180"/>
        <v>0</v>
      </c>
      <c r="Q353" s="81">
        <f t="shared" si="181"/>
        <v>0</v>
      </c>
      <c r="R353" s="81">
        <f t="shared" si="182"/>
        <v>0</v>
      </c>
      <c r="S353" s="81"/>
      <c r="T353" s="82">
        <f t="shared" si="183"/>
        <v>0</v>
      </c>
      <c r="U353" s="82">
        <f t="shared" si="184"/>
        <v>0</v>
      </c>
      <c r="V353" s="82">
        <f t="shared" si="185"/>
        <v>0</v>
      </c>
      <c r="W353" s="83">
        <v>0</v>
      </c>
      <c r="X353" s="83">
        <v>0</v>
      </c>
      <c r="Y353" s="83">
        <v>0</v>
      </c>
      <c r="Z353" s="84">
        <f>ROUND((IF(($O353&lt;=700000),0,IF(((VLOOKUP($M353,'Loyalty - Effec - 15July'!$B$5:$C$17,2,0)*$O353)&lt;=120000),(VLOOKUP($M353,'Loyalty - Effec - 15July'!$B$5:$C$17,2,0)*$O353),120000))),0)</f>
        <v>0</v>
      </c>
      <c r="AA353" s="84">
        <f>ROUND(VLOOKUP($M353,'Loyalty - Effec - 15July'!$B$5:$D$17,3,0)*$O353,0)</f>
        <v>0</v>
      </c>
      <c r="AB353" s="85">
        <f t="shared" si="186"/>
        <v>0</v>
      </c>
      <c r="AC353" s="86">
        <f t="shared" si="187"/>
        <v>0</v>
      </c>
      <c r="AD353" s="87">
        <f t="shared" si="188"/>
        <v>0</v>
      </c>
      <c r="AE353" s="88">
        <f t="shared" si="189"/>
        <v>0</v>
      </c>
      <c r="AF353" s="88">
        <f t="shared" si="190"/>
        <v>0</v>
      </c>
      <c r="AG353" s="49" t="s">
        <v>142</v>
      </c>
      <c r="AH353" s="49" t="s">
        <v>910</v>
      </c>
      <c r="AI353" s="50"/>
      <c r="AJ353" s="46"/>
      <c r="AK353" s="46"/>
      <c r="AL353" s="46"/>
      <c r="AM353" s="51">
        <f>IF($AL353=4,VLOOKUP($AR353,'Loyalty Incentive v1'!$L$3:$Q$15,2,FALSE),
IF($AL353=3,VLOOKUP($AR353,'Loyalty Incentive v1'!$L$3:$Q$15,3,FALSE),
IF($AL353=2,VLOOKUP($AR353,'Loyalty Incentive v1'!$L$3:$Q$15,4,FALSE),
IF($AL353=1,VLOOKUP($AR353,'Loyalty Incentive v1'!$L$3:$Q$15,5,FALSE),
IF($AL353=0,VLOOKUP($AR353,'Loyalty Incentive v1'!$L$3:$Q$15,6,FALSE),0)))))</f>
        <v>0</v>
      </c>
      <c r="AN353" s="51">
        <f>IFERROR(IF(I353&gt;="1",AM353,VLOOKUP(VALUE(I353),'Loyalty - Effec - 15July'!$I$5:$J$16,2,0)*AM353),0)</f>
        <v>0</v>
      </c>
      <c r="AO353" s="51">
        <v>0</v>
      </c>
      <c r="AP353" s="51">
        <f t="shared" si="191"/>
        <v>0</v>
      </c>
      <c r="AQ353" s="46" t="str">
        <f t="shared" si="203"/>
        <v>No</v>
      </c>
      <c r="AR353" s="46" t="str">
        <f t="shared" si="204"/>
        <v>AE1</v>
      </c>
      <c r="AS353" s="46" t="b">
        <f t="shared" si="205"/>
        <v>1</v>
      </c>
      <c r="AT353" s="82">
        <f t="shared" si="212"/>
        <v>0</v>
      </c>
      <c r="AU353" s="81">
        <f t="shared" si="192"/>
        <v>0</v>
      </c>
      <c r="AV353" s="81">
        <f t="shared" si="193"/>
        <v>0</v>
      </c>
      <c r="AW353" s="81">
        <f t="shared" si="194"/>
        <v>0</v>
      </c>
      <c r="AX353" s="85"/>
      <c r="AY353" s="81">
        <f t="shared" si="195"/>
        <v>0</v>
      </c>
      <c r="AZ353" s="83">
        <f t="shared" si="196"/>
        <v>0</v>
      </c>
      <c r="BA353" s="81">
        <f t="shared" si="197"/>
        <v>0</v>
      </c>
      <c r="BB353" s="83">
        <v>0</v>
      </c>
      <c r="BC353" s="83">
        <v>0</v>
      </c>
      <c r="BD353" s="83">
        <v>0</v>
      </c>
      <c r="BE353" s="84">
        <f>ROUND((IF(($AT353&lt;=700000),0,IF(((VLOOKUP($AR353,'Loyalty - Effec - 15July'!$B$5:$C$17,2,0)*$AT353)&lt;=120000),(VLOOKUP($AR353,'Loyalty - Effec - 15July'!$B$5:$C$17,2,0)*$AT353),120000))),0)</f>
        <v>0</v>
      </c>
      <c r="BF353" s="83">
        <f>ROUND(VLOOKUP($AR353,'Loyalty - Effec - 15July'!$B$5:$D$17,3,0)*$AT353,0)</f>
        <v>0</v>
      </c>
      <c r="BG353" s="85">
        <f t="shared" si="198"/>
        <v>0</v>
      </c>
      <c r="BH353" s="83">
        <f t="shared" si="199"/>
        <v>0</v>
      </c>
      <c r="BI353" s="85">
        <f t="shared" si="202"/>
        <v>0</v>
      </c>
      <c r="BJ353" s="85">
        <f t="shared" si="200"/>
        <v>0</v>
      </c>
      <c r="BK353" s="85">
        <f t="shared" si="201"/>
        <v>0</v>
      </c>
      <c r="BL353" s="85">
        <f t="shared" si="206"/>
        <v>0</v>
      </c>
      <c r="BM353" s="85">
        <f t="shared" si="207"/>
        <v>0</v>
      </c>
      <c r="BN353" s="85">
        <f t="shared" si="208"/>
        <v>0</v>
      </c>
      <c r="BO353" s="46" t="s">
        <v>85</v>
      </c>
      <c r="BP353" s="46"/>
      <c r="BQ353" s="46"/>
      <c r="BU353" s="47">
        <f t="shared" si="210"/>
        <v>0</v>
      </c>
      <c r="BV353" s="53" t="s">
        <v>617</v>
      </c>
      <c r="BW353" s="53" t="s">
        <v>932</v>
      </c>
      <c r="BX353" s="53" t="s">
        <v>837</v>
      </c>
      <c r="BY353" s="53"/>
      <c r="BZ353" s="53"/>
    </row>
    <row r="354" spans="1:78">
      <c r="A354" s="42" t="s">
        <v>618</v>
      </c>
      <c r="B354" s="28" t="s">
        <v>79</v>
      </c>
      <c r="C354" s="28" t="s">
        <v>80</v>
      </c>
      <c r="D354" s="28" t="s">
        <v>932</v>
      </c>
      <c r="F354" s="28" t="s">
        <v>902</v>
      </c>
      <c r="G354" s="44" t="s">
        <v>838</v>
      </c>
      <c r="H354" s="45">
        <v>45133</v>
      </c>
      <c r="I354" s="46" t="s">
        <v>1009</v>
      </c>
      <c r="J354" s="28">
        <v>2</v>
      </c>
      <c r="K354" s="28" t="s">
        <v>417</v>
      </c>
      <c r="L354" s="28" t="s">
        <v>872</v>
      </c>
      <c r="M354" s="28" t="s">
        <v>9</v>
      </c>
      <c r="N354" s="28" t="str">
        <f t="shared" si="179"/>
        <v>AE1</v>
      </c>
      <c r="O354" s="81"/>
      <c r="P354" s="81">
        <f t="shared" si="180"/>
        <v>0</v>
      </c>
      <c r="Q354" s="81">
        <f t="shared" si="181"/>
        <v>0</v>
      </c>
      <c r="R354" s="81">
        <f t="shared" si="182"/>
        <v>0</v>
      </c>
      <c r="S354" s="81"/>
      <c r="T354" s="82">
        <f t="shared" si="183"/>
        <v>0</v>
      </c>
      <c r="U354" s="82">
        <f t="shared" si="184"/>
        <v>0</v>
      </c>
      <c r="V354" s="82">
        <f t="shared" si="185"/>
        <v>0</v>
      </c>
      <c r="W354" s="83">
        <v>0</v>
      </c>
      <c r="X354" s="83">
        <v>0</v>
      </c>
      <c r="Y354" s="83">
        <v>0</v>
      </c>
      <c r="Z354" s="84">
        <f>ROUND((IF(($O354&lt;=700000),0,IF(((VLOOKUP($M354,'Loyalty - Effec - 15July'!$B$5:$C$17,2,0)*$O354)&lt;=120000),(VLOOKUP($M354,'Loyalty - Effec - 15July'!$B$5:$C$17,2,0)*$O354),120000))),0)</f>
        <v>0</v>
      </c>
      <c r="AA354" s="84">
        <f>ROUND(VLOOKUP($M354,'Loyalty - Effec - 15July'!$B$5:$D$17,3,0)*$O354,0)</f>
        <v>0</v>
      </c>
      <c r="AB354" s="85">
        <f t="shared" si="186"/>
        <v>0</v>
      </c>
      <c r="AC354" s="86">
        <f t="shared" si="187"/>
        <v>0</v>
      </c>
      <c r="AD354" s="87">
        <f t="shared" si="188"/>
        <v>0</v>
      </c>
      <c r="AE354" s="88">
        <f t="shared" si="189"/>
        <v>0</v>
      </c>
      <c r="AF354" s="88">
        <f t="shared" si="190"/>
        <v>0</v>
      </c>
      <c r="AG354" s="49" t="s">
        <v>924</v>
      </c>
      <c r="AH354" s="49" t="s">
        <v>200</v>
      </c>
      <c r="AI354" s="50"/>
      <c r="AJ354" s="46"/>
      <c r="AK354" s="46"/>
      <c r="AL354" s="46"/>
      <c r="AM354" s="51">
        <f>IF($AL354=4,VLOOKUP($AR354,'Loyalty Incentive v1'!$L$3:$Q$15,2,FALSE),
IF($AL354=3,VLOOKUP($AR354,'Loyalty Incentive v1'!$L$3:$Q$15,3,FALSE),
IF($AL354=2,VLOOKUP($AR354,'Loyalty Incentive v1'!$L$3:$Q$15,4,FALSE),
IF($AL354=1,VLOOKUP($AR354,'Loyalty Incentive v1'!$L$3:$Q$15,5,FALSE),
IF($AL354=0,VLOOKUP($AR354,'Loyalty Incentive v1'!$L$3:$Q$15,6,FALSE),0)))))</f>
        <v>0</v>
      </c>
      <c r="AN354" s="51">
        <f>IFERROR(IF(I354&gt;="1",AM354,VLOOKUP(VALUE(I354),'Loyalty - Effec - 15July'!$I$5:$J$16,2,0)*AM354),0)</f>
        <v>0</v>
      </c>
      <c r="AO354" s="51">
        <v>0</v>
      </c>
      <c r="AP354" s="51">
        <f t="shared" si="191"/>
        <v>0</v>
      </c>
      <c r="AQ354" s="46" t="str">
        <f t="shared" si="203"/>
        <v>No</v>
      </c>
      <c r="AR354" s="46" t="str">
        <f t="shared" si="204"/>
        <v>AE1</v>
      </c>
      <c r="AS354" s="46" t="b">
        <f t="shared" si="205"/>
        <v>1</v>
      </c>
      <c r="AT354" s="82">
        <f t="shared" si="212"/>
        <v>0</v>
      </c>
      <c r="AU354" s="81">
        <f t="shared" si="192"/>
        <v>0</v>
      </c>
      <c r="AV354" s="81">
        <f t="shared" si="193"/>
        <v>0</v>
      </c>
      <c r="AW354" s="81">
        <f t="shared" si="194"/>
        <v>0</v>
      </c>
      <c r="AX354" s="85"/>
      <c r="AY354" s="81">
        <f t="shared" si="195"/>
        <v>0</v>
      </c>
      <c r="AZ354" s="83">
        <f t="shared" si="196"/>
        <v>0</v>
      </c>
      <c r="BA354" s="81">
        <f t="shared" si="197"/>
        <v>0</v>
      </c>
      <c r="BB354" s="83">
        <v>0</v>
      </c>
      <c r="BC354" s="83">
        <v>0</v>
      </c>
      <c r="BD354" s="83">
        <v>0</v>
      </c>
      <c r="BE354" s="84">
        <f>ROUND((IF(($AT354&lt;=700000),0,IF(((VLOOKUP($AR354,'Loyalty - Effec - 15July'!$B$5:$C$17,2,0)*$AT354)&lt;=120000),(VLOOKUP($AR354,'Loyalty - Effec - 15July'!$B$5:$C$17,2,0)*$AT354),120000))),0)</f>
        <v>0</v>
      </c>
      <c r="BF354" s="83">
        <f>ROUND(VLOOKUP($AR354,'Loyalty - Effec - 15July'!$B$5:$D$17,3,0)*$AT354,0)</f>
        <v>0</v>
      </c>
      <c r="BG354" s="85">
        <f t="shared" si="198"/>
        <v>0</v>
      </c>
      <c r="BH354" s="83">
        <f t="shared" si="199"/>
        <v>0</v>
      </c>
      <c r="BI354" s="85">
        <f t="shared" si="202"/>
        <v>0</v>
      </c>
      <c r="BJ354" s="85">
        <f t="shared" si="200"/>
        <v>0</v>
      </c>
      <c r="BK354" s="85">
        <f t="shared" si="201"/>
        <v>0</v>
      </c>
      <c r="BL354" s="85">
        <f t="shared" si="206"/>
        <v>0</v>
      </c>
      <c r="BM354" s="85">
        <f t="shared" si="207"/>
        <v>0</v>
      </c>
      <c r="BN354" s="85">
        <f t="shared" si="208"/>
        <v>0</v>
      </c>
      <c r="BO354" s="46" t="s">
        <v>85</v>
      </c>
      <c r="BP354" s="46"/>
      <c r="BQ354" s="46"/>
      <c r="BU354" s="47">
        <f t="shared" si="210"/>
        <v>0</v>
      </c>
      <c r="BV354" s="53" t="s">
        <v>618</v>
      </c>
      <c r="BW354" s="53" t="s">
        <v>932</v>
      </c>
      <c r="BX354" s="53" t="s">
        <v>838</v>
      </c>
      <c r="BY354" s="53"/>
      <c r="BZ354" s="53"/>
    </row>
    <row r="355" spans="1:78">
      <c r="A355" s="42" t="s">
        <v>619</v>
      </c>
      <c r="B355" s="28" t="s">
        <v>79</v>
      </c>
      <c r="C355" s="28" t="s">
        <v>80</v>
      </c>
      <c r="D355" s="28" t="s">
        <v>932</v>
      </c>
      <c r="F355" s="28" t="s">
        <v>902</v>
      </c>
      <c r="G355" s="44" t="s">
        <v>839</v>
      </c>
      <c r="H355" s="45">
        <v>45133</v>
      </c>
      <c r="I355" s="46" t="s">
        <v>1009</v>
      </c>
      <c r="J355" s="28">
        <v>2</v>
      </c>
      <c r="K355" s="28" t="s">
        <v>417</v>
      </c>
      <c r="L355" s="28" t="s">
        <v>872</v>
      </c>
      <c r="M355" s="28" t="s">
        <v>9</v>
      </c>
      <c r="N355" s="28" t="str">
        <f t="shared" si="179"/>
        <v>AE1</v>
      </c>
      <c r="O355" s="81"/>
      <c r="P355" s="81">
        <f t="shared" si="180"/>
        <v>0</v>
      </c>
      <c r="Q355" s="81">
        <f t="shared" si="181"/>
        <v>0</v>
      </c>
      <c r="R355" s="81">
        <f t="shared" si="182"/>
        <v>0</v>
      </c>
      <c r="S355" s="81"/>
      <c r="T355" s="82">
        <f t="shared" si="183"/>
        <v>0</v>
      </c>
      <c r="U355" s="82">
        <f t="shared" si="184"/>
        <v>0</v>
      </c>
      <c r="V355" s="82">
        <f t="shared" si="185"/>
        <v>0</v>
      </c>
      <c r="W355" s="83">
        <v>0</v>
      </c>
      <c r="X355" s="83">
        <v>0</v>
      </c>
      <c r="Y355" s="83">
        <v>0</v>
      </c>
      <c r="Z355" s="84">
        <f>ROUND((IF(($O355&lt;=700000),0,IF(((VLOOKUP($M355,'Loyalty - Effec - 15July'!$B$5:$C$17,2,0)*$O355)&lt;=120000),(VLOOKUP($M355,'Loyalty - Effec - 15July'!$B$5:$C$17,2,0)*$O355),120000))),0)</f>
        <v>0</v>
      </c>
      <c r="AA355" s="84">
        <f>ROUND(VLOOKUP($M355,'Loyalty - Effec - 15July'!$B$5:$D$17,3,0)*$O355,0)</f>
        <v>0</v>
      </c>
      <c r="AB355" s="85">
        <f t="shared" si="186"/>
        <v>0</v>
      </c>
      <c r="AC355" s="86">
        <f t="shared" si="187"/>
        <v>0</v>
      </c>
      <c r="AD355" s="87">
        <f t="shared" si="188"/>
        <v>0</v>
      </c>
      <c r="AE355" s="88">
        <f t="shared" si="189"/>
        <v>0</v>
      </c>
      <c r="AF355" s="88">
        <f t="shared" si="190"/>
        <v>0</v>
      </c>
      <c r="AG355" s="49" t="s">
        <v>165</v>
      </c>
      <c r="AH355" s="49" t="s">
        <v>120</v>
      </c>
      <c r="AI355" s="50"/>
      <c r="AJ355" s="46"/>
      <c r="AK355" s="46"/>
      <c r="AL355" s="46"/>
      <c r="AM355" s="51">
        <f>IF($AL355=4,VLOOKUP($AR355,'Loyalty Incentive v1'!$L$3:$Q$15,2,FALSE),
IF($AL355=3,VLOOKUP($AR355,'Loyalty Incentive v1'!$L$3:$Q$15,3,FALSE),
IF($AL355=2,VLOOKUP($AR355,'Loyalty Incentive v1'!$L$3:$Q$15,4,FALSE),
IF($AL355=1,VLOOKUP($AR355,'Loyalty Incentive v1'!$L$3:$Q$15,5,FALSE),
IF($AL355=0,VLOOKUP($AR355,'Loyalty Incentive v1'!$L$3:$Q$15,6,FALSE),0)))))</f>
        <v>0</v>
      </c>
      <c r="AN355" s="51">
        <f>IFERROR(IF(I355&gt;="1",AM355,VLOOKUP(VALUE(I355),'Loyalty - Effec - 15July'!$I$5:$J$16,2,0)*AM355),0)</f>
        <v>0</v>
      </c>
      <c r="AO355" s="51">
        <v>0</v>
      </c>
      <c r="AP355" s="51">
        <f t="shared" si="191"/>
        <v>0</v>
      </c>
      <c r="AQ355" s="46" t="str">
        <f t="shared" si="203"/>
        <v>No</v>
      </c>
      <c r="AR355" s="46" t="str">
        <f t="shared" si="204"/>
        <v>AE1</v>
      </c>
      <c r="AS355" s="46" t="b">
        <f t="shared" si="205"/>
        <v>1</v>
      </c>
      <c r="AT355" s="82">
        <f t="shared" si="212"/>
        <v>0</v>
      </c>
      <c r="AU355" s="81">
        <f t="shared" si="192"/>
        <v>0</v>
      </c>
      <c r="AV355" s="81">
        <f t="shared" si="193"/>
        <v>0</v>
      </c>
      <c r="AW355" s="81">
        <f t="shared" si="194"/>
        <v>0</v>
      </c>
      <c r="AX355" s="85"/>
      <c r="AY355" s="81">
        <f t="shared" si="195"/>
        <v>0</v>
      </c>
      <c r="AZ355" s="83">
        <f t="shared" si="196"/>
        <v>0</v>
      </c>
      <c r="BA355" s="81">
        <f t="shared" si="197"/>
        <v>0</v>
      </c>
      <c r="BB355" s="83">
        <v>0</v>
      </c>
      <c r="BC355" s="83">
        <v>0</v>
      </c>
      <c r="BD355" s="83">
        <v>0</v>
      </c>
      <c r="BE355" s="84">
        <f>ROUND((IF(($AT355&lt;=700000),0,IF(((VLOOKUP($AR355,'Loyalty - Effec - 15July'!$B$5:$C$17,2,0)*$AT355)&lt;=120000),(VLOOKUP($AR355,'Loyalty - Effec - 15July'!$B$5:$C$17,2,0)*$AT355),120000))),0)</f>
        <v>0</v>
      </c>
      <c r="BF355" s="83">
        <f>ROUND(VLOOKUP($AR355,'Loyalty - Effec - 15July'!$B$5:$D$17,3,0)*$AT355,0)</f>
        <v>0</v>
      </c>
      <c r="BG355" s="85">
        <f t="shared" si="198"/>
        <v>0</v>
      </c>
      <c r="BH355" s="83">
        <f t="shared" si="199"/>
        <v>0</v>
      </c>
      <c r="BI355" s="85">
        <f t="shared" si="202"/>
        <v>0</v>
      </c>
      <c r="BJ355" s="85">
        <f t="shared" si="200"/>
        <v>0</v>
      </c>
      <c r="BK355" s="85">
        <f t="shared" si="201"/>
        <v>0</v>
      </c>
      <c r="BL355" s="85">
        <f t="shared" si="206"/>
        <v>0</v>
      </c>
      <c r="BM355" s="85">
        <f t="shared" si="207"/>
        <v>0</v>
      </c>
      <c r="BN355" s="85">
        <f t="shared" si="208"/>
        <v>0</v>
      </c>
      <c r="BO355" s="46" t="s">
        <v>85</v>
      </c>
      <c r="BP355" s="46"/>
      <c r="BQ355" s="46"/>
      <c r="BU355" s="47">
        <f t="shared" si="210"/>
        <v>0</v>
      </c>
      <c r="BV355" s="53" t="s">
        <v>619</v>
      </c>
      <c r="BW355" s="53" t="s">
        <v>932</v>
      </c>
      <c r="BX355" s="53" t="s">
        <v>839</v>
      </c>
      <c r="BY355" s="53"/>
      <c r="BZ355" s="53"/>
    </row>
    <row r="356" spans="1:78">
      <c r="A356" s="42" t="s">
        <v>620</v>
      </c>
      <c r="B356" s="28" t="s">
        <v>79</v>
      </c>
      <c r="C356" s="28" t="s">
        <v>80</v>
      </c>
      <c r="D356" s="28" t="s">
        <v>932</v>
      </c>
      <c r="F356" s="28" t="s">
        <v>902</v>
      </c>
      <c r="G356" s="44" t="s">
        <v>840</v>
      </c>
      <c r="H356" s="45">
        <v>45133</v>
      </c>
      <c r="I356" s="46" t="s">
        <v>1009</v>
      </c>
      <c r="J356" s="28">
        <v>2</v>
      </c>
      <c r="K356" s="28" t="s">
        <v>417</v>
      </c>
      <c r="L356" s="28" t="s">
        <v>872</v>
      </c>
      <c r="M356" s="28" t="s">
        <v>9</v>
      </c>
      <c r="N356" s="28" t="str">
        <f t="shared" si="179"/>
        <v>AE1</v>
      </c>
      <c r="O356" s="81"/>
      <c r="P356" s="81">
        <f t="shared" si="180"/>
        <v>0</v>
      </c>
      <c r="Q356" s="81">
        <f t="shared" si="181"/>
        <v>0</v>
      </c>
      <c r="R356" s="81">
        <f t="shared" si="182"/>
        <v>0</v>
      </c>
      <c r="S356" s="81"/>
      <c r="T356" s="82">
        <f t="shared" si="183"/>
        <v>0</v>
      </c>
      <c r="U356" s="82">
        <f t="shared" si="184"/>
        <v>0</v>
      </c>
      <c r="V356" s="82">
        <f t="shared" si="185"/>
        <v>0</v>
      </c>
      <c r="W356" s="83">
        <v>0</v>
      </c>
      <c r="X356" s="83">
        <v>0</v>
      </c>
      <c r="Y356" s="83">
        <v>0</v>
      </c>
      <c r="Z356" s="84">
        <f>ROUND((IF(($O356&lt;=700000),0,IF(((VLOOKUP($M356,'Loyalty - Effec - 15July'!$B$5:$C$17,2,0)*$O356)&lt;=120000),(VLOOKUP($M356,'Loyalty - Effec - 15July'!$B$5:$C$17,2,0)*$O356),120000))),0)</f>
        <v>0</v>
      </c>
      <c r="AA356" s="84">
        <f>ROUND(VLOOKUP($M356,'Loyalty - Effec - 15July'!$B$5:$D$17,3,0)*$O356,0)</f>
        <v>0</v>
      </c>
      <c r="AB356" s="85">
        <f t="shared" si="186"/>
        <v>0</v>
      </c>
      <c r="AC356" s="86">
        <f t="shared" si="187"/>
        <v>0</v>
      </c>
      <c r="AD356" s="87">
        <f t="shared" si="188"/>
        <v>0</v>
      </c>
      <c r="AE356" s="88">
        <f t="shared" si="189"/>
        <v>0</v>
      </c>
      <c r="AF356" s="88">
        <f t="shared" si="190"/>
        <v>0</v>
      </c>
      <c r="AG356" s="49" t="s">
        <v>924</v>
      </c>
      <c r="AH356" s="49" t="s">
        <v>200</v>
      </c>
      <c r="AI356" s="50"/>
      <c r="AJ356" s="46"/>
      <c r="AK356" s="46"/>
      <c r="AL356" s="46"/>
      <c r="AM356" s="51">
        <f>IF($AL356=4,VLOOKUP($AR356,'Loyalty Incentive v1'!$L$3:$Q$15,2,FALSE),
IF($AL356=3,VLOOKUP($AR356,'Loyalty Incentive v1'!$L$3:$Q$15,3,FALSE),
IF($AL356=2,VLOOKUP($AR356,'Loyalty Incentive v1'!$L$3:$Q$15,4,FALSE),
IF($AL356=1,VLOOKUP($AR356,'Loyalty Incentive v1'!$L$3:$Q$15,5,FALSE),
IF($AL356=0,VLOOKUP($AR356,'Loyalty Incentive v1'!$L$3:$Q$15,6,FALSE),0)))))</f>
        <v>0</v>
      </c>
      <c r="AN356" s="51">
        <f>IFERROR(IF(I356&gt;="1",AM356,VLOOKUP(VALUE(I356),'Loyalty - Effec - 15July'!$I$5:$J$16,2,0)*AM356),0)</f>
        <v>0</v>
      </c>
      <c r="AO356" s="51">
        <v>0</v>
      </c>
      <c r="AP356" s="51">
        <f t="shared" si="191"/>
        <v>0</v>
      </c>
      <c r="AQ356" s="46" t="str">
        <f t="shared" si="203"/>
        <v>No</v>
      </c>
      <c r="AR356" s="46" t="str">
        <f t="shared" si="204"/>
        <v>AE1</v>
      </c>
      <c r="AS356" s="46" t="b">
        <f t="shared" si="205"/>
        <v>1</v>
      </c>
      <c r="AT356" s="82">
        <f t="shared" si="212"/>
        <v>0</v>
      </c>
      <c r="AU356" s="81">
        <f t="shared" si="192"/>
        <v>0</v>
      </c>
      <c r="AV356" s="81">
        <f t="shared" si="193"/>
        <v>0</v>
      </c>
      <c r="AW356" s="81">
        <f t="shared" si="194"/>
        <v>0</v>
      </c>
      <c r="AX356" s="85"/>
      <c r="AY356" s="81">
        <f t="shared" si="195"/>
        <v>0</v>
      </c>
      <c r="AZ356" s="83">
        <f t="shared" si="196"/>
        <v>0</v>
      </c>
      <c r="BA356" s="81">
        <f t="shared" si="197"/>
        <v>0</v>
      </c>
      <c r="BB356" s="83">
        <v>0</v>
      </c>
      <c r="BC356" s="83">
        <v>0</v>
      </c>
      <c r="BD356" s="83">
        <v>0</v>
      </c>
      <c r="BE356" s="84">
        <f>ROUND((IF(($AT356&lt;=700000),0,IF(((VLOOKUP($AR356,'Loyalty - Effec - 15July'!$B$5:$C$17,2,0)*$AT356)&lt;=120000),(VLOOKUP($AR356,'Loyalty - Effec - 15July'!$B$5:$C$17,2,0)*$AT356),120000))),0)</f>
        <v>0</v>
      </c>
      <c r="BF356" s="83">
        <f>ROUND(VLOOKUP($AR356,'Loyalty - Effec - 15July'!$B$5:$D$17,3,0)*$AT356,0)</f>
        <v>0</v>
      </c>
      <c r="BG356" s="85">
        <f t="shared" si="198"/>
        <v>0</v>
      </c>
      <c r="BH356" s="83">
        <f t="shared" si="199"/>
        <v>0</v>
      </c>
      <c r="BI356" s="85">
        <f t="shared" si="202"/>
        <v>0</v>
      </c>
      <c r="BJ356" s="85">
        <f t="shared" si="200"/>
        <v>0</v>
      </c>
      <c r="BK356" s="85">
        <f t="shared" si="201"/>
        <v>0</v>
      </c>
      <c r="BL356" s="85">
        <f t="shared" si="206"/>
        <v>0</v>
      </c>
      <c r="BM356" s="85">
        <f t="shared" si="207"/>
        <v>0</v>
      </c>
      <c r="BN356" s="85">
        <f t="shared" si="208"/>
        <v>0</v>
      </c>
      <c r="BO356" s="46" t="s">
        <v>85</v>
      </c>
      <c r="BP356" s="46"/>
      <c r="BQ356" s="46"/>
      <c r="BU356" s="47">
        <f t="shared" si="210"/>
        <v>0</v>
      </c>
      <c r="BV356" s="53" t="s">
        <v>620</v>
      </c>
      <c r="BW356" s="53" t="s">
        <v>932</v>
      </c>
      <c r="BX356" s="53" t="s">
        <v>840</v>
      </c>
      <c r="BY356" s="53"/>
      <c r="BZ356" s="53"/>
    </row>
    <row r="357" spans="1:78">
      <c r="A357" s="42" t="s">
        <v>621</v>
      </c>
      <c r="B357" s="28" t="s">
        <v>79</v>
      </c>
      <c r="C357" s="28" t="s">
        <v>80</v>
      </c>
      <c r="D357" s="28" t="s">
        <v>932</v>
      </c>
      <c r="F357" s="28" t="s">
        <v>902</v>
      </c>
      <c r="G357" s="44" t="s">
        <v>841</v>
      </c>
      <c r="H357" s="45">
        <v>45133</v>
      </c>
      <c r="I357" s="46" t="s">
        <v>1009</v>
      </c>
      <c r="J357" s="28">
        <v>2</v>
      </c>
      <c r="K357" s="28" t="s">
        <v>417</v>
      </c>
      <c r="L357" s="28" t="s">
        <v>872</v>
      </c>
      <c r="M357" s="28" t="s">
        <v>9</v>
      </c>
      <c r="N357" s="28" t="str">
        <f t="shared" si="179"/>
        <v>AE1</v>
      </c>
      <c r="O357" s="81"/>
      <c r="P357" s="81">
        <f t="shared" si="180"/>
        <v>0</v>
      </c>
      <c r="Q357" s="81">
        <f t="shared" si="181"/>
        <v>0</v>
      </c>
      <c r="R357" s="81">
        <f t="shared" si="182"/>
        <v>0</v>
      </c>
      <c r="S357" s="81"/>
      <c r="T357" s="82">
        <f t="shared" si="183"/>
        <v>0</v>
      </c>
      <c r="U357" s="82">
        <f t="shared" si="184"/>
        <v>0</v>
      </c>
      <c r="V357" s="82">
        <f t="shared" si="185"/>
        <v>0</v>
      </c>
      <c r="W357" s="83">
        <v>0</v>
      </c>
      <c r="X357" s="83">
        <v>0</v>
      </c>
      <c r="Y357" s="83">
        <v>0</v>
      </c>
      <c r="Z357" s="84">
        <f>ROUND((IF(($O357&lt;=700000),0,IF(((VLOOKUP($M357,'Loyalty - Effec - 15July'!$B$5:$C$17,2,0)*$O357)&lt;=120000),(VLOOKUP($M357,'Loyalty - Effec - 15July'!$B$5:$C$17,2,0)*$O357),120000))),0)</f>
        <v>0</v>
      </c>
      <c r="AA357" s="84">
        <f>ROUND(VLOOKUP($M357,'Loyalty - Effec - 15July'!$B$5:$D$17,3,0)*$O357,0)</f>
        <v>0</v>
      </c>
      <c r="AB357" s="85">
        <f t="shared" si="186"/>
        <v>0</v>
      </c>
      <c r="AC357" s="86">
        <f t="shared" si="187"/>
        <v>0</v>
      </c>
      <c r="AD357" s="87">
        <f t="shared" si="188"/>
        <v>0</v>
      </c>
      <c r="AE357" s="88">
        <f t="shared" si="189"/>
        <v>0</v>
      </c>
      <c r="AF357" s="88">
        <f t="shared" si="190"/>
        <v>0</v>
      </c>
      <c r="AG357" s="49" t="s">
        <v>924</v>
      </c>
      <c r="AH357" s="49" t="s">
        <v>200</v>
      </c>
      <c r="AI357" s="50"/>
      <c r="AJ357" s="46"/>
      <c r="AK357" s="46"/>
      <c r="AL357" s="46"/>
      <c r="AM357" s="51">
        <f>IF($AL357=4,VLOOKUP($AR357,'Loyalty Incentive v1'!$L$3:$Q$15,2,FALSE),
IF($AL357=3,VLOOKUP($AR357,'Loyalty Incentive v1'!$L$3:$Q$15,3,FALSE),
IF($AL357=2,VLOOKUP($AR357,'Loyalty Incentive v1'!$L$3:$Q$15,4,FALSE),
IF($AL357=1,VLOOKUP($AR357,'Loyalty Incentive v1'!$L$3:$Q$15,5,FALSE),
IF($AL357=0,VLOOKUP($AR357,'Loyalty Incentive v1'!$L$3:$Q$15,6,FALSE),0)))))</f>
        <v>0</v>
      </c>
      <c r="AN357" s="51">
        <f>IFERROR(IF(I357&gt;="1",AM357,VLOOKUP(VALUE(I357),'Loyalty - Effec - 15July'!$I$5:$J$16,2,0)*AM357),0)</f>
        <v>0</v>
      </c>
      <c r="AO357" s="51">
        <v>0</v>
      </c>
      <c r="AP357" s="51">
        <f t="shared" si="191"/>
        <v>0</v>
      </c>
      <c r="AQ357" s="46" t="str">
        <f t="shared" si="203"/>
        <v>No</v>
      </c>
      <c r="AR357" s="46" t="str">
        <f t="shared" si="204"/>
        <v>AE1</v>
      </c>
      <c r="AS357" s="46" t="b">
        <f t="shared" si="205"/>
        <v>1</v>
      </c>
      <c r="AT357" s="82">
        <f t="shared" si="212"/>
        <v>0</v>
      </c>
      <c r="AU357" s="81">
        <f t="shared" si="192"/>
        <v>0</v>
      </c>
      <c r="AV357" s="81">
        <f t="shared" si="193"/>
        <v>0</v>
      </c>
      <c r="AW357" s="81">
        <f t="shared" si="194"/>
        <v>0</v>
      </c>
      <c r="AX357" s="85"/>
      <c r="AY357" s="81">
        <f t="shared" si="195"/>
        <v>0</v>
      </c>
      <c r="AZ357" s="83">
        <f t="shared" si="196"/>
        <v>0</v>
      </c>
      <c r="BA357" s="81">
        <f t="shared" si="197"/>
        <v>0</v>
      </c>
      <c r="BB357" s="83">
        <v>0</v>
      </c>
      <c r="BC357" s="83">
        <v>0</v>
      </c>
      <c r="BD357" s="83">
        <v>0</v>
      </c>
      <c r="BE357" s="84">
        <f>ROUND((IF(($AT357&lt;=700000),0,IF(((VLOOKUP($AR357,'Loyalty - Effec - 15July'!$B$5:$C$17,2,0)*$AT357)&lt;=120000),(VLOOKUP($AR357,'Loyalty - Effec - 15July'!$B$5:$C$17,2,0)*$AT357),120000))),0)</f>
        <v>0</v>
      </c>
      <c r="BF357" s="83">
        <f>ROUND(VLOOKUP($AR357,'Loyalty - Effec - 15July'!$B$5:$D$17,3,0)*$AT357,0)</f>
        <v>0</v>
      </c>
      <c r="BG357" s="85">
        <f t="shared" si="198"/>
        <v>0</v>
      </c>
      <c r="BH357" s="83">
        <f t="shared" si="199"/>
        <v>0</v>
      </c>
      <c r="BI357" s="85">
        <f t="shared" si="202"/>
        <v>0</v>
      </c>
      <c r="BJ357" s="85">
        <f t="shared" si="200"/>
        <v>0</v>
      </c>
      <c r="BK357" s="85">
        <f t="shared" si="201"/>
        <v>0</v>
      </c>
      <c r="BL357" s="85">
        <f t="shared" si="206"/>
        <v>0</v>
      </c>
      <c r="BM357" s="85">
        <f t="shared" si="207"/>
        <v>0</v>
      </c>
      <c r="BN357" s="85">
        <f t="shared" si="208"/>
        <v>0</v>
      </c>
      <c r="BO357" s="46" t="s">
        <v>85</v>
      </c>
      <c r="BP357" s="46"/>
      <c r="BQ357" s="46"/>
      <c r="BU357" s="47">
        <f t="shared" si="210"/>
        <v>0</v>
      </c>
      <c r="BV357" s="53" t="s">
        <v>621</v>
      </c>
      <c r="BW357" s="53" t="s">
        <v>932</v>
      </c>
      <c r="BX357" s="53" t="s">
        <v>841</v>
      </c>
      <c r="BY357" s="53"/>
      <c r="BZ357" s="53"/>
    </row>
    <row r="358" spans="1:78">
      <c r="A358" s="42" t="s">
        <v>622</v>
      </c>
      <c r="B358" s="28" t="s">
        <v>79</v>
      </c>
      <c r="C358" s="28" t="s">
        <v>80</v>
      </c>
      <c r="D358" s="28" t="s">
        <v>932</v>
      </c>
      <c r="F358" s="28" t="s">
        <v>902</v>
      </c>
      <c r="G358" s="44" t="s">
        <v>842</v>
      </c>
      <c r="H358" s="45">
        <v>45133</v>
      </c>
      <c r="I358" s="46" t="s">
        <v>1009</v>
      </c>
      <c r="J358" s="28">
        <v>2</v>
      </c>
      <c r="K358" s="28" t="s">
        <v>417</v>
      </c>
      <c r="L358" s="28" t="s">
        <v>872</v>
      </c>
      <c r="M358" s="28" t="s">
        <v>9</v>
      </c>
      <c r="N358" s="28" t="str">
        <f t="shared" ref="N358:N393" si="213">M358</f>
        <v>AE1</v>
      </c>
      <c r="O358" s="81"/>
      <c r="P358" s="81">
        <f t="shared" ref="P358:P394" si="214">CEILING(ROUND(($O358*50%),2),10)</f>
        <v>0</v>
      </c>
      <c r="Q358" s="81">
        <f t="shared" ref="Q358:Q379" si="215">ROUND((P358*25%),2)</f>
        <v>0</v>
      </c>
      <c r="R358" s="81">
        <f t="shared" ref="R358:R379" si="216">ROUND((P358*10%),2)</f>
        <v>0</v>
      </c>
      <c r="S358" s="81"/>
      <c r="T358" s="82">
        <f t="shared" ref="T358:T379" si="217">SUM(P358:S358)</f>
        <v>0</v>
      </c>
      <c r="U358" s="82">
        <f t="shared" ref="U358:U393" si="218">ROUND(IF(($T358-$Q358)&lt;=180000,($T358-$Q358)*12%,(180000*12%)),2)</f>
        <v>0</v>
      </c>
      <c r="V358" s="82">
        <f t="shared" ref="V358:V393" si="219">ROUND(IF(($T358&lt;=252000),($T358*3.25%),0),2)</f>
        <v>0</v>
      </c>
      <c r="W358" s="83">
        <v>0</v>
      </c>
      <c r="X358" s="83">
        <v>0</v>
      </c>
      <c r="Y358" s="83">
        <v>0</v>
      </c>
      <c r="Z358" s="84">
        <f>ROUND((IF(($O358&lt;=700000),0,IF(((VLOOKUP($M358,'Loyalty - Effec - 15July'!$B$5:$C$17,2,0)*$O358)&lt;=120000),(VLOOKUP($M358,'Loyalty - Effec - 15July'!$B$5:$C$17,2,0)*$O358),120000))),0)</f>
        <v>0</v>
      </c>
      <c r="AA358" s="84">
        <f>ROUND(VLOOKUP($M358,'Loyalty - Effec - 15July'!$B$5:$D$17,3,0)*$O358,0)</f>
        <v>0</v>
      </c>
      <c r="AB358" s="85">
        <f t="shared" ref="AB358:AB379" si="220">SUM(T358:AA358)</f>
        <v>0</v>
      </c>
      <c r="AC358" s="86">
        <f t="shared" ref="AC358:AC393" si="221">ROUND(IF(($T358&lt;=252000),($T358*0.75%),0),2)</f>
        <v>0</v>
      </c>
      <c r="AD358" s="87">
        <f t="shared" ref="AD358:AD379" si="222">O358-AB358</f>
        <v>0</v>
      </c>
      <c r="AE358" s="88">
        <f t="shared" ref="AE358:AE379" si="223">(T358+Z358)-(U358+AC358)</f>
        <v>0</v>
      </c>
      <c r="AF358" s="88">
        <f t="shared" ref="AF358:AF379" si="224">AE358/12</f>
        <v>0</v>
      </c>
      <c r="AG358" s="49" t="s">
        <v>142</v>
      </c>
      <c r="AH358" s="49" t="s">
        <v>811</v>
      </c>
      <c r="AI358" s="50"/>
      <c r="AJ358" s="46"/>
      <c r="AK358" s="46"/>
      <c r="AL358" s="46"/>
      <c r="AM358" s="51">
        <f>IF($AL358=4,VLOOKUP($AR358,'Loyalty Incentive v1'!$L$3:$Q$15,2,FALSE),
IF($AL358=3,VLOOKUP($AR358,'Loyalty Incentive v1'!$L$3:$Q$15,3,FALSE),
IF($AL358=2,VLOOKUP($AR358,'Loyalty Incentive v1'!$L$3:$Q$15,4,FALSE),
IF($AL358=1,VLOOKUP($AR358,'Loyalty Incentive v1'!$L$3:$Q$15,5,FALSE),
IF($AL358=0,VLOOKUP($AR358,'Loyalty Incentive v1'!$L$3:$Q$15,6,FALSE),0)))))</f>
        <v>0</v>
      </c>
      <c r="AN358" s="51">
        <f>IFERROR(IF(I358&gt;="1",AM358,VLOOKUP(VALUE(I358),'Loyalty - Effec - 15July'!$I$5:$J$16,2,0)*AM358),0)</f>
        <v>0</v>
      </c>
      <c r="AO358" s="51">
        <v>0</v>
      </c>
      <c r="AP358" s="51">
        <f t="shared" ref="AP358:AP379" si="225">AN358+AO358</f>
        <v>0</v>
      </c>
      <c r="AQ358" s="46" t="str">
        <f t="shared" si="203"/>
        <v>No</v>
      </c>
      <c r="AR358" s="46" t="str">
        <f t="shared" si="204"/>
        <v>AE1</v>
      </c>
      <c r="AS358" s="46" t="b">
        <f t="shared" si="205"/>
        <v>1</v>
      </c>
      <c r="AT358" s="82">
        <f t="shared" si="212"/>
        <v>0</v>
      </c>
      <c r="AU358" s="81">
        <f t="shared" ref="AU358:AU379" si="226">ROUND(AT358*$AU$3,0)</f>
        <v>0</v>
      </c>
      <c r="AV358" s="81">
        <f t="shared" ref="AV358:AV379" si="227">ROUND(AU358*$AV$3,0)</f>
        <v>0</v>
      </c>
      <c r="AW358" s="81">
        <f t="shared" ref="AW358:AW379" si="228">ROUND(AU358*$AW$3,0)</f>
        <v>0</v>
      </c>
      <c r="AX358" s="85"/>
      <c r="AY358" s="81">
        <f t="shared" ref="AY358:AY379" si="229">SUM(AU358:AX358)</f>
        <v>0</v>
      </c>
      <c r="AZ358" s="83">
        <f t="shared" ref="AZ358:AZ379" si="230">ROUND(IF((AY358-AV358)&gt;180000,21600,(AY358-AV358)*12%),0)</f>
        <v>0</v>
      </c>
      <c r="BA358" s="81">
        <f t="shared" ref="BA358:BA379" si="231">ROUND(IF(AY358&lt;252001,AY358*0.0325,0),0)</f>
        <v>0</v>
      </c>
      <c r="BB358" s="83">
        <v>0</v>
      </c>
      <c r="BC358" s="83">
        <v>0</v>
      </c>
      <c r="BD358" s="83">
        <v>0</v>
      </c>
      <c r="BE358" s="84">
        <f>ROUND((IF(($AT358&lt;=700000),0,IF(((VLOOKUP($AR358,'Loyalty - Effec - 15July'!$B$5:$C$17,2,0)*$AT358)&lt;=120000),(VLOOKUP($AR358,'Loyalty - Effec - 15July'!$B$5:$C$17,2,0)*$AT358),120000))),0)</f>
        <v>0</v>
      </c>
      <c r="BF358" s="83">
        <f>ROUND(VLOOKUP($AR358,'Loyalty - Effec - 15July'!$B$5:$D$17,3,0)*$AT358,0)</f>
        <v>0</v>
      </c>
      <c r="BG358" s="85">
        <f t="shared" ref="BG358:BG379" si="232">SUM(AY358:BF358)</f>
        <v>0</v>
      </c>
      <c r="BH358" s="83">
        <f t="shared" ref="BH358:BH379" si="233">ROUND(IF(AY358&lt;252001,AY358*0.0075,0),0)</f>
        <v>0</v>
      </c>
      <c r="BI358" s="85">
        <f t="shared" si="202"/>
        <v>0</v>
      </c>
      <c r="BJ358" s="85">
        <f t="shared" ref="BJ358:BJ379" si="234">(AY358+BE358)-(AZ358+BH358)</f>
        <v>0</v>
      </c>
      <c r="BK358" s="85">
        <f t="shared" ref="BK358:BK379" si="235">BJ358/12</f>
        <v>0</v>
      </c>
      <c r="BL358" s="85">
        <f t="shared" si="206"/>
        <v>0</v>
      </c>
      <c r="BM358" s="85">
        <f t="shared" si="207"/>
        <v>0</v>
      </c>
      <c r="BN358" s="85">
        <f t="shared" si="208"/>
        <v>0</v>
      </c>
      <c r="BO358" s="46" t="s">
        <v>85</v>
      </c>
      <c r="BP358" s="46"/>
      <c r="BQ358" s="46"/>
      <c r="BU358" s="47">
        <f t="shared" si="210"/>
        <v>0</v>
      </c>
      <c r="BV358" s="53" t="s">
        <v>622</v>
      </c>
      <c r="BW358" s="53" t="s">
        <v>932</v>
      </c>
      <c r="BX358" s="53" t="s">
        <v>842</v>
      </c>
      <c r="BY358" s="53"/>
      <c r="BZ358" s="53"/>
    </row>
    <row r="359" spans="1:78">
      <c r="A359" s="42" t="s">
        <v>623</v>
      </c>
      <c r="B359" s="28" t="s">
        <v>79</v>
      </c>
      <c r="C359" s="28" t="s">
        <v>80</v>
      </c>
      <c r="D359" s="28" t="s">
        <v>932</v>
      </c>
      <c r="F359" s="28" t="s">
        <v>901</v>
      </c>
      <c r="G359" s="44" t="s">
        <v>843</v>
      </c>
      <c r="H359" s="45">
        <v>45166</v>
      </c>
      <c r="I359" s="46" t="s">
        <v>1010</v>
      </c>
      <c r="J359" s="28">
        <v>2</v>
      </c>
      <c r="K359" s="28" t="s">
        <v>93</v>
      </c>
      <c r="L359" s="28" t="s">
        <v>873</v>
      </c>
      <c r="M359" s="28" t="s">
        <v>9</v>
      </c>
      <c r="N359" s="28" t="str">
        <f t="shared" si="213"/>
        <v>AE1</v>
      </c>
      <c r="O359" s="81"/>
      <c r="P359" s="81">
        <f t="shared" si="214"/>
        <v>0</v>
      </c>
      <c r="Q359" s="81">
        <f t="shared" si="215"/>
        <v>0</v>
      </c>
      <c r="R359" s="81">
        <f t="shared" si="216"/>
        <v>0</v>
      </c>
      <c r="S359" s="81"/>
      <c r="T359" s="82">
        <f t="shared" si="217"/>
        <v>0</v>
      </c>
      <c r="U359" s="82">
        <f t="shared" si="218"/>
        <v>0</v>
      </c>
      <c r="V359" s="82">
        <f t="shared" si="219"/>
        <v>0</v>
      </c>
      <c r="W359" s="83">
        <v>0</v>
      </c>
      <c r="X359" s="83">
        <v>0</v>
      </c>
      <c r="Y359" s="83">
        <v>0</v>
      </c>
      <c r="Z359" s="84">
        <f>ROUND((IF(($O359&lt;=700000),0,IF(((VLOOKUP($M359,'Loyalty - Effec - 15July'!$B$5:$C$17,2,0)*$O359)&lt;=120000),(VLOOKUP($M359,'Loyalty - Effec - 15July'!$B$5:$C$17,2,0)*$O359),120000))),0)</f>
        <v>0</v>
      </c>
      <c r="AA359" s="84">
        <f>ROUND(VLOOKUP($M359,'Loyalty - Effec - 15July'!$B$5:$D$17,3,0)*$O359,0)</f>
        <v>0</v>
      </c>
      <c r="AB359" s="85">
        <f t="shared" si="220"/>
        <v>0</v>
      </c>
      <c r="AC359" s="86">
        <f t="shared" si="221"/>
        <v>0</v>
      </c>
      <c r="AD359" s="87">
        <f t="shared" si="222"/>
        <v>0</v>
      </c>
      <c r="AE359" s="88">
        <f t="shared" si="223"/>
        <v>0</v>
      </c>
      <c r="AF359" s="88">
        <f t="shared" si="224"/>
        <v>0</v>
      </c>
      <c r="AG359" s="49">
        <v>0</v>
      </c>
      <c r="AH359" s="49">
        <v>0</v>
      </c>
      <c r="AI359" s="50"/>
      <c r="AJ359" s="46"/>
      <c r="AK359" s="46"/>
      <c r="AL359" s="46"/>
      <c r="AM359" s="51">
        <f>IF($AL359=4,VLOOKUP($AR359,'Loyalty Incentive v1'!$L$3:$Q$15,2,FALSE),
IF($AL359=3,VLOOKUP($AR359,'Loyalty Incentive v1'!$L$3:$Q$15,3,FALSE),
IF($AL359=2,VLOOKUP($AR359,'Loyalty Incentive v1'!$L$3:$Q$15,4,FALSE),
IF($AL359=1,VLOOKUP($AR359,'Loyalty Incentive v1'!$L$3:$Q$15,5,FALSE),
IF($AL359=0,VLOOKUP($AR359,'Loyalty Incentive v1'!$L$3:$Q$15,6,FALSE),0)))))</f>
        <v>0</v>
      </c>
      <c r="AN359" s="51">
        <f>IFERROR(IF(I359&gt;="1",AM359,VLOOKUP(VALUE(I359),'Loyalty - Effec - 15July'!$I$5:$J$16,2,0)*AM359),0)</f>
        <v>0</v>
      </c>
      <c r="AO359" s="51">
        <v>0</v>
      </c>
      <c r="AP359" s="51">
        <f t="shared" si="225"/>
        <v>0</v>
      </c>
      <c r="AQ359" s="46" t="str">
        <f t="shared" si="203"/>
        <v>No</v>
      </c>
      <c r="AR359" s="46" t="str">
        <f t="shared" si="204"/>
        <v>AE1</v>
      </c>
      <c r="AS359" s="46" t="b">
        <f t="shared" si="205"/>
        <v>1</v>
      </c>
      <c r="AT359" s="82">
        <f t="shared" si="212"/>
        <v>0</v>
      </c>
      <c r="AU359" s="81">
        <f t="shared" si="226"/>
        <v>0</v>
      </c>
      <c r="AV359" s="81">
        <f t="shared" si="227"/>
        <v>0</v>
      </c>
      <c r="AW359" s="81">
        <f t="shared" si="228"/>
        <v>0</v>
      </c>
      <c r="AX359" s="85"/>
      <c r="AY359" s="81">
        <f t="shared" si="229"/>
        <v>0</v>
      </c>
      <c r="AZ359" s="83">
        <f t="shared" si="230"/>
        <v>0</v>
      </c>
      <c r="BA359" s="81">
        <f t="shared" si="231"/>
        <v>0</v>
      </c>
      <c r="BB359" s="83">
        <v>0</v>
      </c>
      <c r="BC359" s="83">
        <v>0</v>
      </c>
      <c r="BD359" s="83">
        <v>0</v>
      </c>
      <c r="BE359" s="84">
        <f>ROUND((IF(($AT359&lt;=700000),0,IF(((VLOOKUP($AR359,'Loyalty - Effec - 15July'!$B$5:$C$17,2,0)*$AT359)&lt;=120000),(VLOOKUP($AR359,'Loyalty - Effec - 15July'!$B$5:$C$17,2,0)*$AT359),120000))),0)</f>
        <v>0</v>
      </c>
      <c r="BF359" s="83">
        <f>ROUND(VLOOKUP($AR359,'Loyalty - Effec - 15July'!$B$5:$D$17,3,0)*$AT359,0)</f>
        <v>0</v>
      </c>
      <c r="BG359" s="85">
        <f t="shared" si="232"/>
        <v>0</v>
      </c>
      <c r="BH359" s="83">
        <f t="shared" si="233"/>
        <v>0</v>
      </c>
      <c r="BI359" s="85">
        <f t="shared" si="202"/>
        <v>0</v>
      </c>
      <c r="BJ359" s="85">
        <f t="shared" si="234"/>
        <v>0</v>
      </c>
      <c r="BK359" s="85">
        <f t="shared" si="235"/>
        <v>0</v>
      </c>
      <c r="BL359" s="85">
        <f t="shared" si="206"/>
        <v>0</v>
      </c>
      <c r="BM359" s="85">
        <f t="shared" si="207"/>
        <v>0</v>
      </c>
      <c r="BN359" s="85">
        <f t="shared" si="208"/>
        <v>0</v>
      </c>
      <c r="BO359" s="46" t="s">
        <v>85</v>
      </c>
      <c r="BP359" s="46"/>
      <c r="BQ359" s="46"/>
      <c r="BU359" s="47">
        <f t="shared" si="210"/>
        <v>0</v>
      </c>
      <c r="BV359" s="53" t="s">
        <v>623</v>
      </c>
      <c r="BW359" s="53" t="s">
        <v>932</v>
      </c>
      <c r="BX359" s="53" t="s">
        <v>843</v>
      </c>
      <c r="BY359" s="53"/>
      <c r="BZ359" s="53"/>
    </row>
    <row r="360" spans="1:78">
      <c r="A360" s="42" t="s">
        <v>624</v>
      </c>
      <c r="B360" s="28" t="s">
        <v>79</v>
      </c>
      <c r="C360" s="28" t="s">
        <v>80</v>
      </c>
      <c r="D360" s="28" t="s">
        <v>932</v>
      </c>
      <c r="F360" s="28" t="s">
        <v>901</v>
      </c>
      <c r="G360" s="44" t="s">
        <v>844</v>
      </c>
      <c r="H360" s="45">
        <v>45166</v>
      </c>
      <c r="I360" s="46" t="s">
        <v>1010</v>
      </c>
      <c r="J360" s="28">
        <v>2</v>
      </c>
      <c r="K360" s="28" t="s">
        <v>93</v>
      </c>
      <c r="L360" s="28" t="s">
        <v>873</v>
      </c>
      <c r="M360" s="28" t="s">
        <v>9</v>
      </c>
      <c r="N360" s="28" t="str">
        <f t="shared" si="213"/>
        <v>AE1</v>
      </c>
      <c r="O360" s="81"/>
      <c r="P360" s="81">
        <f t="shared" si="214"/>
        <v>0</v>
      </c>
      <c r="Q360" s="81">
        <f t="shared" si="215"/>
        <v>0</v>
      </c>
      <c r="R360" s="81">
        <f t="shared" si="216"/>
        <v>0</v>
      </c>
      <c r="S360" s="81"/>
      <c r="T360" s="82">
        <f t="shared" si="217"/>
        <v>0</v>
      </c>
      <c r="U360" s="82">
        <f t="shared" si="218"/>
        <v>0</v>
      </c>
      <c r="V360" s="82">
        <f t="shared" si="219"/>
        <v>0</v>
      </c>
      <c r="W360" s="83">
        <v>0</v>
      </c>
      <c r="X360" s="83">
        <v>0</v>
      </c>
      <c r="Y360" s="83">
        <v>0</v>
      </c>
      <c r="Z360" s="84">
        <f>ROUND((IF(($O360&lt;=700000),0,IF(((VLOOKUP($M360,'Loyalty - Effec - 15July'!$B$5:$C$17,2,0)*$O360)&lt;=120000),(VLOOKUP($M360,'Loyalty - Effec - 15July'!$B$5:$C$17,2,0)*$O360),120000))),0)</f>
        <v>0</v>
      </c>
      <c r="AA360" s="84">
        <f>ROUND(VLOOKUP($M360,'Loyalty - Effec - 15July'!$B$5:$D$17,3,0)*$O360,0)</f>
        <v>0</v>
      </c>
      <c r="AB360" s="85">
        <f t="shared" si="220"/>
        <v>0</v>
      </c>
      <c r="AC360" s="86">
        <f t="shared" si="221"/>
        <v>0</v>
      </c>
      <c r="AD360" s="87">
        <f t="shared" si="222"/>
        <v>0</v>
      </c>
      <c r="AE360" s="88">
        <f t="shared" si="223"/>
        <v>0</v>
      </c>
      <c r="AF360" s="88">
        <f t="shared" si="224"/>
        <v>0</v>
      </c>
      <c r="AG360" s="49">
        <v>0</v>
      </c>
      <c r="AH360" s="49">
        <v>0</v>
      </c>
      <c r="AI360" s="50"/>
      <c r="AJ360" s="46"/>
      <c r="AK360" s="46"/>
      <c r="AL360" s="46"/>
      <c r="AM360" s="51">
        <f>IF($AL360=4,VLOOKUP($AR360,'Loyalty Incentive v1'!$L$3:$Q$15,2,FALSE),
IF($AL360=3,VLOOKUP($AR360,'Loyalty Incentive v1'!$L$3:$Q$15,3,FALSE),
IF($AL360=2,VLOOKUP($AR360,'Loyalty Incentive v1'!$L$3:$Q$15,4,FALSE),
IF($AL360=1,VLOOKUP($AR360,'Loyalty Incentive v1'!$L$3:$Q$15,5,FALSE),
IF($AL360=0,VLOOKUP($AR360,'Loyalty Incentive v1'!$L$3:$Q$15,6,FALSE),0)))))</f>
        <v>0</v>
      </c>
      <c r="AN360" s="51">
        <f>IFERROR(IF(I360&gt;="1",AM360,VLOOKUP(VALUE(I360),'Loyalty - Effec - 15July'!$I$5:$J$16,2,0)*AM360),0)</f>
        <v>0</v>
      </c>
      <c r="AO360" s="51">
        <v>0</v>
      </c>
      <c r="AP360" s="51">
        <f t="shared" si="225"/>
        <v>0</v>
      </c>
      <c r="AQ360" s="46" t="str">
        <f t="shared" si="203"/>
        <v>No</v>
      </c>
      <c r="AR360" s="46" t="str">
        <f t="shared" si="204"/>
        <v>AE1</v>
      </c>
      <c r="AS360" s="46" t="b">
        <f t="shared" si="205"/>
        <v>1</v>
      </c>
      <c r="AT360" s="82">
        <f t="shared" si="212"/>
        <v>0</v>
      </c>
      <c r="AU360" s="81">
        <f t="shared" si="226"/>
        <v>0</v>
      </c>
      <c r="AV360" s="81">
        <f t="shared" si="227"/>
        <v>0</v>
      </c>
      <c r="AW360" s="81">
        <f t="shared" si="228"/>
        <v>0</v>
      </c>
      <c r="AX360" s="85"/>
      <c r="AY360" s="81">
        <f t="shared" si="229"/>
        <v>0</v>
      </c>
      <c r="AZ360" s="83">
        <f t="shared" si="230"/>
        <v>0</v>
      </c>
      <c r="BA360" s="81">
        <f t="shared" si="231"/>
        <v>0</v>
      </c>
      <c r="BB360" s="83">
        <v>0</v>
      </c>
      <c r="BC360" s="83">
        <v>0</v>
      </c>
      <c r="BD360" s="83">
        <v>0</v>
      </c>
      <c r="BE360" s="84">
        <f>ROUND((IF(($AT360&lt;=700000),0,IF(((VLOOKUP($AR360,'Loyalty - Effec - 15July'!$B$5:$C$17,2,0)*$AT360)&lt;=120000),(VLOOKUP($AR360,'Loyalty - Effec - 15July'!$B$5:$C$17,2,0)*$AT360),120000))),0)</f>
        <v>0</v>
      </c>
      <c r="BF360" s="83">
        <f>ROUND(VLOOKUP($AR360,'Loyalty - Effec - 15July'!$B$5:$D$17,3,0)*$AT360,0)</f>
        <v>0</v>
      </c>
      <c r="BG360" s="85">
        <f t="shared" si="232"/>
        <v>0</v>
      </c>
      <c r="BH360" s="83">
        <f t="shared" si="233"/>
        <v>0</v>
      </c>
      <c r="BI360" s="85">
        <f t="shared" si="202"/>
        <v>0</v>
      </c>
      <c r="BJ360" s="85">
        <f t="shared" si="234"/>
        <v>0</v>
      </c>
      <c r="BK360" s="85">
        <f t="shared" si="235"/>
        <v>0</v>
      </c>
      <c r="BL360" s="85">
        <f t="shared" si="206"/>
        <v>0</v>
      </c>
      <c r="BM360" s="85">
        <f t="shared" si="207"/>
        <v>0</v>
      </c>
      <c r="BN360" s="85">
        <f t="shared" si="208"/>
        <v>0</v>
      </c>
      <c r="BO360" s="46" t="s">
        <v>85</v>
      </c>
      <c r="BP360" s="46"/>
      <c r="BQ360" s="46"/>
      <c r="BU360" s="47">
        <f t="shared" si="210"/>
        <v>0</v>
      </c>
      <c r="BV360" s="53" t="s">
        <v>624</v>
      </c>
      <c r="BW360" s="53" t="s">
        <v>932</v>
      </c>
      <c r="BX360" s="53" t="s">
        <v>844</v>
      </c>
      <c r="BY360" s="53"/>
      <c r="BZ360" s="53"/>
    </row>
    <row r="361" spans="1:78">
      <c r="A361" s="42" t="s">
        <v>625</v>
      </c>
      <c r="B361" s="28" t="s">
        <v>79</v>
      </c>
      <c r="C361" s="28" t="s">
        <v>80</v>
      </c>
      <c r="D361" s="28" t="s">
        <v>932</v>
      </c>
      <c r="F361" s="28" t="s">
        <v>902</v>
      </c>
      <c r="G361" s="44" t="s">
        <v>845</v>
      </c>
      <c r="H361" s="45">
        <v>45166</v>
      </c>
      <c r="I361" s="46" t="s">
        <v>1010</v>
      </c>
      <c r="J361" s="28">
        <v>2</v>
      </c>
      <c r="K361" s="28" t="s">
        <v>93</v>
      </c>
      <c r="L361" s="28" t="s">
        <v>873</v>
      </c>
      <c r="M361" s="28" t="s">
        <v>9</v>
      </c>
      <c r="N361" s="28" t="str">
        <f t="shared" si="213"/>
        <v>AE1</v>
      </c>
      <c r="O361" s="81"/>
      <c r="P361" s="81">
        <f t="shared" si="214"/>
        <v>0</v>
      </c>
      <c r="Q361" s="81">
        <f t="shared" si="215"/>
        <v>0</v>
      </c>
      <c r="R361" s="81">
        <f t="shared" si="216"/>
        <v>0</v>
      </c>
      <c r="S361" s="81"/>
      <c r="T361" s="82">
        <f t="shared" si="217"/>
        <v>0</v>
      </c>
      <c r="U361" s="82">
        <f t="shared" si="218"/>
        <v>0</v>
      </c>
      <c r="V361" s="82">
        <f t="shared" si="219"/>
        <v>0</v>
      </c>
      <c r="W361" s="83">
        <v>0</v>
      </c>
      <c r="X361" s="83">
        <v>0</v>
      </c>
      <c r="Y361" s="83">
        <v>0</v>
      </c>
      <c r="Z361" s="84">
        <f>ROUND((IF(($O361&lt;=700000),0,IF(((VLOOKUP($M361,'Loyalty - Effec - 15July'!$B$5:$C$17,2,0)*$O361)&lt;=120000),(VLOOKUP($M361,'Loyalty - Effec - 15July'!$B$5:$C$17,2,0)*$O361),120000))),0)</f>
        <v>0</v>
      </c>
      <c r="AA361" s="84">
        <f>ROUND(VLOOKUP($M361,'Loyalty - Effec - 15July'!$B$5:$D$17,3,0)*$O361,0)</f>
        <v>0</v>
      </c>
      <c r="AB361" s="85">
        <f t="shared" si="220"/>
        <v>0</v>
      </c>
      <c r="AC361" s="86">
        <f t="shared" si="221"/>
        <v>0</v>
      </c>
      <c r="AD361" s="87">
        <f t="shared" si="222"/>
        <v>0</v>
      </c>
      <c r="AE361" s="88">
        <f t="shared" si="223"/>
        <v>0</v>
      </c>
      <c r="AF361" s="88">
        <f t="shared" si="224"/>
        <v>0</v>
      </c>
      <c r="AG361" s="49">
        <v>0</v>
      </c>
      <c r="AH361" s="49">
        <v>0</v>
      </c>
      <c r="AI361" s="50"/>
      <c r="AJ361" s="46"/>
      <c r="AK361" s="46"/>
      <c r="AL361" s="46"/>
      <c r="AM361" s="51">
        <f>IF($AL361=4,VLOOKUP($AR361,'Loyalty Incentive v1'!$L$3:$Q$15,2,FALSE),
IF($AL361=3,VLOOKUP($AR361,'Loyalty Incentive v1'!$L$3:$Q$15,3,FALSE),
IF($AL361=2,VLOOKUP($AR361,'Loyalty Incentive v1'!$L$3:$Q$15,4,FALSE),
IF($AL361=1,VLOOKUP($AR361,'Loyalty Incentive v1'!$L$3:$Q$15,5,FALSE),
IF($AL361=0,VLOOKUP($AR361,'Loyalty Incentive v1'!$L$3:$Q$15,6,FALSE),0)))))</f>
        <v>0</v>
      </c>
      <c r="AN361" s="51">
        <f>IFERROR(IF(I361&gt;="1",AM361,VLOOKUP(VALUE(I361),'Loyalty - Effec - 15July'!$I$5:$J$16,2,0)*AM361),0)</f>
        <v>0</v>
      </c>
      <c r="AO361" s="51">
        <v>0</v>
      </c>
      <c r="AP361" s="51">
        <f t="shared" si="225"/>
        <v>0</v>
      </c>
      <c r="AQ361" s="46" t="str">
        <f t="shared" si="203"/>
        <v>No</v>
      </c>
      <c r="AR361" s="46" t="str">
        <f t="shared" si="204"/>
        <v>AE1</v>
      </c>
      <c r="AS361" s="46" t="b">
        <f t="shared" si="205"/>
        <v>1</v>
      </c>
      <c r="AT361" s="82">
        <f t="shared" si="212"/>
        <v>0</v>
      </c>
      <c r="AU361" s="81">
        <f t="shared" si="226"/>
        <v>0</v>
      </c>
      <c r="AV361" s="81">
        <f t="shared" si="227"/>
        <v>0</v>
      </c>
      <c r="AW361" s="81">
        <f t="shared" si="228"/>
        <v>0</v>
      </c>
      <c r="AX361" s="85"/>
      <c r="AY361" s="81">
        <f t="shared" si="229"/>
        <v>0</v>
      </c>
      <c r="AZ361" s="83">
        <f t="shared" si="230"/>
        <v>0</v>
      </c>
      <c r="BA361" s="81">
        <f t="shared" si="231"/>
        <v>0</v>
      </c>
      <c r="BB361" s="83">
        <v>0</v>
      </c>
      <c r="BC361" s="83">
        <v>0</v>
      </c>
      <c r="BD361" s="83">
        <v>0</v>
      </c>
      <c r="BE361" s="84">
        <f>ROUND((IF(($AT361&lt;=700000),0,IF(((VLOOKUP($AR361,'Loyalty - Effec - 15July'!$B$5:$C$17,2,0)*$AT361)&lt;=120000),(VLOOKUP($AR361,'Loyalty - Effec - 15July'!$B$5:$C$17,2,0)*$AT361),120000))),0)</f>
        <v>0</v>
      </c>
      <c r="BF361" s="83">
        <f>ROUND(VLOOKUP($AR361,'Loyalty - Effec - 15July'!$B$5:$D$17,3,0)*$AT361,0)</f>
        <v>0</v>
      </c>
      <c r="BG361" s="85">
        <f t="shared" si="232"/>
        <v>0</v>
      </c>
      <c r="BH361" s="83">
        <f t="shared" si="233"/>
        <v>0</v>
      </c>
      <c r="BI361" s="85">
        <f t="shared" si="202"/>
        <v>0</v>
      </c>
      <c r="BJ361" s="85">
        <f t="shared" si="234"/>
        <v>0</v>
      </c>
      <c r="BK361" s="85">
        <f t="shared" si="235"/>
        <v>0</v>
      </c>
      <c r="BL361" s="85">
        <f t="shared" si="206"/>
        <v>0</v>
      </c>
      <c r="BM361" s="85">
        <f t="shared" si="207"/>
        <v>0</v>
      </c>
      <c r="BN361" s="85">
        <f t="shared" si="208"/>
        <v>0</v>
      </c>
      <c r="BO361" s="46" t="s">
        <v>85</v>
      </c>
      <c r="BP361" s="46"/>
      <c r="BQ361" s="46"/>
      <c r="BU361" s="47">
        <f t="shared" si="210"/>
        <v>0</v>
      </c>
      <c r="BV361" s="53" t="s">
        <v>625</v>
      </c>
      <c r="BW361" s="53" t="s">
        <v>932</v>
      </c>
      <c r="BX361" s="53" t="s">
        <v>845</v>
      </c>
      <c r="BY361" s="53"/>
      <c r="BZ361" s="53"/>
    </row>
    <row r="362" spans="1:78">
      <c r="A362" s="42" t="s">
        <v>626</v>
      </c>
      <c r="B362" s="28" t="s">
        <v>79</v>
      </c>
      <c r="C362" s="28" t="s">
        <v>80</v>
      </c>
      <c r="D362" s="28" t="s">
        <v>932</v>
      </c>
      <c r="F362" s="28" t="s">
        <v>902</v>
      </c>
      <c r="G362" s="44" t="s">
        <v>846</v>
      </c>
      <c r="H362" s="45">
        <v>45166</v>
      </c>
      <c r="I362" s="46" t="s">
        <v>1010</v>
      </c>
      <c r="J362" s="28">
        <v>2</v>
      </c>
      <c r="K362" s="28" t="s">
        <v>93</v>
      </c>
      <c r="L362" s="28" t="s">
        <v>873</v>
      </c>
      <c r="M362" s="28" t="s">
        <v>9</v>
      </c>
      <c r="N362" s="28" t="str">
        <f t="shared" si="213"/>
        <v>AE1</v>
      </c>
      <c r="O362" s="81"/>
      <c r="P362" s="81">
        <f t="shared" si="214"/>
        <v>0</v>
      </c>
      <c r="Q362" s="81">
        <f t="shared" si="215"/>
        <v>0</v>
      </c>
      <c r="R362" s="81">
        <f t="shared" si="216"/>
        <v>0</v>
      </c>
      <c r="S362" s="81"/>
      <c r="T362" s="82">
        <f t="shared" si="217"/>
        <v>0</v>
      </c>
      <c r="U362" s="82">
        <f t="shared" si="218"/>
        <v>0</v>
      </c>
      <c r="V362" s="82">
        <f t="shared" si="219"/>
        <v>0</v>
      </c>
      <c r="W362" s="83">
        <v>0</v>
      </c>
      <c r="X362" s="83">
        <v>0</v>
      </c>
      <c r="Y362" s="83">
        <v>0</v>
      </c>
      <c r="Z362" s="84">
        <f>ROUND((IF(($O362&lt;=700000),0,IF(((VLOOKUP($M362,'Loyalty - Effec - 15July'!$B$5:$C$17,2,0)*$O362)&lt;=120000),(VLOOKUP($M362,'Loyalty - Effec - 15July'!$B$5:$C$17,2,0)*$O362),120000))),0)</f>
        <v>0</v>
      </c>
      <c r="AA362" s="84">
        <f>ROUND(VLOOKUP($M362,'Loyalty - Effec - 15July'!$B$5:$D$17,3,0)*$O362,0)</f>
        <v>0</v>
      </c>
      <c r="AB362" s="85">
        <f t="shared" si="220"/>
        <v>0</v>
      </c>
      <c r="AC362" s="86">
        <f t="shared" si="221"/>
        <v>0</v>
      </c>
      <c r="AD362" s="87">
        <f t="shared" si="222"/>
        <v>0</v>
      </c>
      <c r="AE362" s="88">
        <f t="shared" si="223"/>
        <v>0</v>
      </c>
      <c r="AF362" s="88">
        <f t="shared" si="224"/>
        <v>0</v>
      </c>
      <c r="AG362" s="49">
        <v>0</v>
      </c>
      <c r="AH362" s="49">
        <v>0</v>
      </c>
      <c r="AI362" s="50"/>
      <c r="AJ362" s="46"/>
      <c r="AK362" s="46"/>
      <c r="AL362" s="46"/>
      <c r="AM362" s="51">
        <f>IF($AL362=4,VLOOKUP($AR362,'Loyalty Incentive v1'!$L$3:$Q$15,2,FALSE),
IF($AL362=3,VLOOKUP($AR362,'Loyalty Incentive v1'!$L$3:$Q$15,3,FALSE),
IF($AL362=2,VLOOKUP($AR362,'Loyalty Incentive v1'!$L$3:$Q$15,4,FALSE),
IF($AL362=1,VLOOKUP($AR362,'Loyalty Incentive v1'!$L$3:$Q$15,5,FALSE),
IF($AL362=0,VLOOKUP($AR362,'Loyalty Incentive v1'!$L$3:$Q$15,6,FALSE),0)))))</f>
        <v>0</v>
      </c>
      <c r="AN362" s="51">
        <f>IFERROR(IF(I362&gt;="1",AM362,VLOOKUP(VALUE(I362),'Loyalty - Effec - 15July'!$I$5:$J$16,2,0)*AM362),0)</f>
        <v>0</v>
      </c>
      <c r="AO362" s="51">
        <v>0</v>
      </c>
      <c r="AP362" s="51">
        <f t="shared" si="225"/>
        <v>0</v>
      </c>
      <c r="AQ362" s="46" t="str">
        <f t="shared" si="203"/>
        <v>No</v>
      </c>
      <c r="AR362" s="46" t="str">
        <f t="shared" si="204"/>
        <v>AE1</v>
      </c>
      <c r="AS362" s="46" t="b">
        <f t="shared" si="205"/>
        <v>1</v>
      </c>
      <c r="AT362" s="82">
        <f t="shared" si="212"/>
        <v>0</v>
      </c>
      <c r="AU362" s="81">
        <f t="shared" si="226"/>
        <v>0</v>
      </c>
      <c r="AV362" s="81">
        <f t="shared" si="227"/>
        <v>0</v>
      </c>
      <c r="AW362" s="81">
        <f t="shared" si="228"/>
        <v>0</v>
      </c>
      <c r="AX362" s="85"/>
      <c r="AY362" s="81">
        <f t="shared" si="229"/>
        <v>0</v>
      </c>
      <c r="AZ362" s="83">
        <f t="shared" si="230"/>
        <v>0</v>
      </c>
      <c r="BA362" s="81">
        <f t="shared" si="231"/>
        <v>0</v>
      </c>
      <c r="BB362" s="83">
        <v>0</v>
      </c>
      <c r="BC362" s="83">
        <v>0</v>
      </c>
      <c r="BD362" s="83">
        <v>0</v>
      </c>
      <c r="BE362" s="84">
        <f>ROUND((IF(($AT362&lt;=700000),0,IF(((VLOOKUP($AR362,'Loyalty - Effec - 15July'!$B$5:$C$17,2,0)*$AT362)&lt;=120000),(VLOOKUP($AR362,'Loyalty - Effec - 15July'!$B$5:$C$17,2,0)*$AT362),120000))),0)</f>
        <v>0</v>
      </c>
      <c r="BF362" s="83">
        <f>ROUND(VLOOKUP($AR362,'Loyalty - Effec - 15July'!$B$5:$D$17,3,0)*$AT362,0)</f>
        <v>0</v>
      </c>
      <c r="BG362" s="85">
        <f t="shared" si="232"/>
        <v>0</v>
      </c>
      <c r="BH362" s="83">
        <f t="shared" si="233"/>
        <v>0</v>
      </c>
      <c r="BI362" s="85">
        <f t="shared" si="202"/>
        <v>0</v>
      </c>
      <c r="BJ362" s="85">
        <f t="shared" si="234"/>
        <v>0</v>
      </c>
      <c r="BK362" s="85">
        <f t="shared" si="235"/>
        <v>0</v>
      </c>
      <c r="BL362" s="85">
        <f t="shared" si="206"/>
        <v>0</v>
      </c>
      <c r="BM362" s="85">
        <f t="shared" si="207"/>
        <v>0</v>
      </c>
      <c r="BN362" s="85">
        <f t="shared" si="208"/>
        <v>0</v>
      </c>
      <c r="BO362" s="46" t="s">
        <v>85</v>
      </c>
      <c r="BP362" s="46"/>
      <c r="BQ362" s="46"/>
      <c r="BU362" s="47">
        <f t="shared" si="210"/>
        <v>0</v>
      </c>
      <c r="BV362" s="53" t="s">
        <v>626</v>
      </c>
      <c r="BW362" s="53" t="s">
        <v>932</v>
      </c>
      <c r="BX362" s="53" t="s">
        <v>846</v>
      </c>
      <c r="BY362" s="53"/>
      <c r="BZ362" s="53"/>
    </row>
    <row r="363" spans="1:78">
      <c r="A363" s="42" t="s">
        <v>627</v>
      </c>
      <c r="B363" s="28" t="s">
        <v>79</v>
      </c>
      <c r="C363" s="28" t="s">
        <v>80</v>
      </c>
      <c r="D363" s="28" t="s">
        <v>932</v>
      </c>
      <c r="F363" s="28" t="s">
        <v>901</v>
      </c>
      <c r="G363" s="44" t="s">
        <v>325</v>
      </c>
      <c r="H363" s="45">
        <v>45166</v>
      </c>
      <c r="I363" s="46" t="s">
        <v>1010</v>
      </c>
      <c r="J363" s="28">
        <v>2</v>
      </c>
      <c r="K363" s="28" t="s">
        <v>93</v>
      </c>
      <c r="L363" s="28" t="s">
        <v>873</v>
      </c>
      <c r="M363" s="28" t="s">
        <v>9</v>
      </c>
      <c r="N363" s="28" t="str">
        <f t="shared" si="213"/>
        <v>AE1</v>
      </c>
      <c r="O363" s="81"/>
      <c r="P363" s="81">
        <f t="shared" si="214"/>
        <v>0</v>
      </c>
      <c r="Q363" s="81">
        <f t="shared" si="215"/>
        <v>0</v>
      </c>
      <c r="R363" s="81">
        <f t="shared" si="216"/>
        <v>0</v>
      </c>
      <c r="S363" s="81"/>
      <c r="T363" s="82">
        <f t="shared" si="217"/>
        <v>0</v>
      </c>
      <c r="U363" s="82">
        <f t="shared" si="218"/>
        <v>0</v>
      </c>
      <c r="V363" s="82">
        <f t="shared" si="219"/>
        <v>0</v>
      </c>
      <c r="W363" s="83">
        <v>0</v>
      </c>
      <c r="X363" s="83">
        <v>0</v>
      </c>
      <c r="Y363" s="83">
        <v>0</v>
      </c>
      <c r="Z363" s="84">
        <f>ROUND((IF(($O363&lt;=700000),0,IF(((VLOOKUP($M363,'Loyalty - Effec - 15July'!$B$5:$C$17,2,0)*$O363)&lt;=120000),(VLOOKUP($M363,'Loyalty - Effec - 15July'!$B$5:$C$17,2,0)*$O363),120000))),0)</f>
        <v>0</v>
      </c>
      <c r="AA363" s="84">
        <f>ROUND(VLOOKUP($M363,'Loyalty - Effec - 15July'!$B$5:$D$17,3,0)*$O363,0)</f>
        <v>0</v>
      </c>
      <c r="AB363" s="85">
        <f t="shared" si="220"/>
        <v>0</v>
      </c>
      <c r="AC363" s="86">
        <f t="shared" si="221"/>
        <v>0</v>
      </c>
      <c r="AD363" s="87">
        <f t="shared" si="222"/>
        <v>0</v>
      </c>
      <c r="AE363" s="88">
        <f t="shared" si="223"/>
        <v>0</v>
      </c>
      <c r="AF363" s="88">
        <f t="shared" si="224"/>
        <v>0</v>
      </c>
      <c r="AG363" s="49">
        <v>0</v>
      </c>
      <c r="AH363" s="49">
        <v>0</v>
      </c>
      <c r="AI363" s="50"/>
      <c r="AJ363" s="46"/>
      <c r="AK363" s="46"/>
      <c r="AL363" s="46"/>
      <c r="AM363" s="51">
        <f>IF($AL363=4,VLOOKUP($AR363,'Loyalty Incentive v1'!$L$3:$Q$15,2,FALSE),
IF($AL363=3,VLOOKUP($AR363,'Loyalty Incentive v1'!$L$3:$Q$15,3,FALSE),
IF($AL363=2,VLOOKUP($AR363,'Loyalty Incentive v1'!$L$3:$Q$15,4,FALSE),
IF($AL363=1,VLOOKUP($AR363,'Loyalty Incentive v1'!$L$3:$Q$15,5,FALSE),
IF($AL363=0,VLOOKUP($AR363,'Loyalty Incentive v1'!$L$3:$Q$15,6,FALSE),0)))))</f>
        <v>0</v>
      </c>
      <c r="AN363" s="51">
        <f>IFERROR(IF(I363&gt;="1",AM363,VLOOKUP(VALUE(I363),'Loyalty - Effec - 15July'!$I$5:$J$16,2,0)*AM363),0)</f>
        <v>0</v>
      </c>
      <c r="AO363" s="51">
        <v>0</v>
      </c>
      <c r="AP363" s="51">
        <f t="shared" si="225"/>
        <v>0</v>
      </c>
      <c r="AQ363" s="46" t="str">
        <f t="shared" si="203"/>
        <v>No</v>
      </c>
      <c r="AR363" s="46" t="str">
        <f t="shared" si="204"/>
        <v>AE1</v>
      </c>
      <c r="AS363" s="46" t="b">
        <f t="shared" si="205"/>
        <v>1</v>
      </c>
      <c r="AT363" s="82">
        <f t="shared" si="212"/>
        <v>0</v>
      </c>
      <c r="AU363" s="81">
        <f t="shared" si="226"/>
        <v>0</v>
      </c>
      <c r="AV363" s="81">
        <f t="shared" si="227"/>
        <v>0</v>
      </c>
      <c r="AW363" s="81">
        <f t="shared" si="228"/>
        <v>0</v>
      </c>
      <c r="AX363" s="85"/>
      <c r="AY363" s="81">
        <f t="shared" si="229"/>
        <v>0</v>
      </c>
      <c r="AZ363" s="83">
        <f t="shared" si="230"/>
        <v>0</v>
      </c>
      <c r="BA363" s="81">
        <f t="shared" si="231"/>
        <v>0</v>
      </c>
      <c r="BB363" s="83">
        <v>0</v>
      </c>
      <c r="BC363" s="83">
        <v>0</v>
      </c>
      <c r="BD363" s="83">
        <v>0</v>
      </c>
      <c r="BE363" s="84">
        <f>ROUND((IF(($AT363&lt;=700000),0,IF(((VLOOKUP($AR363,'Loyalty - Effec - 15July'!$B$5:$C$17,2,0)*$AT363)&lt;=120000),(VLOOKUP($AR363,'Loyalty - Effec - 15July'!$B$5:$C$17,2,0)*$AT363),120000))),0)</f>
        <v>0</v>
      </c>
      <c r="BF363" s="83">
        <f>ROUND(VLOOKUP($AR363,'Loyalty - Effec - 15July'!$B$5:$D$17,3,0)*$AT363,0)</f>
        <v>0</v>
      </c>
      <c r="BG363" s="85">
        <f t="shared" si="232"/>
        <v>0</v>
      </c>
      <c r="BH363" s="83">
        <f t="shared" si="233"/>
        <v>0</v>
      </c>
      <c r="BI363" s="85">
        <f t="shared" si="202"/>
        <v>0</v>
      </c>
      <c r="BJ363" s="85">
        <f t="shared" si="234"/>
        <v>0</v>
      </c>
      <c r="BK363" s="85">
        <f t="shared" si="235"/>
        <v>0</v>
      </c>
      <c r="BL363" s="85">
        <f t="shared" si="206"/>
        <v>0</v>
      </c>
      <c r="BM363" s="85">
        <f t="shared" si="207"/>
        <v>0</v>
      </c>
      <c r="BN363" s="85">
        <f t="shared" si="208"/>
        <v>0</v>
      </c>
      <c r="BO363" s="46" t="s">
        <v>85</v>
      </c>
      <c r="BP363" s="46"/>
      <c r="BQ363" s="46"/>
      <c r="BU363" s="47">
        <f t="shared" si="210"/>
        <v>0</v>
      </c>
      <c r="BV363" s="53" t="s">
        <v>627</v>
      </c>
      <c r="BW363" s="53" t="s">
        <v>932</v>
      </c>
      <c r="BX363" s="53" t="s">
        <v>325</v>
      </c>
      <c r="BY363" s="53"/>
      <c r="BZ363" s="53"/>
    </row>
    <row r="364" spans="1:78">
      <c r="A364" s="42" t="s">
        <v>628</v>
      </c>
      <c r="B364" s="28" t="s">
        <v>79</v>
      </c>
      <c r="C364" s="28" t="s">
        <v>80</v>
      </c>
      <c r="D364" s="28" t="s">
        <v>932</v>
      </c>
      <c r="F364" s="28" t="s">
        <v>902</v>
      </c>
      <c r="G364" s="44" t="s">
        <v>847</v>
      </c>
      <c r="H364" s="45">
        <v>45166</v>
      </c>
      <c r="I364" s="46" t="s">
        <v>1010</v>
      </c>
      <c r="J364" s="28">
        <v>2</v>
      </c>
      <c r="K364" s="28" t="s">
        <v>93</v>
      </c>
      <c r="L364" s="28" t="s">
        <v>873</v>
      </c>
      <c r="M364" s="28" t="s">
        <v>9</v>
      </c>
      <c r="N364" s="28" t="str">
        <f t="shared" si="213"/>
        <v>AE1</v>
      </c>
      <c r="O364" s="81"/>
      <c r="P364" s="81">
        <f t="shared" si="214"/>
        <v>0</v>
      </c>
      <c r="Q364" s="81">
        <f t="shared" si="215"/>
        <v>0</v>
      </c>
      <c r="R364" s="81">
        <f t="shared" si="216"/>
        <v>0</v>
      </c>
      <c r="S364" s="81"/>
      <c r="T364" s="82">
        <f t="shared" si="217"/>
        <v>0</v>
      </c>
      <c r="U364" s="82">
        <f t="shared" si="218"/>
        <v>0</v>
      </c>
      <c r="V364" s="82">
        <f t="shared" si="219"/>
        <v>0</v>
      </c>
      <c r="W364" s="83">
        <v>0</v>
      </c>
      <c r="X364" s="83">
        <v>0</v>
      </c>
      <c r="Y364" s="83">
        <v>0</v>
      </c>
      <c r="Z364" s="84">
        <f>ROUND((IF(($O364&lt;=700000),0,IF(((VLOOKUP($M364,'Loyalty - Effec - 15July'!$B$5:$C$17,2,0)*$O364)&lt;=120000),(VLOOKUP($M364,'Loyalty - Effec - 15July'!$B$5:$C$17,2,0)*$O364),120000))),0)</f>
        <v>0</v>
      </c>
      <c r="AA364" s="84">
        <f>ROUND(VLOOKUP($M364,'Loyalty - Effec - 15July'!$B$5:$D$17,3,0)*$O364,0)</f>
        <v>0</v>
      </c>
      <c r="AB364" s="85">
        <f t="shared" si="220"/>
        <v>0</v>
      </c>
      <c r="AC364" s="86">
        <f t="shared" si="221"/>
        <v>0</v>
      </c>
      <c r="AD364" s="87">
        <f t="shared" si="222"/>
        <v>0</v>
      </c>
      <c r="AE364" s="88">
        <f t="shared" si="223"/>
        <v>0</v>
      </c>
      <c r="AF364" s="88">
        <f t="shared" si="224"/>
        <v>0</v>
      </c>
      <c r="AG364" s="49">
        <v>0</v>
      </c>
      <c r="AH364" s="49">
        <v>0</v>
      </c>
      <c r="AI364" s="50"/>
      <c r="AJ364" s="46"/>
      <c r="AK364" s="46"/>
      <c r="AL364" s="46"/>
      <c r="AM364" s="51">
        <f>IF($AL364=4,VLOOKUP($AR364,'Loyalty Incentive v1'!$L$3:$Q$15,2,FALSE),
IF($AL364=3,VLOOKUP($AR364,'Loyalty Incentive v1'!$L$3:$Q$15,3,FALSE),
IF($AL364=2,VLOOKUP($AR364,'Loyalty Incentive v1'!$L$3:$Q$15,4,FALSE),
IF($AL364=1,VLOOKUP($AR364,'Loyalty Incentive v1'!$L$3:$Q$15,5,FALSE),
IF($AL364=0,VLOOKUP($AR364,'Loyalty Incentive v1'!$L$3:$Q$15,6,FALSE),0)))))</f>
        <v>0</v>
      </c>
      <c r="AN364" s="51">
        <f>IFERROR(IF(I364&gt;="1",AM364,VLOOKUP(VALUE(I364),'Loyalty - Effec - 15July'!$I$5:$J$16,2,0)*AM364),0)</f>
        <v>0</v>
      </c>
      <c r="AO364" s="51">
        <v>0</v>
      </c>
      <c r="AP364" s="51">
        <f t="shared" si="225"/>
        <v>0</v>
      </c>
      <c r="AQ364" s="46" t="str">
        <f t="shared" si="203"/>
        <v>No</v>
      </c>
      <c r="AR364" s="46" t="str">
        <f t="shared" si="204"/>
        <v>AE1</v>
      </c>
      <c r="AS364" s="46" t="b">
        <f t="shared" si="205"/>
        <v>1</v>
      </c>
      <c r="AT364" s="82">
        <f t="shared" si="212"/>
        <v>0</v>
      </c>
      <c r="AU364" s="81">
        <f t="shared" si="226"/>
        <v>0</v>
      </c>
      <c r="AV364" s="81">
        <f t="shared" si="227"/>
        <v>0</v>
      </c>
      <c r="AW364" s="81">
        <f t="shared" si="228"/>
        <v>0</v>
      </c>
      <c r="AX364" s="85"/>
      <c r="AY364" s="81">
        <f t="shared" si="229"/>
        <v>0</v>
      </c>
      <c r="AZ364" s="83">
        <f t="shared" si="230"/>
        <v>0</v>
      </c>
      <c r="BA364" s="81">
        <f t="shared" si="231"/>
        <v>0</v>
      </c>
      <c r="BB364" s="83">
        <v>0</v>
      </c>
      <c r="BC364" s="83">
        <v>0</v>
      </c>
      <c r="BD364" s="83">
        <v>0</v>
      </c>
      <c r="BE364" s="84">
        <f>ROUND((IF(($AT364&lt;=700000),0,IF(((VLOOKUP($AR364,'Loyalty - Effec - 15July'!$B$5:$C$17,2,0)*$AT364)&lt;=120000),(VLOOKUP($AR364,'Loyalty - Effec - 15July'!$B$5:$C$17,2,0)*$AT364),120000))),0)</f>
        <v>0</v>
      </c>
      <c r="BF364" s="83">
        <f>ROUND(VLOOKUP($AR364,'Loyalty - Effec - 15July'!$B$5:$D$17,3,0)*$AT364,0)</f>
        <v>0</v>
      </c>
      <c r="BG364" s="85">
        <f t="shared" si="232"/>
        <v>0</v>
      </c>
      <c r="BH364" s="83">
        <f t="shared" si="233"/>
        <v>0</v>
      </c>
      <c r="BI364" s="85">
        <f t="shared" si="202"/>
        <v>0</v>
      </c>
      <c r="BJ364" s="85">
        <f t="shared" si="234"/>
        <v>0</v>
      </c>
      <c r="BK364" s="85">
        <f t="shared" si="235"/>
        <v>0</v>
      </c>
      <c r="BL364" s="85">
        <f t="shared" si="206"/>
        <v>0</v>
      </c>
      <c r="BM364" s="85">
        <f t="shared" si="207"/>
        <v>0</v>
      </c>
      <c r="BN364" s="85">
        <f t="shared" si="208"/>
        <v>0</v>
      </c>
      <c r="BO364" s="46" t="s">
        <v>85</v>
      </c>
      <c r="BP364" s="46"/>
      <c r="BQ364" s="46"/>
      <c r="BU364" s="47">
        <f t="shared" si="210"/>
        <v>0</v>
      </c>
      <c r="BV364" s="53" t="s">
        <v>628</v>
      </c>
      <c r="BW364" s="53" t="s">
        <v>932</v>
      </c>
      <c r="BX364" s="53" t="s">
        <v>847</v>
      </c>
      <c r="BY364" s="53"/>
      <c r="BZ364" s="53"/>
    </row>
    <row r="365" spans="1:78">
      <c r="A365" s="42" t="s">
        <v>629</v>
      </c>
      <c r="B365" s="28" t="s">
        <v>79</v>
      </c>
      <c r="C365" s="28" t="s">
        <v>80</v>
      </c>
      <c r="D365" s="28" t="s">
        <v>932</v>
      </c>
      <c r="F365" s="28" t="s">
        <v>902</v>
      </c>
      <c r="G365" s="44" t="s">
        <v>848</v>
      </c>
      <c r="H365" s="45">
        <v>45166</v>
      </c>
      <c r="I365" s="46" t="s">
        <v>1010</v>
      </c>
      <c r="J365" s="28">
        <v>2</v>
      </c>
      <c r="K365" s="28" t="s">
        <v>93</v>
      </c>
      <c r="L365" s="28" t="s">
        <v>873</v>
      </c>
      <c r="M365" s="28" t="s">
        <v>9</v>
      </c>
      <c r="N365" s="28" t="str">
        <f t="shared" si="213"/>
        <v>AE1</v>
      </c>
      <c r="O365" s="81"/>
      <c r="P365" s="81">
        <f t="shared" si="214"/>
        <v>0</v>
      </c>
      <c r="Q365" s="81">
        <f t="shared" si="215"/>
        <v>0</v>
      </c>
      <c r="R365" s="81">
        <f t="shared" si="216"/>
        <v>0</v>
      </c>
      <c r="S365" s="81"/>
      <c r="T365" s="82">
        <f t="shared" si="217"/>
        <v>0</v>
      </c>
      <c r="U365" s="82">
        <f t="shared" si="218"/>
        <v>0</v>
      </c>
      <c r="V365" s="82">
        <f t="shared" si="219"/>
        <v>0</v>
      </c>
      <c r="W365" s="83">
        <v>0</v>
      </c>
      <c r="X365" s="83">
        <v>0</v>
      </c>
      <c r="Y365" s="83">
        <v>0</v>
      </c>
      <c r="Z365" s="84">
        <f>ROUND((IF(($O365&lt;=700000),0,IF(((VLOOKUP($M365,'Loyalty - Effec - 15July'!$B$5:$C$17,2,0)*$O365)&lt;=120000),(VLOOKUP($M365,'Loyalty - Effec - 15July'!$B$5:$C$17,2,0)*$O365),120000))),0)</f>
        <v>0</v>
      </c>
      <c r="AA365" s="84">
        <f>ROUND(VLOOKUP($M365,'Loyalty - Effec - 15July'!$B$5:$D$17,3,0)*$O365,0)</f>
        <v>0</v>
      </c>
      <c r="AB365" s="85">
        <f t="shared" si="220"/>
        <v>0</v>
      </c>
      <c r="AC365" s="86">
        <f t="shared" si="221"/>
        <v>0</v>
      </c>
      <c r="AD365" s="87">
        <f t="shared" si="222"/>
        <v>0</v>
      </c>
      <c r="AE365" s="88">
        <f t="shared" si="223"/>
        <v>0</v>
      </c>
      <c r="AF365" s="88">
        <f t="shared" si="224"/>
        <v>0</v>
      </c>
      <c r="AG365" s="49">
        <v>0</v>
      </c>
      <c r="AH365" s="49">
        <v>0</v>
      </c>
      <c r="AI365" s="50"/>
      <c r="AJ365" s="46"/>
      <c r="AK365" s="46"/>
      <c r="AL365" s="46"/>
      <c r="AM365" s="51">
        <f>IF($AL365=4,VLOOKUP($AR365,'Loyalty Incentive v1'!$L$3:$Q$15,2,FALSE),
IF($AL365=3,VLOOKUP($AR365,'Loyalty Incentive v1'!$L$3:$Q$15,3,FALSE),
IF($AL365=2,VLOOKUP($AR365,'Loyalty Incentive v1'!$L$3:$Q$15,4,FALSE),
IF($AL365=1,VLOOKUP($AR365,'Loyalty Incentive v1'!$L$3:$Q$15,5,FALSE),
IF($AL365=0,VLOOKUP($AR365,'Loyalty Incentive v1'!$L$3:$Q$15,6,FALSE),0)))))</f>
        <v>0</v>
      </c>
      <c r="AN365" s="51">
        <f>IFERROR(IF(I365&gt;="1",AM365,VLOOKUP(VALUE(I365),'Loyalty - Effec - 15July'!$I$5:$J$16,2,0)*AM365),0)</f>
        <v>0</v>
      </c>
      <c r="AO365" s="51">
        <v>0</v>
      </c>
      <c r="AP365" s="51">
        <f t="shared" si="225"/>
        <v>0</v>
      </c>
      <c r="AQ365" s="46" t="str">
        <f t="shared" ref="AQ365:AQ379" si="236">IF((N365=AR365),"No","Yes")</f>
        <v>No</v>
      </c>
      <c r="AR365" s="46" t="str">
        <f t="shared" ref="AR365:AR379" si="237">N365</f>
        <v>AE1</v>
      </c>
      <c r="AS365" s="46" t="b">
        <f t="shared" ref="AS365:AS379" si="238">AR365=M365</f>
        <v>1</v>
      </c>
      <c r="AT365" s="82">
        <f t="shared" si="212"/>
        <v>0</v>
      </c>
      <c r="AU365" s="81">
        <f t="shared" si="226"/>
        <v>0</v>
      </c>
      <c r="AV365" s="81">
        <f t="shared" si="227"/>
        <v>0</v>
      </c>
      <c r="AW365" s="81">
        <f t="shared" si="228"/>
        <v>0</v>
      </c>
      <c r="AX365" s="85"/>
      <c r="AY365" s="81">
        <f t="shared" si="229"/>
        <v>0</v>
      </c>
      <c r="AZ365" s="83">
        <f t="shared" si="230"/>
        <v>0</v>
      </c>
      <c r="BA365" s="81">
        <f t="shared" si="231"/>
        <v>0</v>
      </c>
      <c r="BB365" s="83">
        <v>0</v>
      </c>
      <c r="BC365" s="83">
        <v>0</v>
      </c>
      <c r="BD365" s="83">
        <v>0</v>
      </c>
      <c r="BE365" s="84">
        <f>ROUND((IF(($AT365&lt;=700000),0,IF(((VLOOKUP($AR365,'Loyalty - Effec - 15July'!$B$5:$C$17,2,0)*$AT365)&lt;=120000),(VLOOKUP($AR365,'Loyalty - Effec - 15July'!$B$5:$C$17,2,0)*$AT365),120000))),0)</f>
        <v>0</v>
      </c>
      <c r="BF365" s="83">
        <f>ROUND(VLOOKUP($AR365,'Loyalty - Effec - 15July'!$B$5:$D$17,3,0)*$AT365,0)</f>
        <v>0</v>
      </c>
      <c r="BG365" s="85">
        <f t="shared" si="232"/>
        <v>0</v>
      </c>
      <c r="BH365" s="83">
        <f t="shared" si="233"/>
        <v>0</v>
      </c>
      <c r="BI365" s="85">
        <f t="shared" si="202"/>
        <v>0</v>
      </c>
      <c r="BJ365" s="85">
        <f t="shared" si="234"/>
        <v>0</v>
      </c>
      <c r="BK365" s="85">
        <f t="shared" si="235"/>
        <v>0</v>
      </c>
      <c r="BL365" s="85">
        <f t="shared" ref="BL365:BL379" si="239">BG365-AB365</f>
        <v>0</v>
      </c>
      <c r="BM365" s="85">
        <f t="shared" ref="BM365:BM379" si="240">BK365-AF365</f>
        <v>0</v>
      </c>
      <c r="BN365" s="85">
        <f t="shared" ref="BN365:BN379" si="241">BK365-AF365</f>
        <v>0</v>
      </c>
      <c r="BO365" s="46" t="s">
        <v>85</v>
      </c>
      <c r="BP365" s="46"/>
      <c r="BQ365" s="46"/>
      <c r="BU365" s="47">
        <f t="shared" si="210"/>
        <v>0</v>
      </c>
      <c r="BV365" s="53" t="s">
        <v>629</v>
      </c>
      <c r="BW365" s="53" t="s">
        <v>932</v>
      </c>
      <c r="BX365" s="53" t="s">
        <v>848</v>
      </c>
      <c r="BY365" s="53"/>
      <c r="BZ365" s="53"/>
    </row>
    <row r="366" spans="1:78">
      <c r="A366" s="42" t="s">
        <v>630</v>
      </c>
      <c r="B366" s="28" t="s">
        <v>79</v>
      </c>
      <c r="C366" s="28" t="s">
        <v>80</v>
      </c>
      <c r="D366" s="28" t="s">
        <v>932</v>
      </c>
      <c r="F366" s="28" t="s">
        <v>902</v>
      </c>
      <c r="G366" s="44" t="s">
        <v>849</v>
      </c>
      <c r="H366" s="45">
        <v>45166</v>
      </c>
      <c r="I366" s="46" t="s">
        <v>1010</v>
      </c>
      <c r="J366" s="28">
        <v>2</v>
      </c>
      <c r="K366" s="28" t="s">
        <v>93</v>
      </c>
      <c r="L366" s="28" t="s">
        <v>873</v>
      </c>
      <c r="M366" s="28" t="s">
        <v>9</v>
      </c>
      <c r="N366" s="28" t="str">
        <f t="shared" si="213"/>
        <v>AE1</v>
      </c>
      <c r="O366" s="81"/>
      <c r="P366" s="81">
        <f t="shared" si="214"/>
        <v>0</v>
      </c>
      <c r="Q366" s="81">
        <f t="shared" si="215"/>
        <v>0</v>
      </c>
      <c r="R366" s="81">
        <f t="shared" si="216"/>
        <v>0</v>
      </c>
      <c r="S366" s="81"/>
      <c r="T366" s="82">
        <f t="shared" si="217"/>
        <v>0</v>
      </c>
      <c r="U366" s="82">
        <f t="shared" si="218"/>
        <v>0</v>
      </c>
      <c r="V366" s="82">
        <f t="shared" si="219"/>
        <v>0</v>
      </c>
      <c r="W366" s="83">
        <v>0</v>
      </c>
      <c r="X366" s="83">
        <v>0</v>
      </c>
      <c r="Y366" s="83">
        <v>0</v>
      </c>
      <c r="Z366" s="84">
        <f>ROUND((IF(($O366&lt;=700000),0,IF(((VLOOKUP($M366,'Loyalty - Effec - 15July'!$B$5:$C$17,2,0)*$O366)&lt;=120000),(VLOOKUP($M366,'Loyalty - Effec - 15July'!$B$5:$C$17,2,0)*$O366),120000))),0)</f>
        <v>0</v>
      </c>
      <c r="AA366" s="84">
        <f>ROUND(VLOOKUP($M366,'Loyalty - Effec - 15July'!$B$5:$D$17,3,0)*$O366,0)</f>
        <v>0</v>
      </c>
      <c r="AB366" s="85">
        <f t="shared" si="220"/>
        <v>0</v>
      </c>
      <c r="AC366" s="86">
        <f t="shared" si="221"/>
        <v>0</v>
      </c>
      <c r="AD366" s="87">
        <f t="shared" si="222"/>
        <v>0</v>
      </c>
      <c r="AE366" s="88">
        <f t="shared" si="223"/>
        <v>0</v>
      </c>
      <c r="AF366" s="88">
        <f t="shared" si="224"/>
        <v>0</v>
      </c>
      <c r="AG366" s="49">
        <v>0</v>
      </c>
      <c r="AH366" s="49">
        <v>0</v>
      </c>
      <c r="AI366" s="50"/>
      <c r="AJ366" s="46"/>
      <c r="AK366" s="46"/>
      <c r="AL366" s="46"/>
      <c r="AM366" s="51">
        <f>IF($AL366=4,VLOOKUP($AR366,'Loyalty Incentive v1'!$L$3:$Q$15,2,FALSE),
IF($AL366=3,VLOOKUP($AR366,'Loyalty Incentive v1'!$L$3:$Q$15,3,FALSE),
IF($AL366=2,VLOOKUP($AR366,'Loyalty Incentive v1'!$L$3:$Q$15,4,FALSE),
IF($AL366=1,VLOOKUP($AR366,'Loyalty Incentive v1'!$L$3:$Q$15,5,FALSE),
IF($AL366=0,VLOOKUP($AR366,'Loyalty Incentive v1'!$L$3:$Q$15,6,FALSE),0)))))</f>
        <v>0</v>
      </c>
      <c r="AN366" s="51">
        <f>IFERROR(IF(I366&gt;="1",AM366,VLOOKUP(VALUE(I366),'Loyalty - Effec - 15July'!$I$5:$J$16,2,0)*AM366),0)</f>
        <v>0</v>
      </c>
      <c r="AO366" s="51">
        <v>0</v>
      </c>
      <c r="AP366" s="51">
        <f t="shared" si="225"/>
        <v>0</v>
      </c>
      <c r="AQ366" s="46" t="str">
        <f t="shared" si="236"/>
        <v>No</v>
      </c>
      <c r="AR366" s="46" t="str">
        <f t="shared" si="237"/>
        <v>AE1</v>
      </c>
      <c r="AS366" s="46" t="b">
        <f t="shared" si="238"/>
        <v>1</v>
      </c>
      <c r="AT366" s="82">
        <f t="shared" si="212"/>
        <v>0</v>
      </c>
      <c r="AU366" s="81">
        <f t="shared" si="226"/>
        <v>0</v>
      </c>
      <c r="AV366" s="81">
        <f t="shared" si="227"/>
        <v>0</v>
      </c>
      <c r="AW366" s="81">
        <f t="shared" si="228"/>
        <v>0</v>
      </c>
      <c r="AX366" s="85"/>
      <c r="AY366" s="81">
        <f t="shared" si="229"/>
        <v>0</v>
      </c>
      <c r="AZ366" s="83">
        <f t="shared" si="230"/>
        <v>0</v>
      </c>
      <c r="BA366" s="81">
        <f t="shared" si="231"/>
        <v>0</v>
      </c>
      <c r="BB366" s="83">
        <v>0</v>
      </c>
      <c r="BC366" s="83">
        <v>0</v>
      </c>
      <c r="BD366" s="83">
        <v>0</v>
      </c>
      <c r="BE366" s="84">
        <f>ROUND((IF(($AT366&lt;=700000),0,IF(((VLOOKUP($AR366,'Loyalty - Effec - 15July'!$B$5:$C$17,2,0)*$AT366)&lt;=120000),(VLOOKUP($AR366,'Loyalty - Effec - 15July'!$B$5:$C$17,2,0)*$AT366),120000))),0)</f>
        <v>0</v>
      </c>
      <c r="BF366" s="83">
        <f>ROUND(VLOOKUP($AR366,'Loyalty - Effec - 15July'!$B$5:$D$17,3,0)*$AT366,0)</f>
        <v>0</v>
      </c>
      <c r="BG366" s="85">
        <f t="shared" si="232"/>
        <v>0</v>
      </c>
      <c r="BH366" s="83">
        <f t="shared" si="233"/>
        <v>0</v>
      </c>
      <c r="BI366" s="85">
        <f t="shared" si="202"/>
        <v>0</v>
      </c>
      <c r="BJ366" s="85">
        <f t="shared" si="234"/>
        <v>0</v>
      </c>
      <c r="BK366" s="85">
        <f t="shared" si="235"/>
        <v>0</v>
      </c>
      <c r="BL366" s="85">
        <f t="shared" si="239"/>
        <v>0</v>
      </c>
      <c r="BM366" s="85">
        <f t="shared" si="240"/>
        <v>0</v>
      </c>
      <c r="BN366" s="85">
        <f t="shared" si="241"/>
        <v>0</v>
      </c>
      <c r="BO366" s="46" t="s">
        <v>85</v>
      </c>
      <c r="BP366" s="46"/>
      <c r="BQ366" s="46"/>
      <c r="BU366" s="47">
        <f t="shared" si="210"/>
        <v>0</v>
      </c>
      <c r="BV366" s="53" t="s">
        <v>630</v>
      </c>
      <c r="BW366" s="53" t="s">
        <v>932</v>
      </c>
      <c r="BX366" s="53" t="s">
        <v>849</v>
      </c>
      <c r="BY366" s="53"/>
      <c r="BZ366" s="53"/>
    </row>
    <row r="367" spans="1:78">
      <c r="A367" s="42" t="s">
        <v>631</v>
      </c>
      <c r="B367" s="28" t="s">
        <v>79</v>
      </c>
      <c r="C367" s="28" t="s">
        <v>80</v>
      </c>
      <c r="D367" s="28" t="s">
        <v>932</v>
      </c>
      <c r="F367" s="28" t="s">
        <v>901</v>
      </c>
      <c r="G367" s="44" t="s">
        <v>850</v>
      </c>
      <c r="H367" s="45">
        <v>45166</v>
      </c>
      <c r="I367" s="46" t="s">
        <v>1010</v>
      </c>
      <c r="J367" s="28">
        <v>2</v>
      </c>
      <c r="K367" s="28" t="s">
        <v>415</v>
      </c>
      <c r="L367" s="28" t="s">
        <v>900</v>
      </c>
      <c r="M367" s="28" t="s">
        <v>1</v>
      </c>
      <c r="N367" s="28" t="str">
        <f t="shared" si="213"/>
        <v>AE3</v>
      </c>
      <c r="O367" s="81"/>
      <c r="P367" s="81">
        <f t="shared" si="214"/>
        <v>0</v>
      </c>
      <c r="Q367" s="81">
        <f t="shared" si="215"/>
        <v>0</v>
      </c>
      <c r="R367" s="81">
        <f t="shared" si="216"/>
        <v>0</v>
      </c>
      <c r="S367" s="81"/>
      <c r="T367" s="82">
        <f t="shared" si="217"/>
        <v>0</v>
      </c>
      <c r="U367" s="82">
        <f t="shared" si="218"/>
        <v>0</v>
      </c>
      <c r="V367" s="82">
        <f t="shared" si="219"/>
        <v>0</v>
      </c>
      <c r="W367" s="83">
        <v>0</v>
      </c>
      <c r="X367" s="83">
        <v>0</v>
      </c>
      <c r="Y367" s="83">
        <v>0</v>
      </c>
      <c r="Z367" s="84">
        <f>ROUND((IF(($O367&lt;=700000),0,IF(((VLOOKUP($M367,'Loyalty - Effec - 15July'!$B$5:$C$17,2,0)*$O367)&lt;=120000),(VLOOKUP($M367,'Loyalty - Effec - 15July'!$B$5:$C$17,2,0)*$O367),120000))),0)</f>
        <v>0</v>
      </c>
      <c r="AA367" s="84">
        <f>ROUND(VLOOKUP($M367,'Loyalty - Effec - 15July'!$B$5:$D$17,3,0)*$O367,0)</f>
        <v>0</v>
      </c>
      <c r="AB367" s="85">
        <f t="shared" si="220"/>
        <v>0</v>
      </c>
      <c r="AC367" s="86">
        <f t="shared" si="221"/>
        <v>0</v>
      </c>
      <c r="AD367" s="87">
        <f t="shared" si="222"/>
        <v>0</v>
      </c>
      <c r="AE367" s="88">
        <f t="shared" si="223"/>
        <v>0</v>
      </c>
      <c r="AF367" s="88">
        <f t="shared" si="224"/>
        <v>0</v>
      </c>
      <c r="AG367" s="49" t="s">
        <v>829</v>
      </c>
      <c r="AH367" s="49" t="s">
        <v>926</v>
      </c>
      <c r="AI367" s="50"/>
      <c r="AJ367" s="46"/>
      <c r="AK367" s="46"/>
      <c r="AL367" s="46"/>
      <c r="AM367" s="51">
        <f>IF($AL367=4,VLOOKUP($AR367,'Loyalty Incentive v1'!$L$3:$Q$15,2,FALSE),
IF($AL367=3,VLOOKUP($AR367,'Loyalty Incentive v1'!$L$3:$Q$15,3,FALSE),
IF($AL367=2,VLOOKUP($AR367,'Loyalty Incentive v1'!$L$3:$Q$15,4,FALSE),
IF($AL367=1,VLOOKUP($AR367,'Loyalty Incentive v1'!$L$3:$Q$15,5,FALSE),
IF($AL367=0,VLOOKUP($AR367,'Loyalty Incentive v1'!$L$3:$Q$15,6,FALSE),0)))))</f>
        <v>0</v>
      </c>
      <c r="AN367" s="51">
        <f>IFERROR(IF(I367&gt;="1",AM367,VLOOKUP(VALUE(I367),'Loyalty - Effec - 15July'!$I$5:$J$16,2,0)*AM367),0)</f>
        <v>0</v>
      </c>
      <c r="AO367" s="51">
        <v>0</v>
      </c>
      <c r="AP367" s="51">
        <f t="shared" si="225"/>
        <v>0</v>
      </c>
      <c r="AQ367" s="46" t="str">
        <f t="shared" si="236"/>
        <v>No</v>
      </c>
      <c r="AR367" s="46" t="str">
        <f t="shared" si="237"/>
        <v>AE3</v>
      </c>
      <c r="AS367" s="46" t="b">
        <f t="shared" si="238"/>
        <v>1</v>
      </c>
      <c r="AT367" s="82">
        <f t="shared" ref="AT367:AT379" si="242">O367+(O367*AP367)</f>
        <v>0</v>
      </c>
      <c r="AU367" s="81">
        <f t="shared" si="226"/>
        <v>0</v>
      </c>
      <c r="AV367" s="81">
        <f t="shared" si="227"/>
        <v>0</v>
      </c>
      <c r="AW367" s="81">
        <f t="shared" si="228"/>
        <v>0</v>
      </c>
      <c r="AX367" s="85"/>
      <c r="AY367" s="81">
        <f t="shared" si="229"/>
        <v>0</v>
      </c>
      <c r="AZ367" s="83">
        <f t="shared" si="230"/>
        <v>0</v>
      </c>
      <c r="BA367" s="81">
        <f t="shared" si="231"/>
        <v>0</v>
      </c>
      <c r="BB367" s="83">
        <v>0</v>
      </c>
      <c r="BC367" s="83">
        <v>0</v>
      </c>
      <c r="BD367" s="83">
        <v>0</v>
      </c>
      <c r="BE367" s="84">
        <f>ROUND((IF(($AT367&lt;=700000),0,IF(((VLOOKUP($AR367,'Loyalty - Effec - 15July'!$B$5:$C$17,2,0)*$AT367)&lt;=120000),(VLOOKUP($AR367,'Loyalty - Effec - 15July'!$B$5:$C$17,2,0)*$AT367),120000))),0)</f>
        <v>0</v>
      </c>
      <c r="BF367" s="83">
        <f>ROUND(VLOOKUP($AR367,'Loyalty - Effec - 15July'!$B$5:$D$17,3,0)*$AT367,0)</f>
        <v>0</v>
      </c>
      <c r="BG367" s="85">
        <f t="shared" si="232"/>
        <v>0</v>
      </c>
      <c r="BH367" s="83">
        <f t="shared" si="233"/>
        <v>0</v>
      </c>
      <c r="BI367" s="85">
        <f t="shared" si="202"/>
        <v>0</v>
      </c>
      <c r="BJ367" s="85">
        <f t="shared" si="234"/>
        <v>0</v>
      </c>
      <c r="BK367" s="85">
        <f t="shared" si="235"/>
        <v>0</v>
      </c>
      <c r="BL367" s="85">
        <f t="shared" si="239"/>
        <v>0</v>
      </c>
      <c r="BM367" s="85">
        <f t="shared" si="240"/>
        <v>0</v>
      </c>
      <c r="BN367" s="85">
        <f t="shared" si="241"/>
        <v>0</v>
      </c>
      <c r="BO367" s="46" t="s">
        <v>85</v>
      </c>
      <c r="BP367" s="46"/>
      <c r="BQ367" s="46"/>
      <c r="BU367" s="47">
        <f t="shared" si="210"/>
        <v>0</v>
      </c>
      <c r="BV367" s="53" t="s">
        <v>631</v>
      </c>
      <c r="BW367" s="53" t="s">
        <v>932</v>
      </c>
      <c r="BX367" s="53" t="s">
        <v>850</v>
      </c>
      <c r="BY367" s="53"/>
      <c r="BZ367" s="53"/>
    </row>
    <row r="368" spans="1:78">
      <c r="A368" s="42" t="s">
        <v>632</v>
      </c>
      <c r="B368" s="28" t="s">
        <v>79</v>
      </c>
      <c r="C368" s="28" t="s">
        <v>80</v>
      </c>
      <c r="D368" s="28" t="s">
        <v>932</v>
      </c>
      <c r="F368" s="28" t="s">
        <v>901</v>
      </c>
      <c r="G368" s="44" t="s">
        <v>851</v>
      </c>
      <c r="H368" s="45">
        <v>45166</v>
      </c>
      <c r="I368" s="46" t="s">
        <v>1010</v>
      </c>
      <c r="J368" s="28">
        <v>2</v>
      </c>
      <c r="K368" s="28" t="s">
        <v>415</v>
      </c>
      <c r="L368" s="28" t="s">
        <v>900</v>
      </c>
      <c r="M368" s="28" t="s">
        <v>0</v>
      </c>
      <c r="N368" s="28" t="str">
        <f t="shared" si="213"/>
        <v>AE2</v>
      </c>
      <c r="O368" s="81"/>
      <c r="P368" s="81">
        <f t="shared" si="214"/>
        <v>0</v>
      </c>
      <c r="Q368" s="81">
        <f t="shared" si="215"/>
        <v>0</v>
      </c>
      <c r="R368" s="81">
        <f t="shared" si="216"/>
        <v>0</v>
      </c>
      <c r="S368" s="81"/>
      <c r="T368" s="82">
        <f t="shared" si="217"/>
        <v>0</v>
      </c>
      <c r="U368" s="82">
        <f t="shared" si="218"/>
        <v>0</v>
      </c>
      <c r="V368" s="82">
        <f t="shared" si="219"/>
        <v>0</v>
      </c>
      <c r="W368" s="83">
        <v>0</v>
      </c>
      <c r="X368" s="83">
        <v>0</v>
      </c>
      <c r="Y368" s="83">
        <v>0</v>
      </c>
      <c r="Z368" s="84">
        <f>ROUND((IF(($O368&lt;=700000),0,IF(((VLOOKUP($M368,'Loyalty - Effec - 15July'!$B$5:$C$17,2,0)*$O368)&lt;=120000),(VLOOKUP($M368,'Loyalty - Effec - 15July'!$B$5:$C$17,2,0)*$O368),120000))),0)</f>
        <v>0</v>
      </c>
      <c r="AA368" s="84">
        <f>ROUND(VLOOKUP($M368,'Loyalty - Effec - 15July'!$B$5:$D$17,3,0)*$O368,0)</f>
        <v>0</v>
      </c>
      <c r="AB368" s="85">
        <f t="shared" si="220"/>
        <v>0</v>
      </c>
      <c r="AC368" s="86">
        <f t="shared" si="221"/>
        <v>0</v>
      </c>
      <c r="AD368" s="87">
        <f t="shared" si="222"/>
        <v>0</v>
      </c>
      <c r="AE368" s="88">
        <f t="shared" si="223"/>
        <v>0</v>
      </c>
      <c r="AF368" s="88">
        <f t="shared" si="224"/>
        <v>0</v>
      </c>
      <c r="AG368" s="49" t="s">
        <v>829</v>
      </c>
      <c r="AH368" s="49" t="s">
        <v>926</v>
      </c>
      <c r="AI368" s="50"/>
      <c r="AJ368" s="46"/>
      <c r="AK368" s="46"/>
      <c r="AL368" s="46"/>
      <c r="AM368" s="51">
        <f>IF($AL368=4,VLOOKUP($AR368,'Loyalty Incentive v1'!$L$3:$Q$15,2,FALSE),
IF($AL368=3,VLOOKUP($AR368,'Loyalty Incentive v1'!$L$3:$Q$15,3,FALSE),
IF($AL368=2,VLOOKUP($AR368,'Loyalty Incentive v1'!$L$3:$Q$15,4,FALSE),
IF($AL368=1,VLOOKUP($AR368,'Loyalty Incentive v1'!$L$3:$Q$15,5,FALSE),
IF($AL368=0,VLOOKUP($AR368,'Loyalty Incentive v1'!$L$3:$Q$15,6,FALSE),0)))))</f>
        <v>0</v>
      </c>
      <c r="AN368" s="51">
        <f>IFERROR(IF(I368&gt;="1",AM368,VLOOKUP(VALUE(I368),'Loyalty - Effec - 15July'!$I$5:$J$16,2,0)*AM368),0)</f>
        <v>0</v>
      </c>
      <c r="AO368" s="51">
        <v>0</v>
      </c>
      <c r="AP368" s="51">
        <f t="shared" si="225"/>
        <v>0</v>
      </c>
      <c r="AQ368" s="46" t="str">
        <f t="shared" si="236"/>
        <v>No</v>
      </c>
      <c r="AR368" s="46" t="str">
        <f t="shared" si="237"/>
        <v>AE2</v>
      </c>
      <c r="AS368" s="46" t="b">
        <f t="shared" si="238"/>
        <v>1</v>
      </c>
      <c r="AT368" s="82">
        <f t="shared" si="242"/>
        <v>0</v>
      </c>
      <c r="AU368" s="81">
        <f t="shared" si="226"/>
        <v>0</v>
      </c>
      <c r="AV368" s="81">
        <f t="shared" si="227"/>
        <v>0</v>
      </c>
      <c r="AW368" s="81">
        <f t="shared" si="228"/>
        <v>0</v>
      </c>
      <c r="AX368" s="85"/>
      <c r="AY368" s="81">
        <f t="shared" si="229"/>
        <v>0</v>
      </c>
      <c r="AZ368" s="83">
        <f t="shared" si="230"/>
        <v>0</v>
      </c>
      <c r="BA368" s="81">
        <f t="shared" si="231"/>
        <v>0</v>
      </c>
      <c r="BB368" s="83">
        <v>0</v>
      </c>
      <c r="BC368" s="83">
        <v>0</v>
      </c>
      <c r="BD368" s="83">
        <v>0</v>
      </c>
      <c r="BE368" s="84">
        <f>ROUND((IF(($AT368&lt;=700000),0,IF(((VLOOKUP($AR368,'Loyalty - Effec - 15July'!$B$5:$C$17,2,0)*$AT368)&lt;=120000),(VLOOKUP($AR368,'Loyalty - Effec - 15July'!$B$5:$C$17,2,0)*$AT368),120000))),0)</f>
        <v>0</v>
      </c>
      <c r="BF368" s="83">
        <f>ROUND(VLOOKUP($AR368,'Loyalty - Effec - 15July'!$B$5:$D$17,3,0)*$AT368,0)</f>
        <v>0</v>
      </c>
      <c r="BG368" s="85">
        <f t="shared" si="232"/>
        <v>0</v>
      </c>
      <c r="BH368" s="83">
        <f t="shared" si="233"/>
        <v>0</v>
      </c>
      <c r="BI368" s="85">
        <f t="shared" si="202"/>
        <v>0</v>
      </c>
      <c r="BJ368" s="85">
        <f t="shared" si="234"/>
        <v>0</v>
      </c>
      <c r="BK368" s="85">
        <f t="shared" si="235"/>
        <v>0</v>
      </c>
      <c r="BL368" s="85">
        <f t="shared" si="239"/>
        <v>0</v>
      </c>
      <c r="BM368" s="85">
        <f t="shared" si="240"/>
        <v>0</v>
      </c>
      <c r="BN368" s="85">
        <f t="shared" si="241"/>
        <v>0</v>
      </c>
      <c r="BO368" s="46" t="s">
        <v>85</v>
      </c>
      <c r="BP368" s="46"/>
      <c r="BQ368" s="46"/>
      <c r="BU368" s="47">
        <f t="shared" si="210"/>
        <v>0</v>
      </c>
      <c r="BV368" s="53" t="s">
        <v>632</v>
      </c>
      <c r="BW368" s="53" t="s">
        <v>932</v>
      </c>
      <c r="BX368" s="53" t="s">
        <v>851</v>
      </c>
      <c r="BY368" s="53"/>
      <c r="BZ368" s="53"/>
    </row>
    <row r="369" spans="1:78">
      <c r="A369" s="42" t="s">
        <v>633</v>
      </c>
      <c r="B369" s="28" t="s">
        <v>79</v>
      </c>
      <c r="C369" s="28" t="s">
        <v>80</v>
      </c>
      <c r="D369" s="28" t="s">
        <v>932</v>
      </c>
      <c r="F369" s="28" t="s">
        <v>902</v>
      </c>
      <c r="G369" s="44" t="s">
        <v>852</v>
      </c>
      <c r="H369" s="45">
        <v>45167</v>
      </c>
      <c r="I369" s="46" t="s">
        <v>1010</v>
      </c>
      <c r="J369" s="28">
        <v>2</v>
      </c>
      <c r="K369" s="28" t="s">
        <v>93</v>
      </c>
      <c r="L369" s="28" t="s">
        <v>873</v>
      </c>
      <c r="M369" s="28" t="s">
        <v>9</v>
      </c>
      <c r="N369" s="28" t="str">
        <f t="shared" si="213"/>
        <v>AE1</v>
      </c>
      <c r="O369" s="81"/>
      <c r="P369" s="81">
        <f t="shared" si="214"/>
        <v>0</v>
      </c>
      <c r="Q369" s="81">
        <f t="shared" si="215"/>
        <v>0</v>
      </c>
      <c r="R369" s="81">
        <f t="shared" si="216"/>
        <v>0</v>
      </c>
      <c r="S369" s="81"/>
      <c r="T369" s="82">
        <f t="shared" si="217"/>
        <v>0</v>
      </c>
      <c r="U369" s="82">
        <f t="shared" si="218"/>
        <v>0</v>
      </c>
      <c r="V369" s="82">
        <f t="shared" si="219"/>
        <v>0</v>
      </c>
      <c r="W369" s="83">
        <v>0</v>
      </c>
      <c r="X369" s="83">
        <v>0</v>
      </c>
      <c r="Y369" s="83">
        <v>0</v>
      </c>
      <c r="Z369" s="84">
        <f>ROUND((IF(($O369&lt;=700000),0,IF(((VLOOKUP($M369,'Loyalty - Effec - 15July'!$B$5:$C$17,2,0)*$O369)&lt;=120000),(VLOOKUP($M369,'Loyalty - Effec - 15July'!$B$5:$C$17,2,0)*$O369),120000))),0)</f>
        <v>0</v>
      </c>
      <c r="AA369" s="84">
        <f>ROUND(VLOOKUP($M369,'Loyalty - Effec - 15July'!$B$5:$D$17,3,0)*$O369,0)</f>
        <v>0</v>
      </c>
      <c r="AB369" s="85">
        <f t="shared" si="220"/>
        <v>0</v>
      </c>
      <c r="AC369" s="86">
        <f t="shared" si="221"/>
        <v>0</v>
      </c>
      <c r="AD369" s="87">
        <f t="shared" si="222"/>
        <v>0</v>
      </c>
      <c r="AE369" s="88">
        <f t="shared" si="223"/>
        <v>0</v>
      </c>
      <c r="AF369" s="88">
        <f t="shared" si="224"/>
        <v>0</v>
      </c>
      <c r="AG369" s="49">
        <v>0</v>
      </c>
      <c r="AH369" s="49">
        <v>0</v>
      </c>
      <c r="AI369" s="50"/>
      <c r="AJ369" s="46"/>
      <c r="AK369" s="46"/>
      <c r="AL369" s="46"/>
      <c r="AM369" s="51">
        <f>IF($AL369=4,VLOOKUP($AR369,'Loyalty Incentive v1'!$L$3:$Q$15,2,FALSE),
IF($AL369=3,VLOOKUP($AR369,'Loyalty Incentive v1'!$L$3:$Q$15,3,FALSE),
IF($AL369=2,VLOOKUP($AR369,'Loyalty Incentive v1'!$L$3:$Q$15,4,FALSE),
IF($AL369=1,VLOOKUP($AR369,'Loyalty Incentive v1'!$L$3:$Q$15,5,FALSE),
IF($AL369=0,VLOOKUP($AR369,'Loyalty Incentive v1'!$L$3:$Q$15,6,FALSE),0)))))</f>
        <v>0</v>
      </c>
      <c r="AN369" s="51">
        <f>IFERROR(IF(I369&gt;="1",AM369,VLOOKUP(VALUE(I369),'Loyalty - Effec - 15July'!$I$5:$J$16,2,0)*AM369),0)</f>
        <v>0</v>
      </c>
      <c r="AO369" s="51">
        <v>0</v>
      </c>
      <c r="AP369" s="51">
        <f t="shared" si="225"/>
        <v>0</v>
      </c>
      <c r="AQ369" s="46" t="str">
        <f t="shared" si="236"/>
        <v>No</v>
      </c>
      <c r="AR369" s="46" t="str">
        <f t="shared" si="237"/>
        <v>AE1</v>
      </c>
      <c r="AS369" s="46" t="b">
        <f t="shared" si="238"/>
        <v>1</v>
      </c>
      <c r="AT369" s="82">
        <f t="shared" si="242"/>
        <v>0</v>
      </c>
      <c r="AU369" s="81">
        <f t="shared" si="226"/>
        <v>0</v>
      </c>
      <c r="AV369" s="81">
        <f t="shared" si="227"/>
        <v>0</v>
      </c>
      <c r="AW369" s="81">
        <f t="shared" si="228"/>
        <v>0</v>
      </c>
      <c r="AX369" s="85"/>
      <c r="AY369" s="81">
        <f t="shared" si="229"/>
        <v>0</v>
      </c>
      <c r="AZ369" s="83">
        <f t="shared" si="230"/>
        <v>0</v>
      </c>
      <c r="BA369" s="81">
        <f t="shared" si="231"/>
        <v>0</v>
      </c>
      <c r="BB369" s="83">
        <v>0</v>
      </c>
      <c r="BC369" s="83">
        <v>0</v>
      </c>
      <c r="BD369" s="83">
        <v>0</v>
      </c>
      <c r="BE369" s="84">
        <f>ROUND((IF(($AT369&lt;=700000),0,IF(((VLOOKUP($AR369,'Loyalty - Effec - 15July'!$B$5:$C$17,2,0)*$AT369)&lt;=120000),(VLOOKUP($AR369,'Loyalty - Effec - 15July'!$B$5:$C$17,2,0)*$AT369),120000))),0)</f>
        <v>0</v>
      </c>
      <c r="BF369" s="83">
        <f>ROUND(VLOOKUP($AR369,'Loyalty - Effec - 15July'!$B$5:$D$17,3,0)*$AT369,0)</f>
        <v>0</v>
      </c>
      <c r="BG369" s="85">
        <f t="shared" si="232"/>
        <v>0</v>
      </c>
      <c r="BH369" s="83">
        <f t="shared" si="233"/>
        <v>0</v>
      </c>
      <c r="BI369" s="85">
        <f t="shared" si="202"/>
        <v>0</v>
      </c>
      <c r="BJ369" s="85">
        <f t="shared" si="234"/>
        <v>0</v>
      </c>
      <c r="BK369" s="85">
        <f t="shared" si="235"/>
        <v>0</v>
      </c>
      <c r="BL369" s="85">
        <f t="shared" si="239"/>
        <v>0</v>
      </c>
      <c r="BM369" s="85">
        <f t="shared" si="240"/>
        <v>0</v>
      </c>
      <c r="BN369" s="85">
        <f t="shared" si="241"/>
        <v>0</v>
      </c>
      <c r="BO369" s="46" t="s">
        <v>85</v>
      </c>
      <c r="BP369" s="46"/>
      <c r="BQ369" s="46"/>
      <c r="BU369" s="47">
        <f t="shared" si="210"/>
        <v>0</v>
      </c>
      <c r="BV369" s="53" t="s">
        <v>633</v>
      </c>
      <c r="BW369" s="53" t="s">
        <v>932</v>
      </c>
      <c r="BX369" s="53" t="s">
        <v>852</v>
      </c>
      <c r="BY369" s="53"/>
      <c r="BZ369" s="53"/>
    </row>
    <row r="370" spans="1:78">
      <c r="A370" s="42" t="s">
        <v>634</v>
      </c>
      <c r="B370" s="28" t="s">
        <v>79</v>
      </c>
      <c r="C370" s="28" t="s">
        <v>80</v>
      </c>
      <c r="D370" s="28" t="s">
        <v>932</v>
      </c>
      <c r="F370" s="28" t="s">
        <v>901</v>
      </c>
      <c r="G370" s="44" t="s">
        <v>853</v>
      </c>
      <c r="H370" s="45">
        <v>45173</v>
      </c>
      <c r="I370" s="46" t="s">
        <v>966</v>
      </c>
      <c r="J370" s="28">
        <v>2</v>
      </c>
      <c r="K370" s="28" t="s">
        <v>93</v>
      </c>
      <c r="L370" s="28" t="s">
        <v>873</v>
      </c>
      <c r="M370" s="28" t="s">
        <v>9</v>
      </c>
      <c r="N370" s="28" t="str">
        <f t="shared" si="213"/>
        <v>AE1</v>
      </c>
      <c r="O370" s="81"/>
      <c r="P370" s="81">
        <f t="shared" si="214"/>
        <v>0</v>
      </c>
      <c r="Q370" s="81">
        <f t="shared" si="215"/>
        <v>0</v>
      </c>
      <c r="R370" s="81">
        <f t="shared" si="216"/>
        <v>0</v>
      </c>
      <c r="S370" s="81"/>
      <c r="T370" s="82">
        <f t="shared" si="217"/>
        <v>0</v>
      </c>
      <c r="U370" s="82">
        <f t="shared" si="218"/>
        <v>0</v>
      </c>
      <c r="V370" s="82">
        <f t="shared" si="219"/>
        <v>0</v>
      </c>
      <c r="W370" s="83">
        <v>0</v>
      </c>
      <c r="X370" s="83">
        <v>0</v>
      </c>
      <c r="Y370" s="83">
        <v>0</v>
      </c>
      <c r="Z370" s="84">
        <f>ROUND((IF(($O370&lt;=700000),0,IF(((VLOOKUP($M370,'Loyalty - Effec - 15July'!$B$5:$C$17,2,0)*$O370)&lt;=120000),(VLOOKUP($M370,'Loyalty - Effec - 15July'!$B$5:$C$17,2,0)*$O370),120000))),0)</f>
        <v>0</v>
      </c>
      <c r="AA370" s="84">
        <f>ROUND(VLOOKUP($M370,'Loyalty - Effec - 15July'!$B$5:$D$17,3,0)*$O370,0)</f>
        <v>0</v>
      </c>
      <c r="AB370" s="85">
        <f t="shared" si="220"/>
        <v>0</v>
      </c>
      <c r="AC370" s="86">
        <f t="shared" si="221"/>
        <v>0</v>
      </c>
      <c r="AD370" s="87">
        <f t="shared" si="222"/>
        <v>0</v>
      </c>
      <c r="AE370" s="88">
        <f t="shared" si="223"/>
        <v>0</v>
      </c>
      <c r="AF370" s="88">
        <f t="shared" si="224"/>
        <v>0</v>
      </c>
      <c r="AG370" s="49">
        <v>0</v>
      </c>
      <c r="AH370" s="49">
        <v>0</v>
      </c>
      <c r="AI370" s="50"/>
      <c r="AJ370" s="46"/>
      <c r="AK370" s="46"/>
      <c r="AL370" s="46"/>
      <c r="AM370" s="51">
        <f>IF($AL370=4,VLOOKUP($AR370,'Loyalty Incentive v1'!$L$3:$Q$15,2,FALSE),
IF($AL370=3,VLOOKUP($AR370,'Loyalty Incentive v1'!$L$3:$Q$15,3,FALSE),
IF($AL370=2,VLOOKUP($AR370,'Loyalty Incentive v1'!$L$3:$Q$15,4,FALSE),
IF($AL370=1,VLOOKUP($AR370,'Loyalty Incentive v1'!$L$3:$Q$15,5,FALSE),
IF($AL370=0,VLOOKUP($AR370,'Loyalty Incentive v1'!$L$3:$Q$15,6,FALSE),0)))))</f>
        <v>0</v>
      </c>
      <c r="AN370" s="51">
        <f>IFERROR(IF(I370&gt;="1",AM370,VLOOKUP(VALUE(I370),'Loyalty - Effec - 15July'!$I$5:$J$16,2,0)*AM370),0)</f>
        <v>0</v>
      </c>
      <c r="AO370" s="51">
        <v>0</v>
      </c>
      <c r="AP370" s="51">
        <f t="shared" si="225"/>
        <v>0</v>
      </c>
      <c r="AQ370" s="46" t="str">
        <f t="shared" si="236"/>
        <v>No</v>
      </c>
      <c r="AR370" s="46" t="str">
        <f t="shared" si="237"/>
        <v>AE1</v>
      </c>
      <c r="AS370" s="46" t="b">
        <f t="shared" si="238"/>
        <v>1</v>
      </c>
      <c r="AT370" s="82">
        <f t="shared" si="242"/>
        <v>0</v>
      </c>
      <c r="AU370" s="81">
        <f t="shared" si="226"/>
        <v>0</v>
      </c>
      <c r="AV370" s="81">
        <f t="shared" si="227"/>
        <v>0</v>
      </c>
      <c r="AW370" s="81">
        <f t="shared" si="228"/>
        <v>0</v>
      </c>
      <c r="AX370" s="85"/>
      <c r="AY370" s="81">
        <f t="shared" si="229"/>
        <v>0</v>
      </c>
      <c r="AZ370" s="83">
        <f t="shared" si="230"/>
        <v>0</v>
      </c>
      <c r="BA370" s="81">
        <f t="shared" si="231"/>
        <v>0</v>
      </c>
      <c r="BB370" s="83">
        <v>0</v>
      </c>
      <c r="BC370" s="83">
        <v>0</v>
      </c>
      <c r="BD370" s="83">
        <v>0</v>
      </c>
      <c r="BE370" s="84">
        <f>ROUND((IF(($AT370&lt;=700000),0,IF(((VLOOKUP($AR370,'Loyalty - Effec - 15July'!$B$5:$C$17,2,0)*$AT370)&lt;=120000),(VLOOKUP($AR370,'Loyalty - Effec - 15July'!$B$5:$C$17,2,0)*$AT370),120000))),0)</f>
        <v>0</v>
      </c>
      <c r="BF370" s="83">
        <f>ROUND(VLOOKUP($AR370,'Loyalty - Effec - 15July'!$B$5:$D$17,3,0)*$AT370,0)</f>
        <v>0</v>
      </c>
      <c r="BG370" s="85">
        <f t="shared" si="232"/>
        <v>0</v>
      </c>
      <c r="BH370" s="83">
        <f t="shared" si="233"/>
        <v>0</v>
      </c>
      <c r="BI370" s="85">
        <f t="shared" ref="BI370:BI393" si="243">AT370-BG370</f>
        <v>0</v>
      </c>
      <c r="BJ370" s="85">
        <f t="shared" si="234"/>
        <v>0</v>
      </c>
      <c r="BK370" s="85">
        <f t="shared" si="235"/>
        <v>0</v>
      </c>
      <c r="BL370" s="85">
        <f t="shared" si="239"/>
        <v>0</v>
      </c>
      <c r="BM370" s="85">
        <f t="shared" si="240"/>
        <v>0</v>
      </c>
      <c r="BN370" s="85">
        <f t="shared" si="241"/>
        <v>0</v>
      </c>
      <c r="BO370" s="46" t="s">
        <v>85</v>
      </c>
      <c r="BP370" s="46"/>
      <c r="BQ370" s="46"/>
      <c r="BU370" s="47">
        <f t="shared" si="210"/>
        <v>0</v>
      </c>
      <c r="BV370" s="53" t="s">
        <v>634</v>
      </c>
      <c r="BW370" s="53" t="s">
        <v>932</v>
      </c>
      <c r="BX370" s="53" t="s">
        <v>853</v>
      </c>
      <c r="BY370" s="53"/>
      <c r="BZ370" s="53"/>
    </row>
    <row r="371" spans="1:78">
      <c r="A371" s="42" t="s">
        <v>635</v>
      </c>
      <c r="B371" s="28" t="s">
        <v>79</v>
      </c>
      <c r="C371" s="28" t="s">
        <v>80</v>
      </c>
      <c r="D371" s="28" t="s">
        <v>932</v>
      </c>
      <c r="F371" s="28" t="s">
        <v>901</v>
      </c>
      <c r="G371" s="44" t="s">
        <v>854</v>
      </c>
      <c r="H371" s="45">
        <v>45173</v>
      </c>
      <c r="I371" s="46" t="s">
        <v>966</v>
      </c>
      <c r="J371" s="28">
        <v>2</v>
      </c>
      <c r="K371" s="28" t="s">
        <v>93</v>
      </c>
      <c r="L371" s="28" t="s">
        <v>873</v>
      </c>
      <c r="M371" s="28" t="s">
        <v>9</v>
      </c>
      <c r="N371" s="28" t="str">
        <f t="shared" si="213"/>
        <v>AE1</v>
      </c>
      <c r="O371" s="81"/>
      <c r="P371" s="81">
        <f t="shared" si="214"/>
        <v>0</v>
      </c>
      <c r="Q371" s="81">
        <f t="shared" si="215"/>
        <v>0</v>
      </c>
      <c r="R371" s="81">
        <f t="shared" si="216"/>
        <v>0</v>
      </c>
      <c r="S371" s="81"/>
      <c r="T371" s="82">
        <f t="shared" si="217"/>
        <v>0</v>
      </c>
      <c r="U371" s="82">
        <f t="shared" si="218"/>
        <v>0</v>
      </c>
      <c r="V371" s="82">
        <f t="shared" si="219"/>
        <v>0</v>
      </c>
      <c r="W371" s="83">
        <v>0</v>
      </c>
      <c r="X371" s="83">
        <v>0</v>
      </c>
      <c r="Y371" s="83">
        <v>0</v>
      </c>
      <c r="Z371" s="84">
        <f>ROUND((IF(($O371&lt;=700000),0,IF(((VLOOKUP($M371,'Loyalty - Effec - 15July'!$B$5:$C$17,2,0)*$O371)&lt;=120000),(VLOOKUP($M371,'Loyalty - Effec - 15July'!$B$5:$C$17,2,0)*$O371),120000))),0)</f>
        <v>0</v>
      </c>
      <c r="AA371" s="84">
        <f>ROUND(VLOOKUP($M371,'Loyalty - Effec - 15July'!$B$5:$D$17,3,0)*$O371,0)</f>
        <v>0</v>
      </c>
      <c r="AB371" s="85">
        <f t="shared" si="220"/>
        <v>0</v>
      </c>
      <c r="AC371" s="86">
        <f t="shared" si="221"/>
        <v>0</v>
      </c>
      <c r="AD371" s="87">
        <f t="shared" si="222"/>
        <v>0</v>
      </c>
      <c r="AE371" s="88">
        <f t="shared" si="223"/>
        <v>0</v>
      </c>
      <c r="AF371" s="88">
        <f t="shared" si="224"/>
        <v>0</v>
      </c>
      <c r="AG371" s="49">
        <v>0</v>
      </c>
      <c r="AH371" s="49">
        <v>0</v>
      </c>
      <c r="AI371" s="50"/>
      <c r="AJ371" s="46"/>
      <c r="AK371" s="46"/>
      <c r="AL371" s="46"/>
      <c r="AM371" s="51">
        <f>IF($AL371=4,VLOOKUP($AR371,'Loyalty Incentive v1'!$L$3:$Q$15,2,FALSE),
IF($AL371=3,VLOOKUP($AR371,'Loyalty Incentive v1'!$L$3:$Q$15,3,FALSE),
IF($AL371=2,VLOOKUP($AR371,'Loyalty Incentive v1'!$L$3:$Q$15,4,FALSE),
IF($AL371=1,VLOOKUP($AR371,'Loyalty Incentive v1'!$L$3:$Q$15,5,FALSE),
IF($AL371=0,VLOOKUP($AR371,'Loyalty Incentive v1'!$L$3:$Q$15,6,FALSE),0)))))</f>
        <v>0</v>
      </c>
      <c r="AN371" s="51">
        <f>IFERROR(IF(I371&gt;="1",AM371,VLOOKUP(VALUE(I371),'Loyalty - Effec - 15July'!$I$5:$J$16,2,0)*AM371),0)</f>
        <v>0</v>
      </c>
      <c r="AO371" s="51">
        <v>0</v>
      </c>
      <c r="AP371" s="51">
        <f t="shared" si="225"/>
        <v>0</v>
      </c>
      <c r="AQ371" s="46" t="str">
        <f t="shared" si="236"/>
        <v>No</v>
      </c>
      <c r="AR371" s="46" t="str">
        <f t="shared" si="237"/>
        <v>AE1</v>
      </c>
      <c r="AS371" s="46" t="b">
        <f t="shared" si="238"/>
        <v>1</v>
      </c>
      <c r="AT371" s="82">
        <f t="shared" si="242"/>
        <v>0</v>
      </c>
      <c r="AU371" s="81">
        <f t="shared" si="226"/>
        <v>0</v>
      </c>
      <c r="AV371" s="81">
        <f t="shared" si="227"/>
        <v>0</v>
      </c>
      <c r="AW371" s="81">
        <f t="shared" si="228"/>
        <v>0</v>
      </c>
      <c r="AX371" s="85"/>
      <c r="AY371" s="81">
        <f t="shared" si="229"/>
        <v>0</v>
      </c>
      <c r="AZ371" s="83">
        <f t="shared" si="230"/>
        <v>0</v>
      </c>
      <c r="BA371" s="81">
        <f t="shared" si="231"/>
        <v>0</v>
      </c>
      <c r="BB371" s="83">
        <v>0</v>
      </c>
      <c r="BC371" s="83">
        <v>0</v>
      </c>
      <c r="BD371" s="83">
        <v>0</v>
      </c>
      <c r="BE371" s="84">
        <f>ROUND((IF(($AT371&lt;=700000),0,IF(((VLOOKUP($AR371,'Loyalty - Effec - 15July'!$B$5:$C$17,2,0)*$AT371)&lt;=120000),(VLOOKUP($AR371,'Loyalty - Effec - 15July'!$B$5:$C$17,2,0)*$AT371),120000))),0)</f>
        <v>0</v>
      </c>
      <c r="BF371" s="83">
        <f>ROUND(VLOOKUP($AR371,'Loyalty - Effec - 15July'!$B$5:$D$17,3,0)*$AT371,0)</f>
        <v>0</v>
      </c>
      <c r="BG371" s="85">
        <f t="shared" si="232"/>
        <v>0</v>
      </c>
      <c r="BH371" s="83">
        <f t="shared" si="233"/>
        <v>0</v>
      </c>
      <c r="BI371" s="85">
        <f t="shared" si="243"/>
        <v>0</v>
      </c>
      <c r="BJ371" s="85">
        <f t="shared" si="234"/>
        <v>0</v>
      </c>
      <c r="BK371" s="85">
        <f t="shared" si="235"/>
        <v>0</v>
      </c>
      <c r="BL371" s="85">
        <f t="shared" si="239"/>
        <v>0</v>
      </c>
      <c r="BM371" s="85">
        <f t="shared" si="240"/>
        <v>0</v>
      </c>
      <c r="BN371" s="85">
        <f t="shared" si="241"/>
        <v>0</v>
      </c>
      <c r="BO371" s="46" t="s">
        <v>85</v>
      </c>
      <c r="BP371" s="46"/>
      <c r="BQ371" s="46"/>
      <c r="BU371" s="47">
        <f t="shared" si="210"/>
        <v>0</v>
      </c>
      <c r="BV371" s="53" t="s">
        <v>635</v>
      </c>
      <c r="BW371" s="53" t="s">
        <v>932</v>
      </c>
      <c r="BX371" s="53" t="s">
        <v>854</v>
      </c>
      <c r="BY371" s="53"/>
      <c r="BZ371" s="53"/>
    </row>
    <row r="372" spans="1:78">
      <c r="A372" s="42" t="s">
        <v>636</v>
      </c>
      <c r="B372" s="28" t="s">
        <v>79</v>
      </c>
      <c r="C372" s="28" t="s">
        <v>80</v>
      </c>
      <c r="D372" s="28" t="s">
        <v>932</v>
      </c>
      <c r="F372" s="28" t="s">
        <v>901</v>
      </c>
      <c r="G372" s="44" t="s">
        <v>855</v>
      </c>
      <c r="H372" s="45">
        <v>45173</v>
      </c>
      <c r="I372" s="46" t="s">
        <v>966</v>
      </c>
      <c r="J372" s="28">
        <v>2</v>
      </c>
      <c r="K372" s="28" t="s">
        <v>93</v>
      </c>
      <c r="L372" s="28" t="s">
        <v>873</v>
      </c>
      <c r="M372" s="28" t="s">
        <v>9</v>
      </c>
      <c r="N372" s="28" t="str">
        <f t="shared" si="213"/>
        <v>AE1</v>
      </c>
      <c r="O372" s="81"/>
      <c r="P372" s="81">
        <f t="shared" si="214"/>
        <v>0</v>
      </c>
      <c r="Q372" s="81">
        <f t="shared" si="215"/>
        <v>0</v>
      </c>
      <c r="R372" s="81">
        <f t="shared" si="216"/>
        <v>0</v>
      </c>
      <c r="S372" s="81"/>
      <c r="T372" s="82">
        <f t="shared" si="217"/>
        <v>0</v>
      </c>
      <c r="U372" s="82">
        <f t="shared" si="218"/>
        <v>0</v>
      </c>
      <c r="V372" s="82">
        <f t="shared" si="219"/>
        <v>0</v>
      </c>
      <c r="W372" s="83">
        <v>0</v>
      </c>
      <c r="X372" s="83">
        <v>0</v>
      </c>
      <c r="Y372" s="83">
        <v>0</v>
      </c>
      <c r="Z372" s="84">
        <f>ROUND((IF(($O372&lt;=700000),0,IF(((VLOOKUP($M372,'Loyalty - Effec - 15July'!$B$5:$C$17,2,0)*$O372)&lt;=120000),(VLOOKUP($M372,'Loyalty - Effec - 15July'!$B$5:$C$17,2,0)*$O372),120000))),0)</f>
        <v>0</v>
      </c>
      <c r="AA372" s="84">
        <f>ROUND(VLOOKUP($M372,'Loyalty - Effec - 15July'!$B$5:$D$17,3,0)*$O372,0)</f>
        <v>0</v>
      </c>
      <c r="AB372" s="85">
        <f t="shared" si="220"/>
        <v>0</v>
      </c>
      <c r="AC372" s="86">
        <f t="shared" si="221"/>
        <v>0</v>
      </c>
      <c r="AD372" s="87">
        <f t="shared" si="222"/>
        <v>0</v>
      </c>
      <c r="AE372" s="88">
        <f t="shared" si="223"/>
        <v>0</v>
      </c>
      <c r="AF372" s="88">
        <f t="shared" si="224"/>
        <v>0</v>
      </c>
      <c r="AG372" s="49">
        <v>0</v>
      </c>
      <c r="AH372" s="49">
        <v>0</v>
      </c>
      <c r="AI372" s="50"/>
      <c r="AJ372" s="46"/>
      <c r="AK372" s="46"/>
      <c r="AL372" s="46"/>
      <c r="AM372" s="51">
        <f>IF($AL372=4,VLOOKUP($AR372,'Loyalty Incentive v1'!$L$3:$Q$15,2,FALSE),
IF($AL372=3,VLOOKUP($AR372,'Loyalty Incentive v1'!$L$3:$Q$15,3,FALSE),
IF($AL372=2,VLOOKUP($AR372,'Loyalty Incentive v1'!$L$3:$Q$15,4,FALSE),
IF($AL372=1,VLOOKUP($AR372,'Loyalty Incentive v1'!$L$3:$Q$15,5,FALSE),
IF($AL372=0,VLOOKUP($AR372,'Loyalty Incentive v1'!$L$3:$Q$15,6,FALSE),0)))))</f>
        <v>0</v>
      </c>
      <c r="AN372" s="51">
        <f>IFERROR(IF(I372&gt;="1",AM372,VLOOKUP(VALUE(I372),'Loyalty - Effec - 15July'!$I$5:$J$16,2,0)*AM372),0)</f>
        <v>0</v>
      </c>
      <c r="AO372" s="51">
        <v>0</v>
      </c>
      <c r="AP372" s="51">
        <f t="shared" si="225"/>
        <v>0</v>
      </c>
      <c r="AQ372" s="46" t="str">
        <f t="shared" si="236"/>
        <v>No</v>
      </c>
      <c r="AR372" s="46" t="str">
        <f t="shared" si="237"/>
        <v>AE1</v>
      </c>
      <c r="AS372" s="46" t="b">
        <f t="shared" si="238"/>
        <v>1</v>
      </c>
      <c r="AT372" s="82">
        <f t="shared" si="242"/>
        <v>0</v>
      </c>
      <c r="AU372" s="81">
        <f t="shared" si="226"/>
        <v>0</v>
      </c>
      <c r="AV372" s="81">
        <f t="shared" si="227"/>
        <v>0</v>
      </c>
      <c r="AW372" s="81">
        <f t="shared" si="228"/>
        <v>0</v>
      </c>
      <c r="AX372" s="85"/>
      <c r="AY372" s="81">
        <f t="shared" si="229"/>
        <v>0</v>
      </c>
      <c r="AZ372" s="83">
        <f t="shared" si="230"/>
        <v>0</v>
      </c>
      <c r="BA372" s="81">
        <f t="shared" si="231"/>
        <v>0</v>
      </c>
      <c r="BB372" s="83">
        <v>0</v>
      </c>
      <c r="BC372" s="83">
        <v>0</v>
      </c>
      <c r="BD372" s="83">
        <v>0</v>
      </c>
      <c r="BE372" s="84">
        <f>ROUND((IF(($AT372&lt;=700000),0,IF(((VLOOKUP($AR372,'Loyalty - Effec - 15July'!$B$5:$C$17,2,0)*$AT372)&lt;=120000),(VLOOKUP($AR372,'Loyalty - Effec - 15July'!$B$5:$C$17,2,0)*$AT372),120000))),0)</f>
        <v>0</v>
      </c>
      <c r="BF372" s="83">
        <f>ROUND(VLOOKUP($AR372,'Loyalty - Effec - 15July'!$B$5:$D$17,3,0)*$AT372,0)</f>
        <v>0</v>
      </c>
      <c r="BG372" s="85">
        <f t="shared" si="232"/>
        <v>0</v>
      </c>
      <c r="BH372" s="83">
        <f t="shared" si="233"/>
        <v>0</v>
      </c>
      <c r="BI372" s="85">
        <f t="shared" si="243"/>
        <v>0</v>
      </c>
      <c r="BJ372" s="85">
        <f t="shared" si="234"/>
        <v>0</v>
      </c>
      <c r="BK372" s="85">
        <f t="shared" si="235"/>
        <v>0</v>
      </c>
      <c r="BL372" s="85">
        <f t="shared" si="239"/>
        <v>0</v>
      </c>
      <c r="BM372" s="85">
        <f t="shared" si="240"/>
        <v>0</v>
      </c>
      <c r="BN372" s="85">
        <f t="shared" si="241"/>
        <v>0</v>
      </c>
      <c r="BO372" s="46" t="s">
        <v>85</v>
      </c>
      <c r="BP372" s="46"/>
      <c r="BQ372" s="46"/>
      <c r="BU372" s="47">
        <f t="shared" si="210"/>
        <v>0</v>
      </c>
      <c r="BV372" s="53" t="s">
        <v>636</v>
      </c>
      <c r="BW372" s="53" t="s">
        <v>932</v>
      </c>
      <c r="BX372" s="53" t="s">
        <v>855</v>
      </c>
      <c r="BY372" s="53"/>
      <c r="BZ372" s="53"/>
    </row>
    <row r="373" spans="1:78">
      <c r="A373" s="42" t="s">
        <v>637</v>
      </c>
      <c r="B373" s="28" t="s">
        <v>79</v>
      </c>
      <c r="C373" s="28" t="s">
        <v>80</v>
      </c>
      <c r="D373" s="28" t="s">
        <v>932</v>
      </c>
      <c r="F373" s="28" t="s">
        <v>901</v>
      </c>
      <c r="G373" s="44" t="s">
        <v>856</v>
      </c>
      <c r="H373" s="45">
        <v>45173</v>
      </c>
      <c r="I373" s="46" t="s">
        <v>966</v>
      </c>
      <c r="J373" s="28">
        <v>2</v>
      </c>
      <c r="K373" s="28" t="s">
        <v>93</v>
      </c>
      <c r="L373" s="28" t="s">
        <v>873</v>
      </c>
      <c r="M373" s="28" t="s">
        <v>9</v>
      </c>
      <c r="N373" s="28" t="str">
        <f t="shared" si="213"/>
        <v>AE1</v>
      </c>
      <c r="O373" s="81"/>
      <c r="P373" s="81">
        <f t="shared" si="214"/>
        <v>0</v>
      </c>
      <c r="Q373" s="81">
        <f t="shared" si="215"/>
        <v>0</v>
      </c>
      <c r="R373" s="81">
        <f t="shared" si="216"/>
        <v>0</v>
      </c>
      <c r="S373" s="81"/>
      <c r="T373" s="82">
        <f t="shared" si="217"/>
        <v>0</v>
      </c>
      <c r="U373" s="82">
        <f t="shared" si="218"/>
        <v>0</v>
      </c>
      <c r="V373" s="82">
        <f t="shared" si="219"/>
        <v>0</v>
      </c>
      <c r="W373" s="83">
        <v>0</v>
      </c>
      <c r="X373" s="83">
        <v>0</v>
      </c>
      <c r="Y373" s="83">
        <v>0</v>
      </c>
      <c r="Z373" s="84">
        <f>ROUND((IF(($O373&lt;=700000),0,IF(((VLOOKUP($M373,'Loyalty - Effec - 15July'!$B$5:$C$17,2,0)*$O373)&lt;=120000),(VLOOKUP($M373,'Loyalty - Effec - 15July'!$B$5:$C$17,2,0)*$O373),120000))),0)</f>
        <v>0</v>
      </c>
      <c r="AA373" s="84">
        <f>ROUND(VLOOKUP($M373,'Loyalty - Effec - 15July'!$B$5:$D$17,3,0)*$O373,0)</f>
        <v>0</v>
      </c>
      <c r="AB373" s="85">
        <f t="shared" si="220"/>
        <v>0</v>
      </c>
      <c r="AC373" s="86">
        <f t="shared" si="221"/>
        <v>0</v>
      </c>
      <c r="AD373" s="87">
        <f t="shared" si="222"/>
        <v>0</v>
      </c>
      <c r="AE373" s="88">
        <f t="shared" si="223"/>
        <v>0</v>
      </c>
      <c r="AF373" s="88">
        <f t="shared" si="224"/>
        <v>0</v>
      </c>
      <c r="AG373" s="49">
        <v>0</v>
      </c>
      <c r="AH373" s="49">
        <v>0</v>
      </c>
      <c r="AI373" s="50"/>
      <c r="AJ373" s="46"/>
      <c r="AK373" s="46"/>
      <c r="AL373" s="46"/>
      <c r="AM373" s="51">
        <f>IF($AL373=4,VLOOKUP($AR373,'Loyalty Incentive v1'!$L$3:$Q$15,2,FALSE),
IF($AL373=3,VLOOKUP($AR373,'Loyalty Incentive v1'!$L$3:$Q$15,3,FALSE),
IF($AL373=2,VLOOKUP($AR373,'Loyalty Incentive v1'!$L$3:$Q$15,4,FALSE),
IF($AL373=1,VLOOKUP($AR373,'Loyalty Incentive v1'!$L$3:$Q$15,5,FALSE),
IF($AL373=0,VLOOKUP($AR373,'Loyalty Incentive v1'!$L$3:$Q$15,6,FALSE),0)))))</f>
        <v>0</v>
      </c>
      <c r="AN373" s="51">
        <f>IFERROR(IF(I373&gt;="1",AM373,VLOOKUP(VALUE(I373),'Loyalty - Effec - 15July'!$I$5:$J$16,2,0)*AM373),0)</f>
        <v>0</v>
      </c>
      <c r="AO373" s="51">
        <v>0</v>
      </c>
      <c r="AP373" s="51">
        <f t="shared" si="225"/>
        <v>0</v>
      </c>
      <c r="AQ373" s="46" t="str">
        <f t="shared" si="236"/>
        <v>No</v>
      </c>
      <c r="AR373" s="46" t="str">
        <f t="shared" si="237"/>
        <v>AE1</v>
      </c>
      <c r="AS373" s="46" t="b">
        <f t="shared" si="238"/>
        <v>1</v>
      </c>
      <c r="AT373" s="82">
        <f t="shared" si="242"/>
        <v>0</v>
      </c>
      <c r="AU373" s="81">
        <f t="shared" si="226"/>
        <v>0</v>
      </c>
      <c r="AV373" s="81">
        <f t="shared" si="227"/>
        <v>0</v>
      </c>
      <c r="AW373" s="81">
        <f t="shared" si="228"/>
        <v>0</v>
      </c>
      <c r="AX373" s="85"/>
      <c r="AY373" s="81">
        <f t="shared" si="229"/>
        <v>0</v>
      </c>
      <c r="AZ373" s="83">
        <f t="shared" si="230"/>
        <v>0</v>
      </c>
      <c r="BA373" s="81">
        <f t="shared" si="231"/>
        <v>0</v>
      </c>
      <c r="BB373" s="83">
        <v>0</v>
      </c>
      <c r="BC373" s="83">
        <v>0</v>
      </c>
      <c r="BD373" s="83">
        <v>0</v>
      </c>
      <c r="BE373" s="84">
        <f>ROUND((IF(($AT373&lt;=700000),0,IF(((VLOOKUP($AR373,'Loyalty - Effec - 15July'!$B$5:$C$17,2,0)*$AT373)&lt;=120000),(VLOOKUP($AR373,'Loyalty - Effec - 15July'!$B$5:$C$17,2,0)*$AT373),120000))),0)</f>
        <v>0</v>
      </c>
      <c r="BF373" s="83">
        <f>ROUND(VLOOKUP($AR373,'Loyalty - Effec - 15July'!$B$5:$D$17,3,0)*$AT373,0)</f>
        <v>0</v>
      </c>
      <c r="BG373" s="85">
        <f t="shared" si="232"/>
        <v>0</v>
      </c>
      <c r="BH373" s="83">
        <f t="shared" si="233"/>
        <v>0</v>
      </c>
      <c r="BI373" s="85">
        <f t="shared" si="243"/>
        <v>0</v>
      </c>
      <c r="BJ373" s="85">
        <f t="shared" si="234"/>
        <v>0</v>
      </c>
      <c r="BK373" s="85">
        <f t="shared" si="235"/>
        <v>0</v>
      </c>
      <c r="BL373" s="85">
        <f t="shared" si="239"/>
        <v>0</v>
      </c>
      <c r="BM373" s="85">
        <f t="shared" si="240"/>
        <v>0</v>
      </c>
      <c r="BN373" s="85">
        <f t="shared" si="241"/>
        <v>0</v>
      </c>
      <c r="BO373" s="46" t="s">
        <v>85</v>
      </c>
      <c r="BP373" s="46"/>
      <c r="BQ373" s="46"/>
      <c r="BU373" s="47">
        <f t="shared" si="210"/>
        <v>0</v>
      </c>
      <c r="BV373" s="53" t="s">
        <v>637</v>
      </c>
      <c r="BW373" s="53" t="s">
        <v>932</v>
      </c>
      <c r="BX373" s="53" t="s">
        <v>856</v>
      </c>
      <c r="BY373" s="53"/>
      <c r="BZ373" s="53"/>
    </row>
    <row r="374" spans="1:78">
      <c r="A374" s="42" t="s">
        <v>638</v>
      </c>
      <c r="B374" s="28" t="s">
        <v>79</v>
      </c>
      <c r="C374" s="28" t="s">
        <v>80</v>
      </c>
      <c r="D374" s="28" t="s">
        <v>932</v>
      </c>
      <c r="F374" s="28" t="s">
        <v>901</v>
      </c>
      <c r="G374" s="44" t="s">
        <v>857</v>
      </c>
      <c r="H374" s="45">
        <v>45173</v>
      </c>
      <c r="I374" s="46" t="s">
        <v>966</v>
      </c>
      <c r="J374" s="28">
        <v>2</v>
      </c>
      <c r="K374" s="28" t="s">
        <v>93</v>
      </c>
      <c r="L374" s="28" t="s">
        <v>873</v>
      </c>
      <c r="M374" s="28" t="s">
        <v>9</v>
      </c>
      <c r="N374" s="28" t="str">
        <f t="shared" si="213"/>
        <v>AE1</v>
      </c>
      <c r="O374" s="81"/>
      <c r="P374" s="81">
        <f t="shared" si="214"/>
        <v>0</v>
      </c>
      <c r="Q374" s="81">
        <f t="shared" si="215"/>
        <v>0</v>
      </c>
      <c r="R374" s="81">
        <f t="shared" si="216"/>
        <v>0</v>
      </c>
      <c r="S374" s="81"/>
      <c r="T374" s="82">
        <f t="shared" si="217"/>
        <v>0</v>
      </c>
      <c r="U374" s="82">
        <f t="shared" si="218"/>
        <v>0</v>
      </c>
      <c r="V374" s="82">
        <f t="shared" si="219"/>
        <v>0</v>
      </c>
      <c r="W374" s="83">
        <v>0</v>
      </c>
      <c r="X374" s="83">
        <v>0</v>
      </c>
      <c r="Y374" s="83">
        <v>0</v>
      </c>
      <c r="Z374" s="84">
        <f>ROUND((IF(($O374&lt;=700000),0,IF(((VLOOKUP($M374,'Loyalty - Effec - 15July'!$B$5:$C$17,2,0)*$O374)&lt;=120000),(VLOOKUP($M374,'Loyalty - Effec - 15July'!$B$5:$C$17,2,0)*$O374),120000))),0)</f>
        <v>0</v>
      </c>
      <c r="AA374" s="84">
        <f>ROUND(VLOOKUP($M374,'Loyalty - Effec - 15July'!$B$5:$D$17,3,0)*$O374,0)</f>
        <v>0</v>
      </c>
      <c r="AB374" s="85">
        <f t="shared" si="220"/>
        <v>0</v>
      </c>
      <c r="AC374" s="86">
        <f t="shared" si="221"/>
        <v>0</v>
      </c>
      <c r="AD374" s="87">
        <f t="shared" si="222"/>
        <v>0</v>
      </c>
      <c r="AE374" s="88">
        <f t="shared" si="223"/>
        <v>0</v>
      </c>
      <c r="AF374" s="88">
        <f t="shared" si="224"/>
        <v>0</v>
      </c>
      <c r="AG374" s="49">
        <v>0</v>
      </c>
      <c r="AH374" s="49">
        <v>0</v>
      </c>
      <c r="AI374" s="50"/>
      <c r="AJ374" s="46"/>
      <c r="AK374" s="46"/>
      <c r="AL374" s="46"/>
      <c r="AM374" s="51">
        <f>IF($AL374=4,VLOOKUP($AR374,'Loyalty Incentive v1'!$L$3:$Q$15,2,FALSE),
IF($AL374=3,VLOOKUP($AR374,'Loyalty Incentive v1'!$L$3:$Q$15,3,FALSE),
IF($AL374=2,VLOOKUP($AR374,'Loyalty Incentive v1'!$L$3:$Q$15,4,FALSE),
IF($AL374=1,VLOOKUP($AR374,'Loyalty Incentive v1'!$L$3:$Q$15,5,FALSE),
IF($AL374=0,VLOOKUP($AR374,'Loyalty Incentive v1'!$L$3:$Q$15,6,FALSE),0)))))</f>
        <v>0</v>
      </c>
      <c r="AN374" s="51">
        <f>IFERROR(IF(I374&gt;="1",AM374,VLOOKUP(VALUE(I374),'Loyalty - Effec - 15July'!$I$5:$J$16,2,0)*AM374),0)</f>
        <v>0</v>
      </c>
      <c r="AO374" s="51">
        <v>0</v>
      </c>
      <c r="AP374" s="51">
        <f t="shared" si="225"/>
        <v>0</v>
      </c>
      <c r="AQ374" s="46" t="str">
        <f t="shared" si="236"/>
        <v>No</v>
      </c>
      <c r="AR374" s="46" t="str">
        <f t="shared" si="237"/>
        <v>AE1</v>
      </c>
      <c r="AS374" s="46" t="b">
        <f t="shared" si="238"/>
        <v>1</v>
      </c>
      <c r="AT374" s="82">
        <f t="shared" si="242"/>
        <v>0</v>
      </c>
      <c r="AU374" s="81">
        <f t="shared" si="226"/>
        <v>0</v>
      </c>
      <c r="AV374" s="81">
        <f t="shared" si="227"/>
        <v>0</v>
      </c>
      <c r="AW374" s="81">
        <f t="shared" si="228"/>
        <v>0</v>
      </c>
      <c r="AX374" s="85"/>
      <c r="AY374" s="81">
        <f t="shared" si="229"/>
        <v>0</v>
      </c>
      <c r="AZ374" s="83">
        <f t="shared" si="230"/>
        <v>0</v>
      </c>
      <c r="BA374" s="81">
        <f t="shared" si="231"/>
        <v>0</v>
      </c>
      <c r="BB374" s="83">
        <v>0</v>
      </c>
      <c r="BC374" s="83">
        <v>0</v>
      </c>
      <c r="BD374" s="83">
        <v>0</v>
      </c>
      <c r="BE374" s="84">
        <f>ROUND((IF(($AT374&lt;=700000),0,IF(((VLOOKUP($AR374,'Loyalty - Effec - 15July'!$B$5:$C$17,2,0)*$AT374)&lt;=120000),(VLOOKUP($AR374,'Loyalty - Effec - 15July'!$B$5:$C$17,2,0)*$AT374),120000))),0)</f>
        <v>0</v>
      </c>
      <c r="BF374" s="83">
        <f>ROUND(VLOOKUP($AR374,'Loyalty - Effec - 15July'!$B$5:$D$17,3,0)*$AT374,0)</f>
        <v>0</v>
      </c>
      <c r="BG374" s="85">
        <f t="shared" si="232"/>
        <v>0</v>
      </c>
      <c r="BH374" s="83">
        <f t="shared" si="233"/>
        <v>0</v>
      </c>
      <c r="BI374" s="85">
        <f t="shared" si="243"/>
        <v>0</v>
      </c>
      <c r="BJ374" s="85">
        <f t="shared" si="234"/>
        <v>0</v>
      </c>
      <c r="BK374" s="85">
        <f t="shared" si="235"/>
        <v>0</v>
      </c>
      <c r="BL374" s="85">
        <f t="shared" si="239"/>
        <v>0</v>
      </c>
      <c r="BM374" s="85">
        <f t="shared" si="240"/>
        <v>0</v>
      </c>
      <c r="BN374" s="85">
        <f t="shared" si="241"/>
        <v>0</v>
      </c>
      <c r="BO374" s="46" t="s">
        <v>85</v>
      </c>
      <c r="BP374" s="46"/>
      <c r="BQ374" s="46"/>
      <c r="BU374" s="47">
        <f t="shared" si="210"/>
        <v>0</v>
      </c>
      <c r="BV374" s="53" t="s">
        <v>638</v>
      </c>
      <c r="BW374" s="53" t="s">
        <v>932</v>
      </c>
      <c r="BX374" s="53" t="s">
        <v>857</v>
      </c>
      <c r="BY374" s="53"/>
      <c r="BZ374" s="53"/>
    </row>
    <row r="375" spans="1:78">
      <c r="A375" s="42" t="s">
        <v>639</v>
      </c>
      <c r="B375" s="28" t="s">
        <v>79</v>
      </c>
      <c r="C375" s="28" t="s">
        <v>80</v>
      </c>
      <c r="D375" s="28" t="s">
        <v>932</v>
      </c>
      <c r="F375" s="28" t="s">
        <v>901</v>
      </c>
      <c r="G375" s="44" t="s">
        <v>858</v>
      </c>
      <c r="H375" s="45">
        <v>45173</v>
      </c>
      <c r="I375" s="46" t="s">
        <v>966</v>
      </c>
      <c r="J375" s="28">
        <v>2</v>
      </c>
      <c r="K375" s="28" t="s">
        <v>93</v>
      </c>
      <c r="L375" s="28" t="s">
        <v>873</v>
      </c>
      <c r="M375" s="28" t="s">
        <v>9</v>
      </c>
      <c r="N375" s="28" t="str">
        <f t="shared" si="213"/>
        <v>AE1</v>
      </c>
      <c r="O375" s="81"/>
      <c r="P375" s="81">
        <f t="shared" si="214"/>
        <v>0</v>
      </c>
      <c r="Q375" s="81">
        <f t="shared" si="215"/>
        <v>0</v>
      </c>
      <c r="R375" s="81">
        <f t="shared" si="216"/>
        <v>0</v>
      </c>
      <c r="S375" s="81"/>
      <c r="T375" s="82">
        <f t="shared" si="217"/>
        <v>0</v>
      </c>
      <c r="U375" s="82">
        <f t="shared" si="218"/>
        <v>0</v>
      </c>
      <c r="V375" s="82">
        <f t="shared" si="219"/>
        <v>0</v>
      </c>
      <c r="W375" s="83">
        <v>0</v>
      </c>
      <c r="X375" s="83">
        <v>0</v>
      </c>
      <c r="Y375" s="83">
        <v>0</v>
      </c>
      <c r="Z375" s="84">
        <f>ROUND((IF(($O375&lt;=700000),0,IF(((VLOOKUP($M375,'Loyalty - Effec - 15July'!$B$5:$C$17,2,0)*$O375)&lt;=120000),(VLOOKUP($M375,'Loyalty - Effec - 15July'!$B$5:$C$17,2,0)*$O375),120000))),0)</f>
        <v>0</v>
      </c>
      <c r="AA375" s="84">
        <f>ROUND(VLOOKUP($M375,'Loyalty - Effec - 15July'!$B$5:$D$17,3,0)*$O375,0)</f>
        <v>0</v>
      </c>
      <c r="AB375" s="85">
        <f t="shared" si="220"/>
        <v>0</v>
      </c>
      <c r="AC375" s="86">
        <f t="shared" si="221"/>
        <v>0</v>
      </c>
      <c r="AD375" s="87">
        <f t="shared" si="222"/>
        <v>0</v>
      </c>
      <c r="AE375" s="88">
        <f t="shared" si="223"/>
        <v>0</v>
      </c>
      <c r="AF375" s="88">
        <f t="shared" si="224"/>
        <v>0</v>
      </c>
      <c r="AG375" s="49">
        <v>0</v>
      </c>
      <c r="AH375" s="49">
        <v>0</v>
      </c>
      <c r="AI375" s="50"/>
      <c r="AJ375" s="46"/>
      <c r="AK375" s="46"/>
      <c r="AL375" s="46"/>
      <c r="AM375" s="51">
        <f>IF($AL375=4,VLOOKUP($AR375,'Loyalty Incentive v1'!$L$3:$Q$15,2,FALSE),
IF($AL375=3,VLOOKUP($AR375,'Loyalty Incentive v1'!$L$3:$Q$15,3,FALSE),
IF($AL375=2,VLOOKUP($AR375,'Loyalty Incentive v1'!$L$3:$Q$15,4,FALSE),
IF($AL375=1,VLOOKUP($AR375,'Loyalty Incentive v1'!$L$3:$Q$15,5,FALSE),
IF($AL375=0,VLOOKUP($AR375,'Loyalty Incentive v1'!$L$3:$Q$15,6,FALSE),0)))))</f>
        <v>0</v>
      </c>
      <c r="AN375" s="51">
        <f>IFERROR(IF(I375&gt;="1",AM375,VLOOKUP(VALUE(I375),'Loyalty - Effec - 15July'!$I$5:$J$16,2,0)*AM375),0)</f>
        <v>0</v>
      </c>
      <c r="AO375" s="51">
        <v>0</v>
      </c>
      <c r="AP375" s="51">
        <f t="shared" si="225"/>
        <v>0</v>
      </c>
      <c r="AQ375" s="46" t="str">
        <f t="shared" si="236"/>
        <v>No</v>
      </c>
      <c r="AR375" s="46" t="str">
        <f t="shared" si="237"/>
        <v>AE1</v>
      </c>
      <c r="AS375" s="46" t="b">
        <f t="shared" si="238"/>
        <v>1</v>
      </c>
      <c r="AT375" s="82">
        <f t="shared" si="242"/>
        <v>0</v>
      </c>
      <c r="AU375" s="81">
        <f t="shared" si="226"/>
        <v>0</v>
      </c>
      <c r="AV375" s="81">
        <f t="shared" si="227"/>
        <v>0</v>
      </c>
      <c r="AW375" s="81">
        <f t="shared" si="228"/>
        <v>0</v>
      </c>
      <c r="AX375" s="85"/>
      <c r="AY375" s="81">
        <f t="shared" si="229"/>
        <v>0</v>
      </c>
      <c r="AZ375" s="83">
        <f t="shared" si="230"/>
        <v>0</v>
      </c>
      <c r="BA375" s="81">
        <f t="shared" si="231"/>
        <v>0</v>
      </c>
      <c r="BB375" s="83">
        <v>0</v>
      </c>
      <c r="BC375" s="83">
        <v>0</v>
      </c>
      <c r="BD375" s="83">
        <v>0</v>
      </c>
      <c r="BE375" s="84">
        <f>ROUND((IF(($AT375&lt;=700000),0,IF(((VLOOKUP($AR375,'Loyalty - Effec - 15July'!$B$5:$C$17,2,0)*$AT375)&lt;=120000),(VLOOKUP($AR375,'Loyalty - Effec - 15July'!$B$5:$C$17,2,0)*$AT375),120000))),0)</f>
        <v>0</v>
      </c>
      <c r="BF375" s="83">
        <f>ROUND(VLOOKUP($AR375,'Loyalty - Effec - 15July'!$B$5:$D$17,3,0)*$AT375,0)</f>
        <v>0</v>
      </c>
      <c r="BG375" s="85">
        <f t="shared" si="232"/>
        <v>0</v>
      </c>
      <c r="BH375" s="83">
        <f t="shared" si="233"/>
        <v>0</v>
      </c>
      <c r="BI375" s="85">
        <f t="shared" si="243"/>
        <v>0</v>
      </c>
      <c r="BJ375" s="85">
        <f t="shared" si="234"/>
        <v>0</v>
      </c>
      <c r="BK375" s="85">
        <f t="shared" si="235"/>
        <v>0</v>
      </c>
      <c r="BL375" s="85">
        <f t="shared" si="239"/>
        <v>0</v>
      </c>
      <c r="BM375" s="85">
        <f t="shared" si="240"/>
        <v>0</v>
      </c>
      <c r="BN375" s="85">
        <f t="shared" si="241"/>
        <v>0</v>
      </c>
      <c r="BO375" s="46" t="s">
        <v>85</v>
      </c>
      <c r="BP375" s="46"/>
      <c r="BQ375" s="46"/>
      <c r="BU375" s="47">
        <f t="shared" si="210"/>
        <v>0</v>
      </c>
      <c r="BV375" s="53" t="s">
        <v>639</v>
      </c>
      <c r="BW375" s="53" t="s">
        <v>932</v>
      </c>
      <c r="BX375" s="53" t="s">
        <v>858</v>
      </c>
      <c r="BY375" s="53"/>
      <c r="BZ375" s="53"/>
    </row>
    <row r="376" spans="1:78">
      <c r="A376" s="42" t="s">
        <v>640</v>
      </c>
      <c r="B376" s="28" t="s">
        <v>79</v>
      </c>
      <c r="C376" s="28" t="s">
        <v>80</v>
      </c>
      <c r="D376" s="28" t="s">
        <v>932</v>
      </c>
      <c r="F376" s="28" t="s">
        <v>901</v>
      </c>
      <c r="G376" s="44" t="s">
        <v>859</v>
      </c>
      <c r="H376" s="45">
        <v>45175</v>
      </c>
      <c r="I376" s="46" t="s">
        <v>966</v>
      </c>
      <c r="J376" s="28">
        <v>2</v>
      </c>
      <c r="K376" s="28" t="s">
        <v>93</v>
      </c>
      <c r="L376" s="28" t="s">
        <v>873</v>
      </c>
      <c r="M376" s="28" t="s">
        <v>1</v>
      </c>
      <c r="N376" s="28" t="str">
        <f t="shared" si="213"/>
        <v>AE3</v>
      </c>
      <c r="O376" s="81"/>
      <c r="P376" s="81">
        <f t="shared" si="214"/>
        <v>0</v>
      </c>
      <c r="Q376" s="81">
        <f t="shared" si="215"/>
        <v>0</v>
      </c>
      <c r="R376" s="81">
        <f t="shared" si="216"/>
        <v>0</v>
      </c>
      <c r="S376" s="81"/>
      <c r="T376" s="82">
        <f t="shared" si="217"/>
        <v>0</v>
      </c>
      <c r="U376" s="82">
        <f t="shared" si="218"/>
        <v>0</v>
      </c>
      <c r="V376" s="82">
        <f t="shared" si="219"/>
        <v>0</v>
      </c>
      <c r="W376" s="83">
        <v>0</v>
      </c>
      <c r="X376" s="83">
        <v>0</v>
      </c>
      <c r="Y376" s="83">
        <v>0</v>
      </c>
      <c r="Z376" s="84">
        <f>ROUND((IF(($O376&lt;=700000),0,IF(((VLOOKUP($M376,'Loyalty - Effec - 15July'!$B$5:$C$17,2,0)*$O376)&lt;=120000),(VLOOKUP($M376,'Loyalty - Effec - 15July'!$B$5:$C$17,2,0)*$O376),120000))),0)</f>
        <v>0</v>
      </c>
      <c r="AA376" s="84">
        <f>ROUND(VLOOKUP($M376,'Loyalty - Effec - 15July'!$B$5:$D$17,3,0)*$O376,0)</f>
        <v>0</v>
      </c>
      <c r="AB376" s="85">
        <f t="shared" si="220"/>
        <v>0</v>
      </c>
      <c r="AC376" s="86">
        <f t="shared" si="221"/>
        <v>0</v>
      </c>
      <c r="AD376" s="87">
        <f t="shared" si="222"/>
        <v>0</v>
      </c>
      <c r="AE376" s="88">
        <f t="shared" si="223"/>
        <v>0</v>
      </c>
      <c r="AF376" s="88">
        <f t="shared" si="224"/>
        <v>0</v>
      </c>
      <c r="AG376" s="49" t="s">
        <v>913</v>
      </c>
      <c r="AH376" s="49" t="s">
        <v>909</v>
      </c>
      <c r="AI376" s="50"/>
      <c r="AJ376" s="46"/>
      <c r="AK376" s="46"/>
      <c r="AL376" s="46"/>
      <c r="AM376" s="51">
        <f>IF($AL376=4,VLOOKUP($AR376,'Loyalty Incentive v1'!$L$3:$Q$15,2,FALSE),
IF($AL376=3,VLOOKUP($AR376,'Loyalty Incentive v1'!$L$3:$Q$15,3,FALSE),
IF($AL376=2,VLOOKUP($AR376,'Loyalty Incentive v1'!$L$3:$Q$15,4,FALSE),
IF($AL376=1,VLOOKUP($AR376,'Loyalty Incentive v1'!$L$3:$Q$15,5,FALSE),
IF($AL376=0,VLOOKUP($AR376,'Loyalty Incentive v1'!$L$3:$Q$15,6,FALSE),0)))))</f>
        <v>0</v>
      </c>
      <c r="AN376" s="51">
        <f>IFERROR(IF(I376&gt;="1",AM376,VLOOKUP(VALUE(I376),'Loyalty - Effec - 15July'!$I$5:$J$16,2,0)*AM376),0)</f>
        <v>0</v>
      </c>
      <c r="AO376" s="51">
        <v>0</v>
      </c>
      <c r="AP376" s="51">
        <f t="shared" si="225"/>
        <v>0</v>
      </c>
      <c r="AQ376" s="46" t="str">
        <f t="shared" si="236"/>
        <v>No</v>
      </c>
      <c r="AR376" s="46" t="str">
        <f t="shared" si="237"/>
        <v>AE3</v>
      </c>
      <c r="AS376" s="46" t="b">
        <f t="shared" si="238"/>
        <v>1</v>
      </c>
      <c r="AT376" s="82">
        <f t="shared" si="242"/>
        <v>0</v>
      </c>
      <c r="AU376" s="81">
        <f t="shared" si="226"/>
        <v>0</v>
      </c>
      <c r="AV376" s="81">
        <f t="shared" si="227"/>
        <v>0</v>
      </c>
      <c r="AW376" s="81">
        <f t="shared" si="228"/>
        <v>0</v>
      </c>
      <c r="AX376" s="85"/>
      <c r="AY376" s="81">
        <f t="shared" si="229"/>
        <v>0</v>
      </c>
      <c r="AZ376" s="83">
        <f t="shared" si="230"/>
        <v>0</v>
      </c>
      <c r="BA376" s="81">
        <f t="shared" si="231"/>
        <v>0</v>
      </c>
      <c r="BB376" s="83">
        <v>0</v>
      </c>
      <c r="BC376" s="83">
        <v>0</v>
      </c>
      <c r="BD376" s="83">
        <v>0</v>
      </c>
      <c r="BE376" s="84">
        <f>ROUND((IF(($AT376&lt;=700000),0,IF(((VLOOKUP($AR376,'Loyalty - Effec - 15July'!$B$5:$C$17,2,0)*$AT376)&lt;=120000),(VLOOKUP($AR376,'Loyalty - Effec - 15July'!$B$5:$C$17,2,0)*$AT376),120000))),0)</f>
        <v>0</v>
      </c>
      <c r="BF376" s="83">
        <f>ROUND(VLOOKUP($AR376,'Loyalty - Effec - 15July'!$B$5:$D$17,3,0)*$AT376,0)</f>
        <v>0</v>
      </c>
      <c r="BG376" s="85">
        <f t="shared" si="232"/>
        <v>0</v>
      </c>
      <c r="BH376" s="83">
        <f t="shared" si="233"/>
        <v>0</v>
      </c>
      <c r="BI376" s="85">
        <f t="shared" si="243"/>
        <v>0</v>
      </c>
      <c r="BJ376" s="85">
        <f t="shared" si="234"/>
        <v>0</v>
      </c>
      <c r="BK376" s="85">
        <f t="shared" si="235"/>
        <v>0</v>
      </c>
      <c r="BL376" s="85">
        <f t="shared" si="239"/>
        <v>0</v>
      </c>
      <c r="BM376" s="85">
        <f t="shared" si="240"/>
        <v>0</v>
      </c>
      <c r="BN376" s="85">
        <f t="shared" si="241"/>
        <v>0</v>
      </c>
      <c r="BO376" s="46" t="s">
        <v>85</v>
      </c>
      <c r="BP376" s="46"/>
      <c r="BQ376" s="46"/>
      <c r="BU376" s="47">
        <f t="shared" ref="BU376:BU394" si="244">AT376-BG376</f>
        <v>0</v>
      </c>
      <c r="BV376" s="53" t="s">
        <v>640</v>
      </c>
      <c r="BW376" s="53" t="s">
        <v>932</v>
      </c>
      <c r="BX376" s="53" t="s">
        <v>859</v>
      </c>
      <c r="BY376" s="53"/>
      <c r="BZ376" s="53"/>
    </row>
    <row r="377" spans="1:78">
      <c r="A377" s="42" t="s">
        <v>641</v>
      </c>
      <c r="B377" s="28" t="s">
        <v>79</v>
      </c>
      <c r="C377" s="28" t="s">
        <v>80</v>
      </c>
      <c r="D377" s="28" t="s">
        <v>932</v>
      </c>
      <c r="F377" s="28" t="s">
        <v>901</v>
      </c>
      <c r="G377" s="44" t="s">
        <v>860</v>
      </c>
      <c r="H377" s="45">
        <v>45175</v>
      </c>
      <c r="I377" s="46" t="s">
        <v>966</v>
      </c>
      <c r="J377" s="28">
        <v>2</v>
      </c>
      <c r="K377" s="28" t="s">
        <v>93</v>
      </c>
      <c r="L377" s="28" t="s">
        <v>873</v>
      </c>
      <c r="M377" s="28" t="s">
        <v>0</v>
      </c>
      <c r="N377" s="28" t="str">
        <f t="shared" si="213"/>
        <v>AE2</v>
      </c>
      <c r="O377" s="81"/>
      <c r="P377" s="81">
        <f t="shared" si="214"/>
        <v>0</v>
      </c>
      <c r="Q377" s="81">
        <f t="shared" si="215"/>
        <v>0</v>
      </c>
      <c r="R377" s="81">
        <f t="shared" si="216"/>
        <v>0</v>
      </c>
      <c r="S377" s="81"/>
      <c r="T377" s="82">
        <f t="shared" si="217"/>
        <v>0</v>
      </c>
      <c r="U377" s="82">
        <f t="shared" si="218"/>
        <v>0</v>
      </c>
      <c r="V377" s="82">
        <f t="shared" si="219"/>
        <v>0</v>
      </c>
      <c r="W377" s="83">
        <v>0</v>
      </c>
      <c r="X377" s="83">
        <v>0</v>
      </c>
      <c r="Y377" s="83">
        <v>0</v>
      </c>
      <c r="Z377" s="84">
        <f>ROUND((IF(($O377&lt;=700000),0,IF(((VLOOKUP($M377,'Loyalty - Effec - 15July'!$B$5:$C$17,2,0)*$O377)&lt;=120000),(VLOOKUP($M377,'Loyalty - Effec - 15July'!$B$5:$C$17,2,0)*$O377),120000))),0)</f>
        <v>0</v>
      </c>
      <c r="AA377" s="84">
        <f>ROUND(VLOOKUP($M377,'Loyalty - Effec - 15July'!$B$5:$D$17,3,0)*$O377,0)</f>
        <v>0</v>
      </c>
      <c r="AB377" s="85">
        <f t="shared" si="220"/>
        <v>0</v>
      </c>
      <c r="AC377" s="86">
        <f t="shared" si="221"/>
        <v>0</v>
      </c>
      <c r="AD377" s="87">
        <f t="shared" si="222"/>
        <v>0</v>
      </c>
      <c r="AE377" s="88">
        <f t="shared" si="223"/>
        <v>0</v>
      </c>
      <c r="AF377" s="88">
        <f t="shared" si="224"/>
        <v>0</v>
      </c>
      <c r="AG377" s="49" t="s">
        <v>913</v>
      </c>
      <c r="AH377" s="49" t="s">
        <v>909</v>
      </c>
      <c r="AI377" s="50"/>
      <c r="AJ377" s="46"/>
      <c r="AK377" s="46"/>
      <c r="AL377" s="46"/>
      <c r="AM377" s="51">
        <f>IF($AL377=4,VLOOKUP($AR377,'Loyalty Incentive v1'!$L$3:$Q$15,2,FALSE),
IF($AL377=3,VLOOKUP($AR377,'Loyalty Incentive v1'!$L$3:$Q$15,3,FALSE),
IF($AL377=2,VLOOKUP($AR377,'Loyalty Incentive v1'!$L$3:$Q$15,4,FALSE),
IF($AL377=1,VLOOKUP($AR377,'Loyalty Incentive v1'!$L$3:$Q$15,5,FALSE),
IF($AL377=0,VLOOKUP($AR377,'Loyalty Incentive v1'!$L$3:$Q$15,6,FALSE),0)))))</f>
        <v>0</v>
      </c>
      <c r="AN377" s="51">
        <f>IFERROR(IF(I377&gt;="1",AM377,VLOOKUP(VALUE(I377),'Loyalty - Effec - 15July'!$I$5:$J$16,2,0)*AM377),0)</f>
        <v>0</v>
      </c>
      <c r="AO377" s="51">
        <v>0</v>
      </c>
      <c r="AP377" s="51">
        <f t="shared" si="225"/>
        <v>0</v>
      </c>
      <c r="AQ377" s="46" t="str">
        <f t="shared" si="236"/>
        <v>No</v>
      </c>
      <c r="AR377" s="46" t="str">
        <f t="shared" si="237"/>
        <v>AE2</v>
      </c>
      <c r="AS377" s="46" t="b">
        <f t="shared" si="238"/>
        <v>1</v>
      </c>
      <c r="AT377" s="82">
        <f t="shared" si="242"/>
        <v>0</v>
      </c>
      <c r="AU377" s="81">
        <f t="shared" si="226"/>
        <v>0</v>
      </c>
      <c r="AV377" s="81">
        <f t="shared" si="227"/>
        <v>0</v>
      </c>
      <c r="AW377" s="81">
        <f t="shared" si="228"/>
        <v>0</v>
      </c>
      <c r="AX377" s="85"/>
      <c r="AY377" s="81">
        <f t="shared" si="229"/>
        <v>0</v>
      </c>
      <c r="AZ377" s="83">
        <f t="shared" si="230"/>
        <v>0</v>
      </c>
      <c r="BA377" s="81">
        <f t="shared" si="231"/>
        <v>0</v>
      </c>
      <c r="BB377" s="83">
        <v>0</v>
      </c>
      <c r="BC377" s="83">
        <v>0</v>
      </c>
      <c r="BD377" s="83">
        <v>0</v>
      </c>
      <c r="BE377" s="84">
        <f>ROUND((IF(($AT377&lt;=700000),0,IF(((VLOOKUP($AR377,'Loyalty - Effec - 15July'!$B$5:$C$17,2,0)*$AT377)&lt;=120000),(VLOOKUP($AR377,'Loyalty - Effec - 15July'!$B$5:$C$17,2,0)*$AT377),120000))),0)</f>
        <v>0</v>
      </c>
      <c r="BF377" s="83">
        <f>ROUND(VLOOKUP($AR377,'Loyalty - Effec - 15July'!$B$5:$D$17,3,0)*$AT377,0)</f>
        <v>0</v>
      </c>
      <c r="BG377" s="85">
        <f t="shared" si="232"/>
        <v>0</v>
      </c>
      <c r="BH377" s="83">
        <f t="shared" si="233"/>
        <v>0</v>
      </c>
      <c r="BI377" s="85">
        <f t="shared" si="243"/>
        <v>0</v>
      </c>
      <c r="BJ377" s="85">
        <f t="shared" si="234"/>
        <v>0</v>
      </c>
      <c r="BK377" s="85">
        <f t="shared" si="235"/>
        <v>0</v>
      </c>
      <c r="BL377" s="85">
        <f t="shared" si="239"/>
        <v>0</v>
      </c>
      <c r="BM377" s="85">
        <f t="shared" si="240"/>
        <v>0</v>
      </c>
      <c r="BN377" s="85">
        <f t="shared" si="241"/>
        <v>0</v>
      </c>
      <c r="BO377" s="46" t="s">
        <v>85</v>
      </c>
      <c r="BP377" s="46"/>
      <c r="BQ377" s="46"/>
      <c r="BU377" s="47">
        <f t="shared" si="244"/>
        <v>0</v>
      </c>
      <c r="BV377" s="53" t="s">
        <v>641</v>
      </c>
      <c r="BW377" s="53" t="s">
        <v>932</v>
      </c>
      <c r="BX377" s="53" t="s">
        <v>860</v>
      </c>
      <c r="BY377" s="53"/>
      <c r="BZ377" s="53"/>
    </row>
    <row r="378" spans="1:78">
      <c r="A378" s="42" t="s">
        <v>642</v>
      </c>
      <c r="B378" s="28" t="s">
        <v>79</v>
      </c>
      <c r="C378" s="28" t="s">
        <v>80</v>
      </c>
      <c r="D378" s="28" t="s">
        <v>932</v>
      </c>
      <c r="F378" s="28" t="s">
        <v>901</v>
      </c>
      <c r="G378" s="44" t="s">
        <v>861</v>
      </c>
      <c r="H378" s="45">
        <v>45175</v>
      </c>
      <c r="I378" s="46" t="s">
        <v>966</v>
      </c>
      <c r="J378" s="28">
        <v>2</v>
      </c>
      <c r="K378" s="28" t="s">
        <v>93</v>
      </c>
      <c r="L378" s="28" t="s">
        <v>873</v>
      </c>
      <c r="M378" s="28" t="s">
        <v>2</v>
      </c>
      <c r="N378" s="28" t="str">
        <f t="shared" si="213"/>
        <v>AE4</v>
      </c>
      <c r="O378" s="81"/>
      <c r="P378" s="81">
        <f t="shared" si="214"/>
        <v>0</v>
      </c>
      <c r="Q378" s="81">
        <f t="shared" si="215"/>
        <v>0</v>
      </c>
      <c r="R378" s="81">
        <f t="shared" si="216"/>
        <v>0</v>
      </c>
      <c r="S378" s="81"/>
      <c r="T378" s="82">
        <f t="shared" si="217"/>
        <v>0</v>
      </c>
      <c r="U378" s="82">
        <f t="shared" si="218"/>
        <v>0</v>
      </c>
      <c r="V378" s="82">
        <f t="shared" si="219"/>
        <v>0</v>
      </c>
      <c r="W378" s="83">
        <v>0</v>
      </c>
      <c r="X378" s="83">
        <v>0</v>
      </c>
      <c r="Y378" s="83">
        <v>0</v>
      </c>
      <c r="Z378" s="84">
        <f>ROUND((IF(($O378&lt;=700000),0,IF(((VLOOKUP($M378,'Loyalty - Effec - 15July'!$B$5:$C$17,2,0)*$O378)&lt;=120000),(VLOOKUP($M378,'Loyalty - Effec - 15July'!$B$5:$C$17,2,0)*$O378),120000))),0)</f>
        <v>0</v>
      </c>
      <c r="AA378" s="84">
        <f>ROUND(VLOOKUP($M378,'Loyalty - Effec - 15July'!$B$5:$D$17,3,0)*$O378,0)</f>
        <v>0</v>
      </c>
      <c r="AB378" s="85">
        <f t="shared" si="220"/>
        <v>0</v>
      </c>
      <c r="AC378" s="86">
        <f t="shared" si="221"/>
        <v>0</v>
      </c>
      <c r="AD378" s="87">
        <f t="shared" si="222"/>
        <v>0</v>
      </c>
      <c r="AE378" s="88">
        <f t="shared" si="223"/>
        <v>0</v>
      </c>
      <c r="AF378" s="88">
        <f t="shared" si="224"/>
        <v>0</v>
      </c>
      <c r="AG378" s="49" t="s">
        <v>212</v>
      </c>
      <c r="AH378" s="49" t="s">
        <v>928</v>
      </c>
      <c r="AI378" s="50"/>
      <c r="AJ378" s="46"/>
      <c r="AK378" s="46"/>
      <c r="AL378" s="46"/>
      <c r="AM378" s="51">
        <f>IF($AL378=4,VLOOKUP($AR378,'Loyalty Incentive v1'!$L$3:$Q$15,2,FALSE),
IF($AL378=3,VLOOKUP($AR378,'Loyalty Incentive v1'!$L$3:$Q$15,3,FALSE),
IF($AL378=2,VLOOKUP($AR378,'Loyalty Incentive v1'!$L$3:$Q$15,4,FALSE),
IF($AL378=1,VLOOKUP($AR378,'Loyalty Incentive v1'!$L$3:$Q$15,5,FALSE),
IF($AL378=0,VLOOKUP($AR378,'Loyalty Incentive v1'!$L$3:$Q$15,6,FALSE),0)))))</f>
        <v>0</v>
      </c>
      <c r="AN378" s="51">
        <f>IFERROR(IF(I378&gt;="1",AM378,VLOOKUP(VALUE(I378),'Loyalty - Effec - 15July'!$I$5:$J$16,2,0)*AM378),0)</f>
        <v>0</v>
      </c>
      <c r="AO378" s="51">
        <v>0</v>
      </c>
      <c r="AP378" s="51">
        <f t="shared" si="225"/>
        <v>0</v>
      </c>
      <c r="AQ378" s="46" t="str">
        <f t="shared" si="236"/>
        <v>No</v>
      </c>
      <c r="AR378" s="46" t="str">
        <f t="shared" si="237"/>
        <v>AE4</v>
      </c>
      <c r="AS378" s="46" t="b">
        <f t="shared" si="238"/>
        <v>1</v>
      </c>
      <c r="AT378" s="82">
        <f t="shared" si="242"/>
        <v>0</v>
      </c>
      <c r="AU378" s="81">
        <f t="shared" si="226"/>
        <v>0</v>
      </c>
      <c r="AV378" s="81">
        <f t="shared" si="227"/>
        <v>0</v>
      </c>
      <c r="AW378" s="81">
        <f t="shared" si="228"/>
        <v>0</v>
      </c>
      <c r="AX378" s="85"/>
      <c r="AY378" s="81">
        <f t="shared" si="229"/>
        <v>0</v>
      </c>
      <c r="AZ378" s="83">
        <f t="shared" si="230"/>
        <v>0</v>
      </c>
      <c r="BA378" s="81">
        <f t="shared" si="231"/>
        <v>0</v>
      </c>
      <c r="BB378" s="83">
        <v>0</v>
      </c>
      <c r="BC378" s="83">
        <v>0</v>
      </c>
      <c r="BD378" s="83">
        <v>0</v>
      </c>
      <c r="BE378" s="84">
        <f>ROUND((IF(($AT378&lt;=700000),0,IF(((VLOOKUP($AR378,'Loyalty - Effec - 15July'!$B$5:$C$17,2,0)*$AT378)&lt;=120000),(VLOOKUP($AR378,'Loyalty - Effec - 15July'!$B$5:$C$17,2,0)*$AT378),120000))),0)</f>
        <v>0</v>
      </c>
      <c r="BF378" s="83">
        <f>ROUND(VLOOKUP($AR378,'Loyalty - Effec - 15July'!$B$5:$D$17,3,0)*$AT378,0)</f>
        <v>0</v>
      </c>
      <c r="BG378" s="85">
        <f t="shared" si="232"/>
        <v>0</v>
      </c>
      <c r="BH378" s="83">
        <f t="shared" si="233"/>
        <v>0</v>
      </c>
      <c r="BI378" s="85">
        <f t="shared" si="243"/>
        <v>0</v>
      </c>
      <c r="BJ378" s="85">
        <f t="shared" si="234"/>
        <v>0</v>
      </c>
      <c r="BK378" s="85">
        <f t="shared" si="235"/>
        <v>0</v>
      </c>
      <c r="BL378" s="85">
        <f t="shared" si="239"/>
        <v>0</v>
      </c>
      <c r="BM378" s="85">
        <f t="shared" si="240"/>
        <v>0</v>
      </c>
      <c r="BN378" s="85">
        <f t="shared" si="241"/>
        <v>0</v>
      </c>
      <c r="BO378" s="46" t="s">
        <v>85</v>
      </c>
      <c r="BP378" s="46"/>
      <c r="BQ378" s="46"/>
      <c r="BU378" s="47">
        <f t="shared" si="244"/>
        <v>0</v>
      </c>
      <c r="BV378" s="53" t="s">
        <v>642</v>
      </c>
      <c r="BW378" s="53" t="s">
        <v>932</v>
      </c>
      <c r="BX378" s="53" t="s">
        <v>861</v>
      </c>
      <c r="BY378" s="53"/>
      <c r="BZ378" s="53"/>
    </row>
    <row r="379" spans="1:78">
      <c r="A379" s="42" t="s">
        <v>643</v>
      </c>
      <c r="B379" s="28" t="s">
        <v>79</v>
      </c>
      <c r="C379" s="28" t="s">
        <v>80</v>
      </c>
      <c r="D379" s="28" t="s">
        <v>932</v>
      </c>
      <c r="F379" s="28" t="s">
        <v>902</v>
      </c>
      <c r="G379" s="44" t="s">
        <v>862</v>
      </c>
      <c r="H379" s="45">
        <v>45175</v>
      </c>
      <c r="I379" s="46" t="s">
        <v>966</v>
      </c>
      <c r="J379" s="28">
        <v>2</v>
      </c>
      <c r="K379" s="28" t="s">
        <v>93</v>
      </c>
      <c r="L379" s="28" t="s">
        <v>873</v>
      </c>
      <c r="M379" s="28" t="s">
        <v>2</v>
      </c>
      <c r="N379" s="28" t="str">
        <f t="shared" si="213"/>
        <v>AE4</v>
      </c>
      <c r="O379" s="81"/>
      <c r="P379" s="81">
        <f t="shared" si="214"/>
        <v>0</v>
      </c>
      <c r="Q379" s="81">
        <f t="shared" si="215"/>
        <v>0</v>
      </c>
      <c r="R379" s="81">
        <f t="shared" si="216"/>
        <v>0</v>
      </c>
      <c r="S379" s="81"/>
      <c r="T379" s="82">
        <f t="shared" si="217"/>
        <v>0</v>
      </c>
      <c r="U379" s="82">
        <f t="shared" si="218"/>
        <v>0</v>
      </c>
      <c r="V379" s="82">
        <f t="shared" si="219"/>
        <v>0</v>
      </c>
      <c r="W379" s="83">
        <v>0</v>
      </c>
      <c r="X379" s="83">
        <v>0</v>
      </c>
      <c r="Y379" s="83">
        <v>0</v>
      </c>
      <c r="Z379" s="84">
        <f>ROUND((IF(($O379&lt;=700000),0,IF(((VLOOKUP($M379,'Loyalty - Effec - 15July'!$B$5:$C$17,2,0)*$O379)&lt;=120000),(VLOOKUP($M379,'Loyalty - Effec - 15July'!$B$5:$C$17,2,0)*$O379),120000))),0)</f>
        <v>0</v>
      </c>
      <c r="AA379" s="84">
        <f>ROUND(VLOOKUP($M379,'Loyalty - Effec - 15July'!$B$5:$D$17,3,0)*$O379,0)</f>
        <v>0</v>
      </c>
      <c r="AB379" s="85">
        <f t="shared" si="220"/>
        <v>0</v>
      </c>
      <c r="AC379" s="86">
        <f t="shared" si="221"/>
        <v>0</v>
      </c>
      <c r="AD379" s="87">
        <f t="shared" si="222"/>
        <v>0</v>
      </c>
      <c r="AE379" s="88">
        <f t="shared" si="223"/>
        <v>0</v>
      </c>
      <c r="AF379" s="88">
        <f t="shared" si="224"/>
        <v>0</v>
      </c>
      <c r="AG379" s="49" t="s">
        <v>913</v>
      </c>
      <c r="AH379" s="49" t="s">
        <v>909</v>
      </c>
      <c r="AI379" s="50"/>
      <c r="AJ379" s="46"/>
      <c r="AK379" s="46"/>
      <c r="AL379" s="46"/>
      <c r="AM379" s="51">
        <f>IF($AL379=4,VLOOKUP($AR379,'Loyalty Incentive v1'!$L$3:$Q$15,2,FALSE),
IF($AL379=3,VLOOKUP($AR379,'Loyalty Incentive v1'!$L$3:$Q$15,3,FALSE),
IF($AL379=2,VLOOKUP($AR379,'Loyalty Incentive v1'!$L$3:$Q$15,4,FALSE),
IF($AL379=1,VLOOKUP($AR379,'Loyalty Incentive v1'!$L$3:$Q$15,5,FALSE),
IF($AL379=0,VLOOKUP($AR379,'Loyalty Incentive v1'!$L$3:$Q$15,6,FALSE),0)))))</f>
        <v>0</v>
      </c>
      <c r="AN379" s="51">
        <f>IFERROR(IF(I379&gt;="1",AM379,VLOOKUP(VALUE(I379),'Loyalty - Effec - 15July'!$I$5:$J$16,2,0)*AM379),0)</f>
        <v>0</v>
      </c>
      <c r="AO379" s="51">
        <v>0</v>
      </c>
      <c r="AP379" s="51">
        <f t="shared" si="225"/>
        <v>0</v>
      </c>
      <c r="AQ379" s="46" t="str">
        <f t="shared" si="236"/>
        <v>No</v>
      </c>
      <c r="AR379" s="46" t="str">
        <f t="shared" si="237"/>
        <v>AE4</v>
      </c>
      <c r="AS379" s="46" t="b">
        <f t="shared" si="238"/>
        <v>1</v>
      </c>
      <c r="AT379" s="82">
        <f t="shared" si="242"/>
        <v>0</v>
      </c>
      <c r="AU379" s="81">
        <f t="shared" si="226"/>
        <v>0</v>
      </c>
      <c r="AV379" s="81">
        <f t="shared" si="227"/>
        <v>0</v>
      </c>
      <c r="AW379" s="81">
        <f t="shared" si="228"/>
        <v>0</v>
      </c>
      <c r="AX379" s="85"/>
      <c r="AY379" s="81">
        <f t="shared" si="229"/>
        <v>0</v>
      </c>
      <c r="AZ379" s="83">
        <f t="shared" si="230"/>
        <v>0</v>
      </c>
      <c r="BA379" s="81">
        <f t="shared" si="231"/>
        <v>0</v>
      </c>
      <c r="BB379" s="83">
        <v>0</v>
      </c>
      <c r="BC379" s="83">
        <v>0</v>
      </c>
      <c r="BD379" s="83">
        <v>0</v>
      </c>
      <c r="BE379" s="84">
        <f>ROUND((IF(($AT379&lt;=700000),0,IF(((VLOOKUP($AR379,'Loyalty - Effec - 15July'!$B$5:$C$17,2,0)*$AT379)&lt;=120000),(VLOOKUP($AR379,'Loyalty - Effec - 15July'!$B$5:$C$17,2,0)*$AT379),120000))),0)</f>
        <v>0</v>
      </c>
      <c r="BF379" s="83">
        <f>ROUND(VLOOKUP($AR379,'Loyalty - Effec - 15July'!$B$5:$D$17,3,0)*$AT379,0)</f>
        <v>0</v>
      </c>
      <c r="BG379" s="85">
        <f t="shared" si="232"/>
        <v>0</v>
      </c>
      <c r="BH379" s="83">
        <f t="shared" si="233"/>
        <v>0</v>
      </c>
      <c r="BI379" s="85">
        <f t="shared" si="243"/>
        <v>0</v>
      </c>
      <c r="BJ379" s="85">
        <f t="shared" si="234"/>
        <v>0</v>
      </c>
      <c r="BK379" s="85">
        <f t="shared" si="235"/>
        <v>0</v>
      </c>
      <c r="BL379" s="85">
        <f t="shared" si="239"/>
        <v>0</v>
      </c>
      <c r="BM379" s="85">
        <f t="shared" si="240"/>
        <v>0</v>
      </c>
      <c r="BN379" s="85">
        <f t="shared" si="241"/>
        <v>0</v>
      </c>
      <c r="BO379" s="46" t="s">
        <v>85</v>
      </c>
      <c r="BP379" s="46"/>
      <c r="BQ379" s="46"/>
      <c r="BU379" s="47">
        <f t="shared" si="244"/>
        <v>0</v>
      </c>
      <c r="BV379" s="53" t="s">
        <v>643</v>
      </c>
      <c r="BW379" s="53" t="s">
        <v>932</v>
      </c>
      <c r="BX379" s="53" t="s">
        <v>862</v>
      </c>
      <c r="BY379" s="53"/>
      <c r="BZ379" s="53"/>
    </row>
    <row r="380" spans="1:78">
      <c r="A380" s="42" t="s">
        <v>934</v>
      </c>
      <c r="B380" s="28" t="s">
        <v>79</v>
      </c>
      <c r="C380" s="28" t="s">
        <v>80</v>
      </c>
      <c r="D380" s="28" t="s">
        <v>932</v>
      </c>
      <c r="F380" s="28" t="s">
        <v>901</v>
      </c>
      <c r="G380" s="44" t="s">
        <v>948</v>
      </c>
      <c r="H380" s="45">
        <v>45180</v>
      </c>
      <c r="I380" s="46" t="s">
        <v>966</v>
      </c>
      <c r="J380" s="28"/>
      <c r="K380" s="28" t="s">
        <v>415</v>
      </c>
      <c r="L380" s="28" t="s">
        <v>962</v>
      </c>
      <c r="M380" s="28" t="s">
        <v>7</v>
      </c>
      <c r="N380" s="28" t="str">
        <f t="shared" si="213"/>
        <v>SE1</v>
      </c>
      <c r="O380" s="81"/>
      <c r="P380" s="81">
        <f t="shared" si="214"/>
        <v>0</v>
      </c>
      <c r="Q380" s="81">
        <f t="shared" ref="Q380:Q394" si="245">ROUND((P380*25%),2)</f>
        <v>0</v>
      </c>
      <c r="R380" s="81">
        <f t="shared" ref="R380:R394" si="246">ROUND((P380*10%),2)</f>
        <v>0</v>
      </c>
      <c r="S380" s="81"/>
      <c r="T380" s="82">
        <f t="shared" ref="T380:T393" si="247">SUM(P380:S380)</f>
        <v>0</v>
      </c>
      <c r="U380" s="82">
        <f t="shared" si="218"/>
        <v>0</v>
      </c>
      <c r="V380" s="82">
        <f t="shared" si="219"/>
        <v>0</v>
      </c>
      <c r="W380" s="83">
        <v>0</v>
      </c>
      <c r="X380" s="83">
        <v>0</v>
      </c>
      <c r="Y380" s="83">
        <v>0</v>
      </c>
      <c r="Z380" s="84">
        <f>ROUND((IF(($O380&lt;=700000),0,IF(((VLOOKUP($M380,'Loyalty - Effec - 15July'!$B$5:$C$17,2,0)*$O380)&lt;=120000),(VLOOKUP($M380,'Loyalty - Effec - 15July'!$B$5:$C$17,2,0)*$O380),120000))),0)</f>
        <v>0</v>
      </c>
      <c r="AA380" s="84">
        <f>ROUND(VLOOKUP($M380,'Loyalty - Effec - 15July'!$B$5:$D$17,3,0)*$O380,0)</f>
        <v>0</v>
      </c>
      <c r="AB380" s="85">
        <f t="shared" ref="AB380:AB393" si="248">SUM(T380:AA380)</f>
        <v>0</v>
      </c>
      <c r="AC380" s="86">
        <f t="shared" si="221"/>
        <v>0</v>
      </c>
      <c r="AD380" s="87">
        <f t="shared" ref="AD380:AD393" si="249">O380-AB380</f>
        <v>0</v>
      </c>
      <c r="AE380" s="88">
        <f t="shared" ref="AE380:AE393" si="250">(T380+Z380)-(U380+AC380)</f>
        <v>0</v>
      </c>
      <c r="AF380" s="88">
        <f t="shared" ref="AF380:AF393" si="251">AE380/12</f>
        <v>0</v>
      </c>
      <c r="AG380" s="49" t="s">
        <v>926</v>
      </c>
      <c r="AH380" s="49" t="s">
        <v>904</v>
      </c>
      <c r="AI380" s="50"/>
      <c r="AJ380" s="46"/>
      <c r="AK380" s="46"/>
      <c r="AL380" s="46"/>
      <c r="AM380" s="51">
        <f>IF($AL380=4,VLOOKUP($AR380,'Loyalty Incentive v1'!$L$3:$Q$15,2,FALSE),
IF($AL380=3,VLOOKUP($AR380,'Loyalty Incentive v1'!$L$3:$Q$15,3,FALSE),
IF($AL380=2,VLOOKUP($AR380,'Loyalty Incentive v1'!$L$3:$Q$15,4,FALSE),
IF($AL380=1,VLOOKUP($AR380,'Loyalty Incentive v1'!$L$3:$Q$15,5,FALSE),
IF($AL380=0,VLOOKUP($AR380,'Loyalty Incentive v1'!$L$3:$Q$15,6,FALSE),0)))))</f>
        <v>0</v>
      </c>
      <c r="AN380" s="51">
        <f>IFERROR(IF(I380&gt;="1",AM380,VLOOKUP(VALUE(I380),'Loyalty - Effec - 15July'!$I$5:$J$16,2,0)*AM380),0)</f>
        <v>0</v>
      </c>
      <c r="AO380" s="51">
        <v>0</v>
      </c>
      <c r="AP380" s="51">
        <f t="shared" ref="AP380:AP393" si="252">AN380+AO380</f>
        <v>0</v>
      </c>
      <c r="AQ380" s="46" t="str">
        <f t="shared" ref="AQ380:AQ393" si="253">IF((N380=AR380),"No","Yes")</f>
        <v>No</v>
      </c>
      <c r="AR380" s="46" t="str">
        <f t="shared" ref="AR380:AR393" si="254">N380</f>
        <v>SE1</v>
      </c>
      <c r="AS380" s="46" t="b">
        <f t="shared" ref="AS380:AS393" si="255">AR380=M380</f>
        <v>1</v>
      </c>
      <c r="AT380" s="82">
        <f t="shared" ref="AT380:AT393" si="256">O380+(O380*AP380)</f>
        <v>0</v>
      </c>
      <c r="AU380" s="81">
        <f t="shared" ref="AU380:AU393" si="257">ROUND(AT380*$AU$3,0)</f>
        <v>0</v>
      </c>
      <c r="AV380" s="81">
        <f t="shared" ref="AV380:AV393" si="258">ROUND(AU380*$AV$3,0)</f>
        <v>0</v>
      </c>
      <c r="AW380" s="81">
        <f t="shared" ref="AW380:AW393" si="259">ROUND(AU380*$AW$3,0)</f>
        <v>0</v>
      </c>
      <c r="AX380" s="85"/>
      <c r="AY380" s="81">
        <f t="shared" ref="AY380:AY393" si="260">SUM(AU380:AX380)</f>
        <v>0</v>
      </c>
      <c r="AZ380" s="83">
        <f t="shared" ref="AZ380:AZ393" si="261">ROUND(IF((AY380-AV380)&gt;180000,21600,(AY380-AV380)*12%),0)</f>
        <v>0</v>
      </c>
      <c r="BA380" s="81">
        <f t="shared" ref="BA380:BA393" si="262">ROUND(IF(AY380&lt;252001,AY380*0.0325,0),0)</f>
        <v>0</v>
      </c>
      <c r="BB380" s="83">
        <v>0</v>
      </c>
      <c r="BC380" s="83">
        <v>0</v>
      </c>
      <c r="BD380" s="83">
        <v>0</v>
      </c>
      <c r="BE380" s="84">
        <f>ROUND((IF(($AT380&lt;=700000),0,IF(((VLOOKUP($AR380,'Loyalty - Effec - 15July'!$B$5:$C$17,2,0)*$AT380)&lt;=120000),(VLOOKUP($AR380,'Loyalty - Effec - 15July'!$B$5:$C$17,2,0)*$AT380),120000))),0)</f>
        <v>0</v>
      </c>
      <c r="BF380" s="83">
        <f>ROUND(VLOOKUP($AR380,'Loyalty - Effec - 15July'!$B$5:$D$17,3,0)*$AT380,0)</f>
        <v>0</v>
      </c>
      <c r="BG380" s="85">
        <f t="shared" ref="BG380:BG393" si="263">SUM(AY380:BF380)</f>
        <v>0</v>
      </c>
      <c r="BH380" s="83">
        <f t="shared" ref="BH380:BH393" si="264">ROUND(IF(AY380&lt;252001,AY380*0.0075,0),0)</f>
        <v>0</v>
      </c>
      <c r="BI380" s="85">
        <f t="shared" si="243"/>
        <v>0</v>
      </c>
      <c r="BJ380" s="85">
        <f t="shared" ref="BJ380:BJ393" si="265">(AY380+BE380)-(AZ380+BH380)</f>
        <v>0</v>
      </c>
      <c r="BK380" s="85">
        <f t="shared" ref="BK380:BK393" si="266">BJ380/12</f>
        <v>0</v>
      </c>
      <c r="BL380" s="85">
        <f t="shared" ref="BL380:BL393" si="267">BG380-AB380</f>
        <v>0</v>
      </c>
      <c r="BM380" s="85">
        <f t="shared" ref="BM380:BM393" si="268">BK380-AF380</f>
        <v>0</v>
      </c>
      <c r="BN380" s="85">
        <f t="shared" ref="BN380:BN393" si="269">BK380-AF380</f>
        <v>0</v>
      </c>
      <c r="BO380" s="46" t="s">
        <v>85</v>
      </c>
      <c r="BP380" s="46"/>
      <c r="BQ380" s="46"/>
      <c r="BU380" s="47">
        <f t="shared" si="244"/>
        <v>0</v>
      </c>
      <c r="BV380" s="53" t="s">
        <v>934</v>
      </c>
      <c r="BW380" s="53" t="s">
        <v>932</v>
      </c>
      <c r="BX380" s="53" t="s">
        <v>948</v>
      </c>
      <c r="BY380" s="53"/>
      <c r="BZ380" s="53"/>
    </row>
    <row r="381" spans="1:78">
      <c r="A381" s="42" t="s">
        <v>935</v>
      </c>
      <c r="B381" s="28" t="s">
        <v>79</v>
      </c>
      <c r="C381" s="28" t="s">
        <v>80</v>
      </c>
      <c r="D381" s="28" t="s">
        <v>932</v>
      </c>
      <c r="F381" s="28" t="s">
        <v>901</v>
      </c>
      <c r="G381" s="44" t="s">
        <v>949</v>
      </c>
      <c r="H381" s="45">
        <v>45182</v>
      </c>
      <c r="I381" s="46" t="s">
        <v>966</v>
      </c>
      <c r="J381" s="28"/>
      <c r="K381" s="28" t="s">
        <v>93</v>
      </c>
      <c r="L381" s="28" t="s">
        <v>873</v>
      </c>
      <c r="M381" s="28" t="s">
        <v>1</v>
      </c>
      <c r="N381" s="28" t="str">
        <f t="shared" si="213"/>
        <v>AE3</v>
      </c>
      <c r="O381" s="81"/>
      <c r="P381" s="81">
        <f t="shared" si="214"/>
        <v>0</v>
      </c>
      <c r="Q381" s="81">
        <f t="shared" si="245"/>
        <v>0</v>
      </c>
      <c r="R381" s="81">
        <f t="shared" si="246"/>
        <v>0</v>
      </c>
      <c r="S381" s="81"/>
      <c r="T381" s="82">
        <f t="shared" si="247"/>
        <v>0</v>
      </c>
      <c r="U381" s="82">
        <f t="shared" si="218"/>
        <v>0</v>
      </c>
      <c r="V381" s="82">
        <f t="shared" si="219"/>
        <v>0</v>
      </c>
      <c r="W381" s="83">
        <v>0</v>
      </c>
      <c r="X381" s="83">
        <v>0</v>
      </c>
      <c r="Y381" s="83">
        <v>0</v>
      </c>
      <c r="Z381" s="84">
        <f>ROUND((IF(($O381&lt;=700000),0,IF(((VLOOKUP($M381,'Loyalty - Effec - 15July'!$B$5:$C$17,2,0)*$O381)&lt;=120000),(VLOOKUP($M381,'Loyalty - Effec - 15July'!$B$5:$C$17,2,0)*$O381),120000))),0)</f>
        <v>0</v>
      </c>
      <c r="AA381" s="84">
        <f>ROUND(VLOOKUP($M381,'Loyalty - Effec - 15July'!$B$5:$D$17,3,0)*$O381,0)</f>
        <v>0</v>
      </c>
      <c r="AB381" s="85">
        <f t="shared" si="248"/>
        <v>0</v>
      </c>
      <c r="AC381" s="86">
        <f t="shared" si="221"/>
        <v>0</v>
      </c>
      <c r="AD381" s="87">
        <f t="shared" si="249"/>
        <v>0</v>
      </c>
      <c r="AE381" s="88">
        <f t="shared" si="250"/>
        <v>0</v>
      </c>
      <c r="AF381" s="88">
        <f t="shared" si="251"/>
        <v>0</v>
      </c>
      <c r="AG381" s="49" t="s">
        <v>212</v>
      </c>
      <c r="AH381" s="49" t="s">
        <v>928</v>
      </c>
      <c r="AI381" s="50"/>
      <c r="AJ381" s="46"/>
      <c r="AK381" s="46"/>
      <c r="AL381" s="46"/>
      <c r="AM381" s="51">
        <f>IF($AL381=4,VLOOKUP($AR381,'Loyalty Incentive v1'!$L$3:$Q$15,2,FALSE),
IF($AL381=3,VLOOKUP($AR381,'Loyalty Incentive v1'!$L$3:$Q$15,3,FALSE),
IF($AL381=2,VLOOKUP($AR381,'Loyalty Incentive v1'!$L$3:$Q$15,4,FALSE),
IF($AL381=1,VLOOKUP($AR381,'Loyalty Incentive v1'!$L$3:$Q$15,5,FALSE),
IF($AL381=0,VLOOKUP($AR381,'Loyalty Incentive v1'!$L$3:$Q$15,6,FALSE),0)))))</f>
        <v>0</v>
      </c>
      <c r="AN381" s="51">
        <f>IFERROR(IF(I381&gt;="1",AM381,VLOOKUP(VALUE(I381),'Loyalty - Effec - 15July'!$I$5:$J$16,2,0)*AM381),0)</f>
        <v>0</v>
      </c>
      <c r="AO381" s="51">
        <v>0</v>
      </c>
      <c r="AP381" s="51">
        <f t="shared" si="252"/>
        <v>0</v>
      </c>
      <c r="AQ381" s="46" t="str">
        <f t="shared" si="253"/>
        <v>No</v>
      </c>
      <c r="AR381" s="46" t="str">
        <f t="shared" si="254"/>
        <v>AE3</v>
      </c>
      <c r="AS381" s="46" t="b">
        <f t="shared" si="255"/>
        <v>1</v>
      </c>
      <c r="AT381" s="82">
        <f t="shared" si="256"/>
        <v>0</v>
      </c>
      <c r="AU381" s="81">
        <f t="shared" si="257"/>
        <v>0</v>
      </c>
      <c r="AV381" s="81">
        <f t="shared" si="258"/>
        <v>0</v>
      </c>
      <c r="AW381" s="81">
        <f t="shared" si="259"/>
        <v>0</v>
      </c>
      <c r="AX381" s="85"/>
      <c r="AY381" s="81">
        <f t="shared" si="260"/>
        <v>0</v>
      </c>
      <c r="AZ381" s="83">
        <f t="shared" si="261"/>
        <v>0</v>
      </c>
      <c r="BA381" s="81">
        <f t="shared" si="262"/>
        <v>0</v>
      </c>
      <c r="BB381" s="83">
        <v>0</v>
      </c>
      <c r="BC381" s="83">
        <v>0</v>
      </c>
      <c r="BD381" s="83">
        <v>0</v>
      </c>
      <c r="BE381" s="84">
        <f>ROUND((IF(($AT381&lt;=700000),0,IF(((VLOOKUP($AR381,'Loyalty - Effec - 15July'!$B$5:$C$17,2,0)*$AT381)&lt;=120000),(VLOOKUP($AR381,'Loyalty - Effec - 15July'!$B$5:$C$17,2,0)*$AT381),120000))),0)</f>
        <v>0</v>
      </c>
      <c r="BF381" s="83">
        <f>ROUND(VLOOKUP($AR381,'Loyalty - Effec - 15July'!$B$5:$D$17,3,0)*$AT381,0)</f>
        <v>0</v>
      </c>
      <c r="BG381" s="85">
        <f t="shared" si="263"/>
        <v>0</v>
      </c>
      <c r="BH381" s="83">
        <f t="shared" si="264"/>
        <v>0</v>
      </c>
      <c r="BI381" s="85">
        <f t="shared" si="243"/>
        <v>0</v>
      </c>
      <c r="BJ381" s="85">
        <f t="shared" si="265"/>
        <v>0</v>
      </c>
      <c r="BK381" s="85">
        <f t="shared" si="266"/>
        <v>0</v>
      </c>
      <c r="BL381" s="85">
        <f t="shared" si="267"/>
        <v>0</v>
      </c>
      <c r="BM381" s="85">
        <f t="shared" si="268"/>
        <v>0</v>
      </c>
      <c r="BN381" s="85">
        <f t="shared" si="269"/>
        <v>0</v>
      </c>
      <c r="BO381" s="46" t="s">
        <v>85</v>
      </c>
      <c r="BP381" s="46"/>
      <c r="BQ381" s="46"/>
      <c r="BU381" s="47">
        <f t="shared" si="244"/>
        <v>0</v>
      </c>
      <c r="BV381" s="53" t="s">
        <v>935</v>
      </c>
      <c r="BW381" s="53" t="s">
        <v>932</v>
      </c>
      <c r="BX381" s="53" t="s">
        <v>949</v>
      </c>
      <c r="BY381" s="53"/>
      <c r="BZ381" s="53"/>
    </row>
    <row r="382" spans="1:78">
      <c r="A382" s="42" t="s">
        <v>936</v>
      </c>
      <c r="B382" s="28" t="s">
        <v>79</v>
      </c>
      <c r="C382" s="28" t="s">
        <v>80</v>
      </c>
      <c r="D382" s="28" t="s">
        <v>932</v>
      </c>
      <c r="F382" s="28" t="s">
        <v>901</v>
      </c>
      <c r="G382" s="44" t="s">
        <v>950</v>
      </c>
      <c r="H382" s="45">
        <v>45182</v>
      </c>
      <c r="I382" s="46" t="s">
        <v>966</v>
      </c>
      <c r="J382" s="28"/>
      <c r="K382" s="28" t="s">
        <v>93</v>
      </c>
      <c r="L382" s="28" t="s">
        <v>873</v>
      </c>
      <c r="M382" s="28" t="s">
        <v>2</v>
      </c>
      <c r="N382" s="28" t="str">
        <f t="shared" si="213"/>
        <v>AE4</v>
      </c>
      <c r="O382" s="81"/>
      <c r="P382" s="81">
        <f t="shared" si="214"/>
        <v>0</v>
      </c>
      <c r="Q382" s="81">
        <f t="shared" si="245"/>
        <v>0</v>
      </c>
      <c r="R382" s="81">
        <f t="shared" si="246"/>
        <v>0</v>
      </c>
      <c r="S382" s="81"/>
      <c r="T382" s="82">
        <f t="shared" si="247"/>
        <v>0</v>
      </c>
      <c r="U382" s="82">
        <f t="shared" si="218"/>
        <v>0</v>
      </c>
      <c r="V382" s="82">
        <f t="shared" si="219"/>
        <v>0</v>
      </c>
      <c r="W382" s="83">
        <v>0</v>
      </c>
      <c r="X382" s="83">
        <v>0</v>
      </c>
      <c r="Y382" s="83">
        <v>0</v>
      </c>
      <c r="Z382" s="84">
        <f>ROUND((IF(($O382&lt;=700000),0,IF(((VLOOKUP($M382,'Loyalty - Effec - 15July'!$B$5:$C$17,2,0)*$O382)&lt;=120000),(VLOOKUP($M382,'Loyalty - Effec - 15July'!$B$5:$C$17,2,0)*$O382),120000))),0)</f>
        <v>0</v>
      </c>
      <c r="AA382" s="84">
        <f>ROUND(VLOOKUP($M382,'Loyalty - Effec - 15July'!$B$5:$D$17,3,0)*$O382,0)</f>
        <v>0</v>
      </c>
      <c r="AB382" s="85">
        <f t="shared" si="248"/>
        <v>0</v>
      </c>
      <c r="AC382" s="86">
        <f t="shared" si="221"/>
        <v>0</v>
      </c>
      <c r="AD382" s="87">
        <f t="shared" si="249"/>
        <v>0</v>
      </c>
      <c r="AE382" s="88">
        <f t="shared" si="250"/>
        <v>0</v>
      </c>
      <c r="AF382" s="88">
        <f t="shared" si="251"/>
        <v>0</v>
      </c>
      <c r="AG382" s="49" t="s">
        <v>212</v>
      </c>
      <c r="AH382" s="49" t="s">
        <v>928</v>
      </c>
      <c r="AI382" s="50"/>
      <c r="AJ382" s="46"/>
      <c r="AK382" s="46"/>
      <c r="AL382" s="46"/>
      <c r="AM382" s="51">
        <f>IF($AL382=4,VLOOKUP($AR382,'Loyalty Incentive v1'!$L$3:$Q$15,2,FALSE),
IF($AL382=3,VLOOKUP($AR382,'Loyalty Incentive v1'!$L$3:$Q$15,3,FALSE),
IF($AL382=2,VLOOKUP($AR382,'Loyalty Incentive v1'!$L$3:$Q$15,4,FALSE),
IF($AL382=1,VLOOKUP($AR382,'Loyalty Incentive v1'!$L$3:$Q$15,5,FALSE),
IF($AL382=0,VLOOKUP($AR382,'Loyalty Incentive v1'!$L$3:$Q$15,6,FALSE),0)))))</f>
        <v>0</v>
      </c>
      <c r="AN382" s="51">
        <f>IFERROR(IF(I382&gt;="1",AM382,VLOOKUP(VALUE(I382),'Loyalty - Effec - 15July'!$I$5:$J$16,2,0)*AM382),0)</f>
        <v>0</v>
      </c>
      <c r="AO382" s="51">
        <v>0</v>
      </c>
      <c r="AP382" s="51">
        <f t="shared" si="252"/>
        <v>0</v>
      </c>
      <c r="AQ382" s="46" t="str">
        <f t="shared" si="253"/>
        <v>No</v>
      </c>
      <c r="AR382" s="46" t="str">
        <f t="shared" si="254"/>
        <v>AE4</v>
      </c>
      <c r="AS382" s="46" t="b">
        <f t="shared" si="255"/>
        <v>1</v>
      </c>
      <c r="AT382" s="82">
        <f t="shared" si="256"/>
        <v>0</v>
      </c>
      <c r="AU382" s="81">
        <f t="shared" si="257"/>
        <v>0</v>
      </c>
      <c r="AV382" s="81">
        <f t="shared" si="258"/>
        <v>0</v>
      </c>
      <c r="AW382" s="81">
        <f t="shared" si="259"/>
        <v>0</v>
      </c>
      <c r="AX382" s="85"/>
      <c r="AY382" s="81">
        <f t="shared" si="260"/>
        <v>0</v>
      </c>
      <c r="AZ382" s="83">
        <f t="shared" si="261"/>
        <v>0</v>
      </c>
      <c r="BA382" s="81">
        <f t="shared" si="262"/>
        <v>0</v>
      </c>
      <c r="BB382" s="83">
        <v>0</v>
      </c>
      <c r="BC382" s="83">
        <v>0</v>
      </c>
      <c r="BD382" s="83">
        <v>0</v>
      </c>
      <c r="BE382" s="84">
        <f>ROUND((IF(($AT382&lt;=700000),0,IF(((VLOOKUP($AR382,'Loyalty - Effec - 15July'!$B$5:$C$17,2,0)*$AT382)&lt;=120000),(VLOOKUP($AR382,'Loyalty - Effec - 15July'!$B$5:$C$17,2,0)*$AT382),120000))),0)</f>
        <v>0</v>
      </c>
      <c r="BF382" s="83">
        <f>ROUND(VLOOKUP($AR382,'Loyalty - Effec - 15July'!$B$5:$D$17,3,0)*$AT382,0)</f>
        <v>0</v>
      </c>
      <c r="BG382" s="85">
        <f t="shared" si="263"/>
        <v>0</v>
      </c>
      <c r="BH382" s="83">
        <f t="shared" si="264"/>
        <v>0</v>
      </c>
      <c r="BI382" s="85">
        <f t="shared" si="243"/>
        <v>0</v>
      </c>
      <c r="BJ382" s="85">
        <f t="shared" si="265"/>
        <v>0</v>
      </c>
      <c r="BK382" s="85">
        <f t="shared" si="266"/>
        <v>0</v>
      </c>
      <c r="BL382" s="85">
        <f t="shared" si="267"/>
        <v>0</v>
      </c>
      <c r="BM382" s="85">
        <f t="shared" si="268"/>
        <v>0</v>
      </c>
      <c r="BN382" s="85">
        <f t="shared" si="269"/>
        <v>0</v>
      </c>
      <c r="BO382" s="46" t="s">
        <v>85</v>
      </c>
      <c r="BP382" s="46"/>
      <c r="BQ382" s="46"/>
      <c r="BU382" s="47">
        <f t="shared" si="244"/>
        <v>0</v>
      </c>
      <c r="BV382" s="53" t="s">
        <v>936</v>
      </c>
      <c r="BW382" s="53" t="s">
        <v>932</v>
      </c>
      <c r="BX382" s="53" t="s">
        <v>950</v>
      </c>
      <c r="BY382" s="53"/>
      <c r="BZ382" s="53"/>
    </row>
    <row r="383" spans="1:78">
      <c r="A383" s="42" t="s">
        <v>937</v>
      </c>
      <c r="B383" s="28" t="s">
        <v>79</v>
      </c>
      <c r="C383" s="28" t="s">
        <v>80</v>
      </c>
      <c r="D383" s="28" t="s">
        <v>932</v>
      </c>
      <c r="F383" s="28" t="s">
        <v>901</v>
      </c>
      <c r="G383" s="44" t="s">
        <v>951</v>
      </c>
      <c r="H383" s="45">
        <v>45182</v>
      </c>
      <c r="I383" s="46" t="s">
        <v>966</v>
      </c>
      <c r="J383" s="28"/>
      <c r="K383" s="28" t="s">
        <v>93</v>
      </c>
      <c r="L383" s="28" t="s">
        <v>873</v>
      </c>
      <c r="M383" s="28" t="s">
        <v>1</v>
      </c>
      <c r="N383" s="28" t="str">
        <f t="shared" si="213"/>
        <v>AE3</v>
      </c>
      <c r="O383" s="81"/>
      <c r="P383" s="81">
        <f t="shared" si="214"/>
        <v>0</v>
      </c>
      <c r="Q383" s="81">
        <f t="shared" si="245"/>
        <v>0</v>
      </c>
      <c r="R383" s="81">
        <f t="shared" si="246"/>
        <v>0</v>
      </c>
      <c r="S383" s="81"/>
      <c r="T383" s="82">
        <f t="shared" si="247"/>
        <v>0</v>
      </c>
      <c r="U383" s="82">
        <f t="shared" si="218"/>
        <v>0</v>
      </c>
      <c r="V383" s="82">
        <f t="shared" si="219"/>
        <v>0</v>
      </c>
      <c r="W383" s="83">
        <v>0</v>
      </c>
      <c r="X383" s="83">
        <v>0</v>
      </c>
      <c r="Y383" s="83">
        <v>0</v>
      </c>
      <c r="Z383" s="84">
        <f>ROUND((IF(($O383&lt;=700000),0,IF(((VLOOKUP($M383,'Loyalty - Effec - 15July'!$B$5:$C$17,2,0)*$O383)&lt;=120000),(VLOOKUP($M383,'Loyalty - Effec - 15July'!$B$5:$C$17,2,0)*$O383),120000))),0)</f>
        <v>0</v>
      </c>
      <c r="AA383" s="84">
        <f>ROUND(VLOOKUP($M383,'Loyalty - Effec - 15July'!$B$5:$D$17,3,0)*$O383,0)</f>
        <v>0</v>
      </c>
      <c r="AB383" s="85">
        <f t="shared" si="248"/>
        <v>0</v>
      </c>
      <c r="AC383" s="86">
        <f t="shared" si="221"/>
        <v>0</v>
      </c>
      <c r="AD383" s="87">
        <f t="shared" si="249"/>
        <v>0</v>
      </c>
      <c r="AE383" s="88">
        <f t="shared" si="250"/>
        <v>0</v>
      </c>
      <c r="AF383" s="88">
        <f t="shared" si="251"/>
        <v>0</v>
      </c>
      <c r="AG383" s="49" t="s">
        <v>913</v>
      </c>
      <c r="AH383" s="49" t="s">
        <v>909</v>
      </c>
      <c r="AI383" s="50"/>
      <c r="AJ383" s="46"/>
      <c r="AK383" s="46"/>
      <c r="AL383" s="46"/>
      <c r="AM383" s="51">
        <f>IF($AL383=4,VLOOKUP($AR383,'Loyalty Incentive v1'!$L$3:$Q$15,2,FALSE),
IF($AL383=3,VLOOKUP($AR383,'Loyalty Incentive v1'!$L$3:$Q$15,3,FALSE),
IF($AL383=2,VLOOKUP($AR383,'Loyalty Incentive v1'!$L$3:$Q$15,4,FALSE),
IF($AL383=1,VLOOKUP($AR383,'Loyalty Incentive v1'!$L$3:$Q$15,5,FALSE),
IF($AL383=0,VLOOKUP($AR383,'Loyalty Incentive v1'!$L$3:$Q$15,6,FALSE),0)))))</f>
        <v>0</v>
      </c>
      <c r="AN383" s="51">
        <f>IFERROR(IF(I383&gt;="1",AM383,VLOOKUP(VALUE(I383),'Loyalty - Effec - 15July'!$I$5:$J$16,2,0)*AM383),0)</f>
        <v>0</v>
      </c>
      <c r="AO383" s="51">
        <v>0</v>
      </c>
      <c r="AP383" s="51">
        <f t="shared" si="252"/>
        <v>0</v>
      </c>
      <c r="AQ383" s="46" t="str">
        <f t="shared" si="253"/>
        <v>No</v>
      </c>
      <c r="AR383" s="46" t="str">
        <f t="shared" si="254"/>
        <v>AE3</v>
      </c>
      <c r="AS383" s="46" t="b">
        <f t="shared" si="255"/>
        <v>1</v>
      </c>
      <c r="AT383" s="82">
        <f t="shared" si="256"/>
        <v>0</v>
      </c>
      <c r="AU383" s="81">
        <f t="shared" si="257"/>
        <v>0</v>
      </c>
      <c r="AV383" s="81">
        <f t="shared" si="258"/>
        <v>0</v>
      </c>
      <c r="AW383" s="81">
        <f t="shared" si="259"/>
        <v>0</v>
      </c>
      <c r="AX383" s="85"/>
      <c r="AY383" s="81">
        <f t="shared" si="260"/>
        <v>0</v>
      </c>
      <c r="AZ383" s="83">
        <f t="shared" si="261"/>
        <v>0</v>
      </c>
      <c r="BA383" s="81">
        <f t="shared" si="262"/>
        <v>0</v>
      </c>
      <c r="BB383" s="83">
        <v>0</v>
      </c>
      <c r="BC383" s="83">
        <v>0</v>
      </c>
      <c r="BD383" s="83">
        <v>0</v>
      </c>
      <c r="BE383" s="84">
        <f>ROUND((IF(($AT383&lt;=700000),0,IF(((VLOOKUP($AR383,'Loyalty - Effec - 15July'!$B$5:$C$17,2,0)*$AT383)&lt;=120000),(VLOOKUP($AR383,'Loyalty - Effec - 15July'!$B$5:$C$17,2,0)*$AT383),120000))),0)</f>
        <v>0</v>
      </c>
      <c r="BF383" s="83">
        <f>ROUND(VLOOKUP($AR383,'Loyalty - Effec - 15July'!$B$5:$D$17,3,0)*$AT383,0)</f>
        <v>0</v>
      </c>
      <c r="BG383" s="85">
        <f t="shared" si="263"/>
        <v>0</v>
      </c>
      <c r="BH383" s="83">
        <f t="shared" si="264"/>
        <v>0</v>
      </c>
      <c r="BI383" s="85">
        <f t="shared" si="243"/>
        <v>0</v>
      </c>
      <c r="BJ383" s="85">
        <f t="shared" si="265"/>
        <v>0</v>
      </c>
      <c r="BK383" s="85">
        <f t="shared" si="266"/>
        <v>0</v>
      </c>
      <c r="BL383" s="85">
        <f t="shared" si="267"/>
        <v>0</v>
      </c>
      <c r="BM383" s="85">
        <f t="shared" si="268"/>
        <v>0</v>
      </c>
      <c r="BN383" s="85">
        <f t="shared" si="269"/>
        <v>0</v>
      </c>
      <c r="BO383" s="46" t="s">
        <v>85</v>
      </c>
      <c r="BP383" s="46"/>
      <c r="BQ383" s="46"/>
      <c r="BU383" s="47">
        <f t="shared" si="244"/>
        <v>0</v>
      </c>
      <c r="BV383" s="53" t="s">
        <v>937</v>
      </c>
      <c r="BW383" s="53" t="s">
        <v>932</v>
      </c>
      <c r="BX383" s="53" t="s">
        <v>951</v>
      </c>
      <c r="BY383" s="53"/>
      <c r="BZ383" s="53"/>
    </row>
    <row r="384" spans="1:78">
      <c r="A384" s="42" t="s">
        <v>938</v>
      </c>
      <c r="B384" s="28" t="s">
        <v>79</v>
      </c>
      <c r="C384" s="28" t="s">
        <v>80</v>
      </c>
      <c r="D384" s="28" t="s">
        <v>932</v>
      </c>
      <c r="F384" s="28" t="s">
        <v>901</v>
      </c>
      <c r="G384" s="44" t="s">
        <v>952</v>
      </c>
      <c r="H384" s="45">
        <v>45203</v>
      </c>
      <c r="I384" s="46" t="e">
        <v>#NUM!</v>
      </c>
      <c r="J384" s="28"/>
      <c r="K384" s="28" t="s">
        <v>396</v>
      </c>
      <c r="L384" s="28" t="s">
        <v>155</v>
      </c>
      <c r="M384" s="28" t="s">
        <v>0</v>
      </c>
      <c r="N384" s="28" t="str">
        <f t="shared" si="213"/>
        <v>AE2</v>
      </c>
      <c r="O384" s="81"/>
      <c r="P384" s="81">
        <f t="shared" si="214"/>
        <v>0</v>
      </c>
      <c r="Q384" s="81">
        <f t="shared" si="245"/>
        <v>0</v>
      </c>
      <c r="R384" s="81">
        <f t="shared" si="246"/>
        <v>0</v>
      </c>
      <c r="S384" s="81"/>
      <c r="T384" s="82">
        <f t="shared" si="247"/>
        <v>0</v>
      </c>
      <c r="U384" s="82">
        <f t="shared" si="218"/>
        <v>0</v>
      </c>
      <c r="V384" s="82">
        <f t="shared" si="219"/>
        <v>0</v>
      </c>
      <c r="W384" s="83">
        <v>0</v>
      </c>
      <c r="X384" s="83">
        <v>0</v>
      </c>
      <c r="Y384" s="83">
        <v>0</v>
      </c>
      <c r="Z384" s="84">
        <f>ROUND((IF(($O384&lt;=700000),0,IF(((VLOOKUP($M384,'Loyalty - Effec - 15July'!$B$5:$C$17,2,0)*$O384)&lt;=120000),(VLOOKUP($M384,'Loyalty - Effec - 15July'!$B$5:$C$17,2,0)*$O384),120000))),0)</f>
        <v>0</v>
      </c>
      <c r="AA384" s="84">
        <f>ROUND(VLOOKUP($M384,'Loyalty - Effec - 15July'!$B$5:$D$17,3,0)*$O384,0)</f>
        <v>0</v>
      </c>
      <c r="AB384" s="85">
        <f t="shared" si="248"/>
        <v>0</v>
      </c>
      <c r="AC384" s="86">
        <f t="shared" si="221"/>
        <v>0</v>
      </c>
      <c r="AD384" s="87">
        <f t="shared" si="249"/>
        <v>0</v>
      </c>
      <c r="AE384" s="88">
        <f t="shared" si="250"/>
        <v>0</v>
      </c>
      <c r="AF384" s="88">
        <f t="shared" si="251"/>
        <v>0</v>
      </c>
      <c r="AG384" s="49" t="s">
        <v>922</v>
      </c>
      <c r="AH384" s="49" t="s">
        <v>909</v>
      </c>
      <c r="AI384" s="50"/>
      <c r="AJ384" s="46"/>
      <c r="AK384" s="46"/>
      <c r="AL384" s="46"/>
      <c r="AM384" s="51">
        <f>IF($AL384=4,VLOOKUP($AR384,'Loyalty Incentive v1'!$L$3:$Q$15,2,FALSE),
IF($AL384=3,VLOOKUP($AR384,'Loyalty Incentive v1'!$L$3:$Q$15,3,FALSE),
IF($AL384=2,VLOOKUP($AR384,'Loyalty Incentive v1'!$L$3:$Q$15,4,FALSE),
IF($AL384=1,VLOOKUP($AR384,'Loyalty Incentive v1'!$L$3:$Q$15,5,FALSE),
IF($AL384=0,VLOOKUP($AR384,'Loyalty Incentive v1'!$L$3:$Q$15,6,FALSE),0)))))</f>
        <v>0</v>
      </c>
      <c r="AN384" s="51">
        <f>IFERROR(IF(I384&gt;="1",AM384,VLOOKUP(VALUE(I384),'Loyalty - Effec - 15July'!$I$5:$J$16,2,0)*AM384),0)</f>
        <v>0</v>
      </c>
      <c r="AO384" s="51">
        <v>0</v>
      </c>
      <c r="AP384" s="51">
        <f t="shared" si="252"/>
        <v>0</v>
      </c>
      <c r="AQ384" s="46" t="str">
        <f t="shared" si="253"/>
        <v>No</v>
      </c>
      <c r="AR384" s="46" t="str">
        <f t="shared" si="254"/>
        <v>AE2</v>
      </c>
      <c r="AS384" s="46" t="b">
        <f t="shared" si="255"/>
        <v>1</v>
      </c>
      <c r="AT384" s="82">
        <f t="shared" si="256"/>
        <v>0</v>
      </c>
      <c r="AU384" s="81">
        <f t="shared" si="257"/>
        <v>0</v>
      </c>
      <c r="AV384" s="81">
        <f t="shared" si="258"/>
        <v>0</v>
      </c>
      <c r="AW384" s="81">
        <f t="shared" si="259"/>
        <v>0</v>
      </c>
      <c r="AX384" s="85"/>
      <c r="AY384" s="81">
        <f t="shared" si="260"/>
        <v>0</v>
      </c>
      <c r="AZ384" s="83">
        <f t="shared" si="261"/>
        <v>0</v>
      </c>
      <c r="BA384" s="81">
        <f t="shared" si="262"/>
        <v>0</v>
      </c>
      <c r="BB384" s="83">
        <v>0</v>
      </c>
      <c r="BC384" s="83">
        <v>0</v>
      </c>
      <c r="BD384" s="83">
        <v>0</v>
      </c>
      <c r="BE384" s="84">
        <f>ROUND((IF(($AT384&lt;=700000),0,IF(((VLOOKUP($AR384,'Loyalty - Effec - 15July'!$B$5:$C$17,2,0)*$AT384)&lt;=120000),(VLOOKUP($AR384,'Loyalty - Effec - 15July'!$B$5:$C$17,2,0)*$AT384),120000))),0)</f>
        <v>0</v>
      </c>
      <c r="BF384" s="83">
        <f>ROUND(VLOOKUP($AR384,'Loyalty - Effec - 15July'!$B$5:$D$17,3,0)*$AT384,0)</f>
        <v>0</v>
      </c>
      <c r="BG384" s="85">
        <f t="shared" si="263"/>
        <v>0</v>
      </c>
      <c r="BH384" s="83">
        <f t="shared" si="264"/>
        <v>0</v>
      </c>
      <c r="BI384" s="85">
        <f t="shared" si="243"/>
        <v>0</v>
      </c>
      <c r="BJ384" s="85">
        <f t="shared" si="265"/>
        <v>0</v>
      </c>
      <c r="BK384" s="85">
        <f t="shared" si="266"/>
        <v>0</v>
      </c>
      <c r="BL384" s="85">
        <f t="shared" si="267"/>
        <v>0</v>
      </c>
      <c r="BM384" s="85">
        <f t="shared" si="268"/>
        <v>0</v>
      </c>
      <c r="BN384" s="85">
        <f t="shared" si="269"/>
        <v>0</v>
      </c>
      <c r="BO384" s="46" t="s">
        <v>85</v>
      </c>
      <c r="BP384" s="46"/>
      <c r="BQ384" s="46"/>
      <c r="BU384" s="47">
        <f t="shared" si="244"/>
        <v>0</v>
      </c>
      <c r="BV384" s="53" t="s">
        <v>938</v>
      </c>
      <c r="BW384" s="53" t="s">
        <v>932</v>
      </c>
      <c r="BX384" s="53" t="s">
        <v>952</v>
      </c>
      <c r="BY384" s="53"/>
      <c r="BZ384" s="53"/>
    </row>
    <row r="385" spans="1:78">
      <c r="A385" s="42" t="s">
        <v>939</v>
      </c>
      <c r="B385" s="28" t="s">
        <v>79</v>
      </c>
      <c r="C385" s="28" t="s">
        <v>80</v>
      </c>
      <c r="D385" s="28" t="s">
        <v>932</v>
      </c>
      <c r="F385" s="28" t="s">
        <v>901</v>
      </c>
      <c r="G385" s="44" t="s">
        <v>953</v>
      </c>
      <c r="H385" s="45">
        <v>45203</v>
      </c>
      <c r="I385" s="46" t="e">
        <v>#NUM!</v>
      </c>
      <c r="J385" s="28"/>
      <c r="K385" s="28" t="s">
        <v>396</v>
      </c>
      <c r="L385" s="28" t="s">
        <v>155</v>
      </c>
      <c r="M385" s="28" t="s">
        <v>9</v>
      </c>
      <c r="N385" s="28" t="str">
        <f t="shared" si="213"/>
        <v>AE1</v>
      </c>
      <c r="O385" s="81"/>
      <c r="P385" s="81">
        <f t="shared" si="214"/>
        <v>0</v>
      </c>
      <c r="Q385" s="81">
        <f t="shared" si="245"/>
        <v>0</v>
      </c>
      <c r="R385" s="81">
        <f t="shared" si="246"/>
        <v>0</v>
      </c>
      <c r="S385" s="81"/>
      <c r="T385" s="82">
        <f t="shared" si="247"/>
        <v>0</v>
      </c>
      <c r="U385" s="82">
        <f t="shared" si="218"/>
        <v>0</v>
      </c>
      <c r="V385" s="82">
        <f t="shared" si="219"/>
        <v>0</v>
      </c>
      <c r="W385" s="83">
        <v>0</v>
      </c>
      <c r="X385" s="83">
        <v>0</v>
      </c>
      <c r="Y385" s="83">
        <v>0</v>
      </c>
      <c r="Z385" s="84">
        <f>ROUND((IF(($O385&lt;=700000),0,IF(((VLOOKUP($M385,'Loyalty - Effec - 15July'!$B$5:$C$17,2,0)*$O385)&lt;=120000),(VLOOKUP($M385,'Loyalty - Effec - 15July'!$B$5:$C$17,2,0)*$O385),120000))),0)</f>
        <v>0</v>
      </c>
      <c r="AA385" s="84">
        <f>ROUND(VLOOKUP($M385,'Loyalty - Effec - 15July'!$B$5:$D$17,3,0)*$O385,0)</f>
        <v>0</v>
      </c>
      <c r="AB385" s="85">
        <f t="shared" si="248"/>
        <v>0</v>
      </c>
      <c r="AC385" s="86">
        <f t="shared" si="221"/>
        <v>0</v>
      </c>
      <c r="AD385" s="87">
        <f>O385-AB385</f>
        <v>0</v>
      </c>
      <c r="AE385" s="88">
        <f t="shared" si="250"/>
        <v>0</v>
      </c>
      <c r="AF385" s="88">
        <f t="shared" si="251"/>
        <v>0</v>
      </c>
      <c r="AG385" s="49"/>
      <c r="AH385" s="49"/>
      <c r="AI385" s="50"/>
      <c r="AJ385" s="46"/>
      <c r="AK385" s="46"/>
      <c r="AL385" s="46"/>
      <c r="AM385" s="51">
        <f>IF($AL385=4,VLOOKUP($AR385,'Loyalty Incentive v1'!$L$3:$Q$15,2,FALSE),
IF($AL385=3,VLOOKUP($AR385,'Loyalty Incentive v1'!$L$3:$Q$15,3,FALSE),
IF($AL385=2,VLOOKUP($AR385,'Loyalty Incentive v1'!$L$3:$Q$15,4,FALSE),
IF($AL385=1,VLOOKUP($AR385,'Loyalty Incentive v1'!$L$3:$Q$15,5,FALSE),
IF($AL385=0,VLOOKUP($AR385,'Loyalty Incentive v1'!$L$3:$Q$15,6,FALSE),0)))))</f>
        <v>0</v>
      </c>
      <c r="AN385" s="51">
        <f>IFERROR(IF(I385&gt;="1",AM385,VLOOKUP(VALUE(I385),'Loyalty - Effec - 15July'!$I$5:$J$16,2,0)*AM385),0)</f>
        <v>0</v>
      </c>
      <c r="AO385" s="51">
        <v>0</v>
      </c>
      <c r="AP385" s="51">
        <f t="shared" si="252"/>
        <v>0</v>
      </c>
      <c r="AQ385" s="46" t="str">
        <f t="shared" si="253"/>
        <v>No</v>
      </c>
      <c r="AR385" s="46" t="str">
        <f t="shared" si="254"/>
        <v>AE1</v>
      </c>
      <c r="AS385" s="46" t="b">
        <f t="shared" si="255"/>
        <v>1</v>
      </c>
      <c r="AT385" s="82">
        <f t="shared" si="256"/>
        <v>0</v>
      </c>
      <c r="AU385" s="81">
        <f t="shared" si="257"/>
        <v>0</v>
      </c>
      <c r="AV385" s="81">
        <f t="shared" si="258"/>
        <v>0</v>
      </c>
      <c r="AW385" s="81">
        <f t="shared" si="259"/>
        <v>0</v>
      </c>
      <c r="AX385" s="85"/>
      <c r="AY385" s="81">
        <f t="shared" si="260"/>
        <v>0</v>
      </c>
      <c r="AZ385" s="83">
        <f t="shared" si="261"/>
        <v>0</v>
      </c>
      <c r="BA385" s="81">
        <f t="shared" si="262"/>
        <v>0</v>
      </c>
      <c r="BB385" s="83">
        <v>0</v>
      </c>
      <c r="BC385" s="83">
        <v>0</v>
      </c>
      <c r="BD385" s="83">
        <v>0</v>
      </c>
      <c r="BE385" s="84">
        <f>ROUND((IF(($AT385&lt;=700000),0,IF(((VLOOKUP($AR385,'Loyalty - Effec - 15July'!$B$5:$C$17,2,0)*$AT385)&lt;=120000),(VLOOKUP($AR385,'Loyalty - Effec - 15July'!$B$5:$C$17,2,0)*$AT385),120000))),0)</f>
        <v>0</v>
      </c>
      <c r="BF385" s="83">
        <f>ROUND(VLOOKUP($AR385,'Loyalty - Effec - 15July'!$B$5:$D$17,3,0)*$AT385,0)</f>
        <v>0</v>
      </c>
      <c r="BG385" s="85">
        <f t="shared" si="263"/>
        <v>0</v>
      </c>
      <c r="BH385" s="83">
        <f t="shared" si="264"/>
        <v>0</v>
      </c>
      <c r="BI385" s="85">
        <f t="shared" si="243"/>
        <v>0</v>
      </c>
      <c r="BJ385" s="85">
        <f t="shared" si="265"/>
        <v>0</v>
      </c>
      <c r="BK385" s="85">
        <f t="shared" si="266"/>
        <v>0</v>
      </c>
      <c r="BL385" s="85">
        <f t="shared" si="267"/>
        <v>0</v>
      </c>
      <c r="BM385" s="85">
        <f t="shared" si="268"/>
        <v>0</v>
      </c>
      <c r="BN385" s="85">
        <f t="shared" si="269"/>
        <v>0</v>
      </c>
      <c r="BO385" s="46" t="s">
        <v>85</v>
      </c>
      <c r="BP385" s="46"/>
      <c r="BQ385" s="46"/>
      <c r="BU385" s="47">
        <f t="shared" si="244"/>
        <v>0</v>
      </c>
      <c r="BV385" s="53" t="s">
        <v>939</v>
      </c>
      <c r="BW385" s="53" t="s">
        <v>932</v>
      </c>
      <c r="BX385" s="53" t="s">
        <v>953</v>
      </c>
      <c r="BY385" s="53"/>
      <c r="BZ385" s="53"/>
    </row>
    <row r="386" spans="1:78">
      <c r="A386" s="42" t="s">
        <v>940</v>
      </c>
      <c r="B386" s="28" t="s">
        <v>79</v>
      </c>
      <c r="C386" s="28" t="s">
        <v>80</v>
      </c>
      <c r="D386" s="28" t="s">
        <v>932</v>
      </c>
      <c r="F386" s="28" t="s">
        <v>901</v>
      </c>
      <c r="G386" s="44" t="s">
        <v>954</v>
      </c>
      <c r="H386" s="45">
        <v>45203</v>
      </c>
      <c r="I386" s="46" t="e">
        <v>#NUM!</v>
      </c>
      <c r="J386" s="28"/>
      <c r="K386" s="28" t="s">
        <v>396</v>
      </c>
      <c r="L386" s="28" t="s">
        <v>155</v>
      </c>
      <c r="M386" s="28" t="s">
        <v>9</v>
      </c>
      <c r="N386" s="28" t="str">
        <f t="shared" si="213"/>
        <v>AE1</v>
      </c>
      <c r="O386" s="81"/>
      <c r="P386" s="81">
        <f t="shared" si="214"/>
        <v>0</v>
      </c>
      <c r="Q386" s="81">
        <f t="shared" si="245"/>
        <v>0</v>
      </c>
      <c r="R386" s="81">
        <f t="shared" si="246"/>
        <v>0</v>
      </c>
      <c r="S386" s="81"/>
      <c r="T386" s="82">
        <f t="shared" si="247"/>
        <v>0</v>
      </c>
      <c r="U386" s="82">
        <f t="shared" si="218"/>
        <v>0</v>
      </c>
      <c r="V386" s="82">
        <f t="shared" si="219"/>
        <v>0</v>
      </c>
      <c r="W386" s="83">
        <v>0</v>
      </c>
      <c r="X386" s="83">
        <v>0</v>
      </c>
      <c r="Y386" s="83">
        <v>0</v>
      </c>
      <c r="Z386" s="84">
        <f>ROUND((IF(($O386&lt;=700000),0,IF(((VLOOKUP($M386,'Loyalty - Effec - 15July'!$B$5:$C$17,2,0)*$O386)&lt;=120000),(VLOOKUP($M386,'Loyalty - Effec - 15July'!$B$5:$C$17,2,0)*$O386),120000))),0)</f>
        <v>0</v>
      </c>
      <c r="AA386" s="84">
        <f>ROUND(VLOOKUP($M386,'Loyalty - Effec - 15July'!$B$5:$D$17,3,0)*$O386,0)</f>
        <v>0</v>
      </c>
      <c r="AB386" s="85">
        <f t="shared" si="248"/>
        <v>0</v>
      </c>
      <c r="AC386" s="86">
        <f t="shared" si="221"/>
        <v>0</v>
      </c>
      <c r="AD386" s="87">
        <f t="shared" si="249"/>
        <v>0</v>
      </c>
      <c r="AE386" s="88">
        <f t="shared" si="250"/>
        <v>0</v>
      </c>
      <c r="AF386" s="88">
        <f t="shared" si="251"/>
        <v>0</v>
      </c>
      <c r="AG386" s="49"/>
      <c r="AH386" s="49"/>
      <c r="AI386" s="50"/>
      <c r="AJ386" s="46"/>
      <c r="AK386" s="46"/>
      <c r="AL386" s="46"/>
      <c r="AM386" s="51">
        <f>IF($AL386=4,VLOOKUP($AR386,'Loyalty Incentive v1'!$L$3:$Q$15,2,FALSE),
IF($AL386=3,VLOOKUP($AR386,'Loyalty Incentive v1'!$L$3:$Q$15,3,FALSE),
IF($AL386=2,VLOOKUP($AR386,'Loyalty Incentive v1'!$L$3:$Q$15,4,FALSE),
IF($AL386=1,VLOOKUP($AR386,'Loyalty Incentive v1'!$L$3:$Q$15,5,FALSE),
IF($AL386=0,VLOOKUP($AR386,'Loyalty Incentive v1'!$L$3:$Q$15,6,FALSE),0)))))</f>
        <v>0</v>
      </c>
      <c r="AN386" s="51">
        <f>IFERROR(IF(I386&gt;="1",AM386,VLOOKUP(VALUE(I386),'Loyalty - Effec - 15July'!$I$5:$J$16,2,0)*AM386),0)</f>
        <v>0</v>
      </c>
      <c r="AO386" s="51">
        <v>0</v>
      </c>
      <c r="AP386" s="51">
        <f t="shared" si="252"/>
        <v>0</v>
      </c>
      <c r="AQ386" s="46" t="str">
        <f t="shared" si="253"/>
        <v>No</v>
      </c>
      <c r="AR386" s="46" t="str">
        <f t="shared" si="254"/>
        <v>AE1</v>
      </c>
      <c r="AS386" s="46" t="b">
        <f t="shared" si="255"/>
        <v>1</v>
      </c>
      <c r="AT386" s="82">
        <f t="shared" si="256"/>
        <v>0</v>
      </c>
      <c r="AU386" s="81">
        <f t="shared" si="257"/>
        <v>0</v>
      </c>
      <c r="AV386" s="81">
        <f t="shared" si="258"/>
        <v>0</v>
      </c>
      <c r="AW386" s="81">
        <f t="shared" si="259"/>
        <v>0</v>
      </c>
      <c r="AX386" s="85"/>
      <c r="AY386" s="81">
        <f t="shared" si="260"/>
        <v>0</v>
      </c>
      <c r="AZ386" s="83">
        <f t="shared" si="261"/>
        <v>0</v>
      </c>
      <c r="BA386" s="81">
        <f t="shared" si="262"/>
        <v>0</v>
      </c>
      <c r="BB386" s="83">
        <v>0</v>
      </c>
      <c r="BC386" s="83">
        <v>0</v>
      </c>
      <c r="BD386" s="83">
        <v>0</v>
      </c>
      <c r="BE386" s="84">
        <f>ROUND((IF(($AT386&lt;=700000),0,IF(((VLOOKUP($AR386,'Loyalty - Effec - 15July'!$B$5:$C$17,2,0)*$AT386)&lt;=120000),(VLOOKUP($AR386,'Loyalty - Effec - 15July'!$B$5:$C$17,2,0)*$AT386),120000))),0)</f>
        <v>0</v>
      </c>
      <c r="BF386" s="83">
        <f>ROUND(VLOOKUP($AR386,'Loyalty - Effec - 15July'!$B$5:$D$17,3,0)*$AT386,0)</f>
        <v>0</v>
      </c>
      <c r="BG386" s="85">
        <f t="shared" si="263"/>
        <v>0</v>
      </c>
      <c r="BH386" s="83">
        <f t="shared" si="264"/>
        <v>0</v>
      </c>
      <c r="BI386" s="85">
        <f t="shared" si="243"/>
        <v>0</v>
      </c>
      <c r="BJ386" s="85">
        <f t="shared" si="265"/>
        <v>0</v>
      </c>
      <c r="BK386" s="85">
        <f t="shared" si="266"/>
        <v>0</v>
      </c>
      <c r="BL386" s="85">
        <f t="shared" si="267"/>
        <v>0</v>
      </c>
      <c r="BM386" s="85">
        <f t="shared" si="268"/>
        <v>0</v>
      </c>
      <c r="BN386" s="85">
        <f t="shared" si="269"/>
        <v>0</v>
      </c>
      <c r="BO386" s="46" t="s">
        <v>85</v>
      </c>
      <c r="BP386" s="46"/>
      <c r="BQ386" s="46"/>
      <c r="BU386" s="47">
        <f t="shared" si="244"/>
        <v>0</v>
      </c>
      <c r="BV386" s="53" t="s">
        <v>940</v>
      </c>
      <c r="BW386" s="53" t="s">
        <v>932</v>
      </c>
      <c r="BX386" s="53" t="s">
        <v>954</v>
      </c>
      <c r="BY386" s="53"/>
      <c r="BZ386" s="53"/>
    </row>
    <row r="387" spans="1:78">
      <c r="A387" s="42" t="s">
        <v>941</v>
      </c>
      <c r="B387" s="28" t="s">
        <v>79</v>
      </c>
      <c r="C387" s="28" t="s">
        <v>80</v>
      </c>
      <c r="D387" s="28" t="s">
        <v>932</v>
      </c>
      <c r="F387" s="28" t="s">
        <v>901</v>
      </c>
      <c r="G387" s="44" t="s">
        <v>955</v>
      </c>
      <c r="H387" s="45">
        <v>45203</v>
      </c>
      <c r="I387" s="46" t="e">
        <v>#NUM!</v>
      </c>
      <c r="J387" s="28"/>
      <c r="K387" s="28" t="s">
        <v>396</v>
      </c>
      <c r="L387" s="28" t="s">
        <v>155</v>
      </c>
      <c r="M387" s="28" t="s">
        <v>9</v>
      </c>
      <c r="N387" s="28" t="str">
        <f t="shared" si="213"/>
        <v>AE1</v>
      </c>
      <c r="O387" s="81"/>
      <c r="P387" s="81">
        <f t="shared" si="214"/>
        <v>0</v>
      </c>
      <c r="Q387" s="81">
        <f t="shared" si="245"/>
        <v>0</v>
      </c>
      <c r="R387" s="81">
        <f t="shared" si="246"/>
        <v>0</v>
      </c>
      <c r="S387" s="81"/>
      <c r="T387" s="82">
        <f t="shared" si="247"/>
        <v>0</v>
      </c>
      <c r="U387" s="82">
        <f t="shared" si="218"/>
        <v>0</v>
      </c>
      <c r="V387" s="82">
        <f t="shared" si="219"/>
        <v>0</v>
      </c>
      <c r="W387" s="83">
        <v>0</v>
      </c>
      <c r="X387" s="83">
        <v>0</v>
      </c>
      <c r="Y387" s="83">
        <v>0</v>
      </c>
      <c r="Z387" s="84">
        <f>ROUND((IF(($O387&lt;=700000),0,IF(((VLOOKUP($M387,'Loyalty - Effec - 15July'!$B$5:$C$17,2,0)*$O387)&lt;=120000),(VLOOKUP($M387,'Loyalty - Effec - 15July'!$B$5:$C$17,2,0)*$O387),120000))),0)</f>
        <v>0</v>
      </c>
      <c r="AA387" s="84">
        <f>ROUND(VLOOKUP($M387,'Loyalty - Effec - 15July'!$B$5:$D$17,3,0)*$O387,0)</f>
        <v>0</v>
      </c>
      <c r="AB387" s="85">
        <f t="shared" si="248"/>
        <v>0</v>
      </c>
      <c r="AC387" s="86">
        <f t="shared" si="221"/>
        <v>0</v>
      </c>
      <c r="AD387" s="87">
        <f t="shared" si="249"/>
        <v>0</v>
      </c>
      <c r="AE387" s="88">
        <f t="shared" si="250"/>
        <v>0</v>
      </c>
      <c r="AF387" s="88">
        <f t="shared" si="251"/>
        <v>0</v>
      </c>
      <c r="AG387" s="49"/>
      <c r="AH387" s="49"/>
      <c r="AI387" s="50"/>
      <c r="AJ387" s="46"/>
      <c r="AK387" s="46"/>
      <c r="AL387" s="46"/>
      <c r="AM387" s="51">
        <f>IF($AL387=4,VLOOKUP($AR387,'Loyalty Incentive v1'!$L$3:$Q$15,2,FALSE),
IF($AL387=3,VLOOKUP($AR387,'Loyalty Incentive v1'!$L$3:$Q$15,3,FALSE),
IF($AL387=2,VLOOKUP($AR387,'Loyalty Incentive v1'!$L$3:$Q$15,4,FALSE),
IF($AL387=1,VLOOKUP($AR387,'Loyalty Incentive v1'!$L$3:$Q$15,5,FALSE),
IF($AL387=0,VLOOKUP($AR387,'Loyalty Incentive v1'!$L$3:$Q$15,6,FALSE),0)))))</f>
        <v>0</v>
      </c>
      <c r="AN387" s="51">
        <f>IFERROR(IF(I387&gt;="1",AM387,VLOOKUP(VALUE(I387),'Loyalty - Effec - 15July'!$I$5:$J$16,2,0)*AM387),0)</f>
        <v>0</v>
      </c>
      <c r="AO387" s="51">
        <v>0</v>
      </c>
      <c r="AP387" s="51">
        <f t="shared" si="252"/>
        <v>0</v>
      </c>
      <c r="AQ387" s="46" t="str">
        <f t="shared" si="253"/>
        <v>No</v>
      </c>
      <c r="AR387" s="46" t="str">
        <f t="shared" si="254"/>
        <v>AE1</v>
      </c>
      <c r="AS387" s="46" t="b">
        <f t="shared" si="255"/>
        <v>1</v>
      </c>
      <c r="AT387" s="82">
        <f t="shared" si="256"/>
        <v>0</v>
      </c>
      <c r="AU387" s="81">
        <f t="shared" si="257"/>
        <v>0</v>
      </c>
      <c r="AV387" s="81">
        <f t="shared" si="258"/>
        <v>0</v>
      </c>
      <c r="AW387" s="81">
        <f t="shared" si="259"/>
        <v>0</v>
      </c>
      <c r="AX387" s="85"/>
      <c r="AY387" s="81">
        <f t="shared" si="260"/>
        <v>0</v>
      </c>
      <c r="AZ387" s="83">
        <f t="shared" si="261"/>
        <v>0</v>
      </c>
      <c r="BA387" s="81">
        <f t="shared" si="262"/>
        <v>0</v>
      </c>
      <c r="BB387" s="83">
        <v>0</v>
      </c>
      <c r="BC387" s="83">
        <v>0</v>
      </c>
      <c r="BD387" s="83">
        <v>0</v>
      </c>
      <c r="BE387" s="84">
        <f>ROUND((IF(($AT387&lt;=700000),0,IF(((VLOOKUP($AR387,'Loyalty - Effec - 15July'!$B$5:$C$17,2,0)*$AT387)&lt;=120000),(VLOOKUP($AR387,'Loyalty - Effec - 15July'!$B$5:$C$17,2,0)*$AT387),120000))),0)</f>
        <v>0</v>
      </c>
      <c r="BF387" s="83">
        <f>ROUND(VLOOKUP($AR387,'Loyalty - Effec - 15July'!$B$5:$D$17,3,0)*$AT387,0)</f>
        <v>0</v>
      </c>
      <c r="BG387" s="85">
        <f t="shared" si="263"/>
        <v>0</v>
      </c>
      <c r="BH387" s="83">
        <f t="shared" si="264"/>
        <v>0</v>
      </c>
      <c r="BI387" s="85">
        <f t="shared" si="243"/>
        <v>0</v>
      </c>
      <c r="BJ387" s="85">
        <f t="shared" si="265"/>
        <v>0</v>
      </c>
      <c r="BK387" s="85">
        <f t="shared" si="266"/>
        <v>0</v>
      </c>
      <c r="BL387" s="85">
        <f t="shared" si="267"/>
        <v>0</v>
      </c>
      <c r="BM387" s="85">
        <f t="shared" si="268"/>
        <v>0</v>
      </c>
      <c r="BN387" s="85">
        <f t="shared" si="269"/>
        <v>0</v>
      </c>
      <c r="BO387" s="46" t="s">
        <v>85</v>
      </c>
      <c r="BP387" s="46"/>
      <c r="BQ387" s="46"/>
      <c r="BU387" s="47">
        <f t="shared" si="244"/>
        <v>0</v>
      </c>
      <c r="BV387" s="53" t="s">
        <v>941</v>
      </c>
      <c r="BW387" s="53" t="s">
        <v>932</v>
      </c>
      <c r="BX387" s="53" t="s">
        <v>955</v>
      </c>
      <c r="BY387" s="53"/>
      <c r="BZ387" s="53"/>
    </row>
    <row r="388" spans="1:78">
      <c r="A388" s="42" t="s">
        <v>942</v>
      </c>
      <c r="B388" s="28" t="s">
        <v>79</v>
      </c>
      <c r="C388" s="28" t="s">
        <v>80</v>
      </c>
      <c r="D388" s="28" t="s">
        <v>932</v>
      </c>
      <c r="F388" s="28" t="s">
        <v>901</v>
      </c>
      <c r="G388" s="44" t="s">
        <v>956</v>
      </c>
      <c r="H388" s="45">
        <v>45203</v>
      </c>
      <c r="I388" s="46" t="e">
        <v>#NUM!</v>
      </c>
      <c r="J388" s="28"/>
      <c r="K388" s="28" t="s">
        <v>396</v>
      </c>
      <c r="L388" s="28" t="s">
        <v>155</v>
      </c>
      <c r="M388" s="28" t="s">
        <v>9</v>
      </c>
      <c r="N388" s="28" t="str">
        <f t="shared" si="213"/>
        <v>AE1</v>
      </c>
      <c r="O388" s="81"/>
      <c r="P388" s="81">
        <f t="shared" si="214"/>
        <v>0</v>
      </c>
      <c r="Q388" s="81">
        <f t="shared" si="245"/>
        <v>0</v>
      </c>
      <c r="R388" s="81">
        <f t="shared" si="246"/>
        <v>0</v>
      </c>
      <c r="S388" s="81"/>
      <c r="T388" s="82">
        <f t="shared" si="247"/>
        <v>0</v>
      </c>
      <c r="U388" s="82">
        <f t="shared" si="218"/>
        <v>0</v>
      </c>
      <c r="V388" s="82">
        <f t="shared" si="219"/>
        <v>0</v>
      </c>
      <c r="W388" s="83">
        <v>0</v>
      </c>
      <c r="X388" s="83">
        <v>0</v>
      </c>
      <c r="Y388" s="83">
        <v>0</v>
      </c>
      <c r="Z388" s="84">
        <f>ROUND((IF(($O388&lt;=700000),0,IF(((VLOOKUP($M388,'Loyalty - Effec - 15July'!$B$5:$C$17,2,0)*$O388)&lt;=120000),(VLOOKUP($M388,'Loyalty - Effec - 15July'!$B$5:$C$17,2,0)*$O388),120000))),0)</f>
        <v>0</v>
      </c>
      <c r="AA388" s="84">
        <f>ROUND(VLOOKUP($M388,'Loyalty - Effec - 15July'!$B$5:$D$17,3,0)*$O388,0)</f>
        <v>0</v>
      </c>
      <c r="AB388" s="85">
        <f t="shared" si="248"/>
        <v>0</v>
      </c>
      <c r="AC388" s="86">
        <f t="shared" si="221"/>
        <v>0</v>
      </c>
      <c r="AD388" s="87">
        <f t="shared" si="249"/>
        <v>0</v>
      </c>
      <c r="AE388" s="88">
        <f t="shared" si="250"/>
        <v>0</v>
      </c>
      <c r="AF388" s="88">
        <f t="shared" si="251"/>
        <v>0</v>
      </c>
      <c r="AG388" s="49"/>
      <c r="AH388" s="49"/>
      <c r="AI388" s="50"/>
      <c r="AJ388" s="46"/>
      <c r="AK388" s="46"/>
      <c r="AL388" s="46"/>
      <c r="AM388" s="51">
        <f>IF($AL388=4,VLOOKUP($AR388,'Loyalty Incentive v1'!$L$3:$Q$15,2,FALSE),
IF($AL388=3,VLOOKUP($AR388,'Loyalty Incentive v1'!$L$3:$Q$15,3,FALSE),
IF($AL388=2,VLOOKUP($AR388,'Loyalty Incentive v1'!$L$3:$Q$15,4,FALSE),
IF($AL388=1,VLOOKUP($AR388,'Loyalty Incentive v1'!$L$3:$Q$15,5,FALSE),
IF($AL388=0,VLOOKUP($AR388,'Loyalty Incentive v1'!$L$3:$Q$15,6,FALSE),0)))))</f>
        <v>0</v>
      </c>
      <c r="AN388" s="51">
        <f>IFERROR(IF(I388&gt;="1",AM388,VLOOKUP(VALUE(I388),'Loyalty - Effec - 15July'!$I$5:$J$16,2,0)*AM388),0)</f>
        <v>0</v>
      </c>
      <c r="AO388" s="51">
        <v>0</v>
      </c>
      <c r="AP388" s="51">
        <f t="shared" si="252"/>
        <v>0</v>
      </c>
      <c r="AQ388" s="46" t="str">
        <f t="shared" si="253"/>
        <v>No</v>
      </c>
      <c r="AR388" s="46" t="str">
        <f t="shared" si="254"/>
        <v>AE1</v>
      </c>
      <c r="AS388" s="46" t="b">
        <f t="shared" si="255"/>
        <v>1</v>
      </c>
      <c r="AT388" s="82">
        <f t="shared" si="256"/>
        <v>0</v>
      </c>
      <c r="AU388" s="81">
        <f t="shared" si="257"/>
        <v>0</v>
      </c>
      <c r="AV388" s="81">
        <f t="shared" si="258"/>
        <v>0</v>
      </c>
      <c r="AW388" s="81">
        <f t="shared" si="259"/>
        <v>0</v>
      </c>
      <c r="AX388" s="85"/>
      <c r="AY388" s="81">
        <f t="shared" si="260"/>
        <v>0</v>
      </c>
      <c r="AZ388" s="83">
        <f t="shared" si="261"/>
        <v>0</v>
      </c>
      <c r="BA388" s="81">
        <f t="shared" si="262"/>
        <v>0</v>
      </c>
      <c r="BB388" s="83">
        <v>0</v>
      </c>
      <c r="BC388" s="83">
        <v>0</v>
      </c>
      <c r="BD388" s="83">
        <v>0</v>
      </c>
      <c r="BE388" s="84">
        <f>ROUND((IF(($AT388&lt;=700000),0,IF(((VLOOKUP($AR388,'Loyalty - Effec - 15July'!$B$5:$C$17,2,0)*$AT388)&lt;=120000),(VLOOKUP($AR388,'Loyalty - Effec - 15July'!$B$5:$C$17,2,0)*$AT388),120000))),0)</f>
        <v>0</v>
      </c>
      <c r="BF388" s="83">
        <f>ROUND(VLOOKUP($AR388,'Loyalty - Effec - 15July'!$B$5:$D$17,3,0)*$AT388,0)</f>
        <v>0</v>
      </c>
      <c r="BG388" s="85">
        <f t="shared" si="263"/>
        <v>0</v>
      </c>
      <c r="BH388" s="83">
        <f t="shared" si="264"/>
        <v>0</v>
      </c>
      <c r="BI388" s="85">
        <f t="shared" si="243"/>
        <v>0</v>
      </c>
      <c r="BJ388" s="85">
        <f t="shared" si="265"/>
        <v>0</v>
      </c>
      <c r="BK388" s="85">
        <f t="shared" si="266"/>
        <v>0</v>
      </c>
      <c r="BL388" s="85">
        <f t="shared" si="267"/>
        <v>0</v>
      </c>
      <c r="BM388" s="85">
        <f t="shared" si="268"/>
        <v>0</v>
      </c>
      <c r="BN388" s="85">
        <f t="shared" si="269"/>
        <v>0</v>
      </c>
      <c r="BO388" s="46" t="s">
        <v>85</v>
      </c>
      <c r="BP388" s="46"/>
      <c r="BQ388" s="46"/>
      <c r="BU388" s="47">
        <f t="shared" si="244"/>
        <v>0</v>
      </c>
      <c r="BV388" s="53" t="s">
        <v>942</v>
      </c>
      <c r="BW388" s="53" t="s">
        <v>932</v>
      </c>
      <c r="BX388" s="53" t="s">
        <v>956</v>
      </c>
      <c r="BY388" s="53"/>
      <c r="BZ388" s="53"/>
    </row>
    <row r="389" spans="1:78">
      <c r="A389" s="42" t="s">
        <v>943</v>
      </c>
      <c r="B389" s="28" t="s">
        <v>79</v>
      </c>
      <c r="C389" s="28" t="s">
        <v>80</v>
      </c>
      <c r="D389" s="28" t="s">
        <v>932</v>
      </c>
      <c r="F389" s="28" t="s">
        <v>901</v>
      </c>
      <c r="G389" s="44" t="s">
        <v>957</v>
      </c>
      <c r="H389" s="45">
        <v>45203</v>
      </c>
      <c r="I389" s="46" t="e">
        <v>#NUM!</v>
      </c>
      <c r="J389" s="28"/>
      <c r="K389" s="28" t="s">
        <v>396</v>
      </c>
      <c r="L389" s="28" t="s">
        <v>155</v>
      </c>
      <c r="M389" s="28" t="s">
        <v>9</v>
      </c>
      <c r="N389" s="28" t="str">
        <f t="shared" si="213"/>
        <v>AE1</v>
      </c>
      <c r="O389" s="81"/>
      <c r="P389" s="81">
        <f t="shared" si="214"/>
        <v>0</v>
      </c>
      <c r="Q389" s="81">
        <f t="shared" si="245"/>
        <v>0</v>
      </c>
      <c r="R389" s="81">
        <f t="shared" si="246"/>
        <v>0</v>
      </c>
      <c r="S389" s="81"/>
      <c r="T389" s="82">
        <f t="shared" si="247"/>
        <v>0</v>
      </c>
      <c r="U389" s="82">
        <f t="shared" si="218"/>
        <v>0</v>
      </c>
      <c r="V389" s="82">
        <f t="shared" si="219"/>
        <v>0</v>
      </c>
      <c r="W389" s="83">
        <v>0</v>
      </c>
      <c r="X389" s="83">
        <v>0</v>
      </c>
      <c r="Y389" s="83">
        <v>0</v>
      </c>
      <c r="Z389" s="84">
        <f>ROUND((IF(($O389&lt;=700000),0,IF(((VLOOKUP($M389,'Loyalty - Effec - 15July'!$B$5:$C$17,2,0)*$O389)&lt;=120000),(VLOOKUP($M389,'Loyalty - Effec - 15July'!$B$5:$C$17,2,0)*$O389),120000))),0)</f>
        <v>0</v>
      </c>
      <c r="AA389" s="84">
        <f>ROUND(VLOOKUP($M389,'Loyalty - Effec - 15July'!$B$5:$D$17,3,0)*$O389,0)</f>
        <v>0</v>
      </c>
      <c r="AB389" s="85">
        <f t="shared" si="248"/>
        <v>0</v>
      </c>
      <c r="AC389" s="86">
        <f t="shared" si="221"/>
        <v>0</v>
      </c>
      <c r="AD389" s="87">
        <f t="shared" si="249"/>
        <v>0</v>
      </c>
      <c r="AE389" s="88">
        <f t="shared" si="250"/>
        <v>0</v>
      </c>
      <c r="AF389" s="88">
        <f t="shared" si="251"/>
        <v>0</v>
      </c>
      <c r="AG389" s="49"/>
      <c r="AH389" s="49"/>
      <c r="AI389" s="50"/>
      <c r="AJ389" s="46"/>
      <c r="AK389" s="46"/>
      <c r="AL389" s="46"/>
      <c r="AM389" s="51">
        <f>IF($AL389=4,VLOOKUP($AR389,'Loyalty Incentive v1'!$L$3:$Q$15,2,FALSE),
IF($AL389=3,VLOOKUP($AR389,'Loyalty Incentive v1'!$L$3:$Q$15,3,FALSE),
IF($AL389=2,VLOOKUP($AR389,'Loyalty Incentive v1'!$L$3:$Q$15,4,FALSE),
IF($AL389=1,VLOOKUP($AR389,'Loyalty Incentive v1'!$L$3:$Q$15,5,FALSE),
IF($AL389=0,VLOOKUP($AR389,'Loyalty Incentive v1'!$L$3:$Q$15,6,FALSE),0)))))</f>
        <v>0</v>
      </c>
      <c r="AN389" s="51">
        <f>IFERROR(IF(I389&gt;="1",AM389,VLOOKUP(VALUE(I389),'Loyalty - Effec - 15July'!$I$5:$J$16,2,0)*AM389),0)</f>
        <v>0</v>
      </c>
      <c r="AO389" s="51">
        <v>0</v>
      </c>
      <c r="AP389" s="51">
        <f t="shared" si="252"/>
        <v>0</v>
      </c>
      <c r="AQ389" s="46" t="str">
        <f t="shared" si="253"/>
        <v>No</v>
      </c>
      <c r="AR389" s="46" t="str">
        <f t="shared" si="254"/>
        <v>AE1</v>
      </c>
      <c r="AS389" s="46" t="b">
        <f t="shared" si="255"/>
        <v>1</v>
      </c>
      <c r="AT389" s="82">
        <f t="shared" si="256"/>
        <v>0</v>
      </c>
      <c r="AU389" s="81">
        <f t="shared" si="257"/>
        <v>0</v>
      </c>
      <c r="AV389" s="81">
        <f t="shared" si="258"/>
        <v>0</v>
      </c>
      <c r="AW389" s="81">
        <f t="shared" si="259"/>
        <v>0</v>
      </c>
      <c r="AX389" s="85"/>
      <c r="AY389" s="81">
        <f t="shared" si="260"/>
        <v>0</v>
      </c>
      <c r="AZ389" s="83">
        <f t="shared" si="261"/>
        <v>0</v>
      </c>
      <c r="BA389" s="81">
        <f t="shared" si="262"/>
        <v>0</v>
      </c>
      <c r="BB389" s="83">
        <v>0</v>
      </c>
      <c r="BC389" s="83">
        <v>0</v>
      </c>
      <c r="BD389" s="83">
        <v>0</v>
      </c>
      <c r="BE389" s="84">
        <f>ROUND((IF(($AT389&lt;=700000),0,IF(((VLOOKUP($AR389,'Loyalty - Effec - 15July'!$B$5:$C$17,2,0)*$AT389)&lt;=120000),(VLOOKUP($AR389,'Loyalty - Effec - 15July'!$B$5:$C$17,2,0)*$AT389),120000))),0)</f>
        <v>0</v>
      </c>
      <c r="BF389" s="83">
        <f>ROUND(VLOOKUP($AR389,'Loyalty - Effec - 15July'!$B$5:$D$17,3,0)*$AT389,0)</f>
        <v>0</v>
      </c>
      <c r="BG389" s="85">
        <f t="shared" si="263"/>
        <v>0</v>
      </c>
      <c r="BH389" s="83">
        <f t="shared" si="264"/>
        <v>0</v>
      </c>
      <c r="BI389" s="85">
        <f t="shared" si="243"/>
        <v>0</v>
      </c>
      <c r="BJ389" s="85">
        <f t="shared" si="265"/>
        <v>0</v>
      </c>
      <c r="BK389" s="85">
        <f t="shared" si="266"/>
        <v>0</v>
      </c>
      <c r="BL389" s="85">
        <f t="shared" si="267"/>
        <v>0</v>
      </c>
      <c r="BM389" s="85">
        <f t="shared" si="268"/>
        <v>0</v>
      </c>
      <c r="BN389" s="85">
        <f t="shared" si="269"/>
        <v>0</v>
      </c>
      <c r="BO389" s="46" t="s">
        <v>85</v>
      </c>
      <c r="BP389" s="46"/>
      <c r="BQ389" s="46"/>
      <c r="BU389" s="47">
        <f t="shared" si="244"/>
        <v>0</v>
      </c>
      <c r="BV389" s="53" t="s">
        <v>943</v>
      </c>
      <c r="BW389" s="53" t="s">
        <v>932</v>
      </c>
      <c r="BX389" s="53" t="s">
        <v>957</v>
      </c>
      <c r="BY389" s="53"/>
      <c r="BZ389" s="53"/>
    </row>
    <row r="390" spans="1:78">
      <c r="A390" s="42" t="s">
        <v>944</v>
      </c>
      <c r="B390" s="28" t="s">
        <v>79</v>
      </c>
      <c r="C390" s="28" t="s">
        <v>80</v>
      </c>
      <c r="D390" s="28" t="s">
        <v>932</v>
      </c>
      <c r="F390" s="28" t="s">
        <v>901</v>
      </c>
      <c r="G390" s="44" t="s">
        <v>958</v>
      </c>
      <c r="H390" s="45">
        <v>45203</v>
      </c>
      <c r="I390" s="46" t="e">
        <v>#NUM!</v>
      </c>
      <c r="J390" s="28"/>
      <c r="K390" s="28" t="s">
        <v>396</v>
      </c>
      <c r="L390" s="28" t="s">
        <v>155</v>
      </c>
      <c r="M390" s="28" t="s">
        <v>9</v>
      </c>
      <c r="N390" s="28" t="str">
        <f t="shared" si="213"/>
        <v>AE1</v>
      </c>
      <c r="O390" s="81"/>
      <c r="P390" s="81">
        <f t="shared" si="214"/>
        <v>0</v>
      </c>
      <c r="Q390" s="81">
        <f t="shared" si="245"/>
        <v>0</v>
      </c>
      <c r="R390" s="81">
        <f t="shared" si="246"/>
        <v>0</v>
      </c>
      <c r="S390" s="81"/>
      <c r="T390" s="82">
        <f t="shared" si="247"/>
        <v>0</v>
      </c>
      <c r="U390" s="82">
        <f t="shared" si="218"/>
        <v>0</v>
      </c>
      <c r="V390" s="82">
        <f t="shared" si="219"/>
        <v>0</v>
      </c>
      <c r="W390" s="83">
        <v>0</v>
      </c>
      <c r="X390" s="83">
        <v>0</v>
      </c>
      <c r="Y390" s="83">
        <v>0</v>
      </c>
      <c r="Z390" s="84">
        <f>ROUND((IF(($O390&lt;=700000),0,IF(((VLOOKUP($M390,'Loyalty - Effec - 15July'!$B$5:$C$17,2,0)*$O390)&lt;=120000),(VLOOKUP($M390,'Loyalty - Effec - 15July'!$B$5:$C$17,2,0)*$O390),120000))),0)</f>
        <v>0</v>
      </c>
      <c r="AA390" s="84">
        <f>ROUND(VLOOKUP($M390,'Loyalty - Effec - 15July'!$B$5:$D$17,3,0)*$O390,0)</f>
        <v>0</v>
      </c>
      <c r="AB390" s="85">
        <f t="shared" si="248"/>
        <v>0</v>
      </c>
      <c r="AC390" s="86">
        <f t="shared" si="221"/>
        <v>0</v>
      </c>
      <c r="AD390" s="87">
        <f t="shared" si="249"/>
        <v>0</v>
      </c>
      <c r="AE390" s="88">
        <f t="shared" si="250"/>
        <v>0</v>
      </c>
      <c r="AF390" s="88">
        <f t="shared" si="251"/>
        <v>0</v>
      </c>
      <c r="AG390" s="49"/>
      <c r="AH390" s="49"/>
      <c r="AI390" s="50"/>
      <c r="AJ390" s="46"/>
      <c r="AK390" s="46"/>
      <c r="AL390" s="46"/>
      <c r="AM390" s="51">
        <f>IF($AL390=4,VLOOKUP($AR390,'Loyalty Incentive v1'!$L$3:$Q$15,2,FALSE),
IF($AL390=3,VLOOKUP($AR390,'Loyalty Incentive v1'!$L$3:$Q$15,3,FALSE),
IF($AL390=2,VLOOKUP($AR390,'Loyalty Incentive v1'!$L$3:$Q$15,4,FALSE),
IF($AL390=1,VLOOKUP($AR390,'Loyalty Incentive v1'!$L$3:$Q$15,5,FALSE),
IF($AL390=0,VLOOKUP($AR390,'Loyalty Incentive v1'!$L$3:$Q$15,6,FALSE),0)))))</f>
        <v>0</v>
      </c>
      <c r="AN390" s="51">
        <f>IFERROR(IF(I390&gt;="1",AM390,VLOOKUP(VALUE(I390),'Loyalty - Effec - 15July'!$I$5:$J$16,2,0)*AM390),0)</f>
        <v>0</v>
      </c>
      <c r="AO390" s="51">
        <v>0</v>
      </c>
      <c r="AP390" s="51">
        <f t="shared" si="252"/>
        <v>0</v>
      </c>
      <c r="AQ390" s="46" t="str">
        <f t="shared" si="253"/>
        <v>No</v>
      </c>
      <c r="AR390" s="46" t="str">
        <f t="shared" si="254"/>
        <v>AE1</v>
      </c>
      <c r="AS390" s="46" t="b">
        <f t="shared" si="255"/>
        <v>1</v>
      </c>
      <c r="AT390" s="82">
        <f t="shared" si="256"/>
        <v>0</v>
      </c>
      <c r="AU390" s="81">
        <f t="shared" si="257"/>
        <v>0</v>
      </c>
      <c r="AV390" s="81">
        <f t="shared" si="258"/>
        <v>0</v>
      </c>
      <c r="AW390" s="81">
        <f t="shared" si="259"/>
        <v>0</v>
      </c>
      <c r="AX390" s="85"/>
      <c r="AY390" s="81">
        <f t="shared" si="260"/>
        <v>0</v>
      </c>
      <c r="AZ390" s="83">
        <f t="shared" si="261"/>
        <v>0</v>
      </c>
      <c r="BA390" s="81">
        <f t="shared" si="262"/>
        <v>0</v>
      </c>
      <c r="BB390" s="83">
        <v>0</v>
      </c>
      <c r="BC390" s="83">
        <v>0</v>
      </c>
      <c r="BD390" s="83">
        <v>0</v>
      </c>
      <c r="BE390" s="84">
        <f>ROUND((IF(($AT390&lt;=700000),0,IF(((VLOOKUP($AR390,'Loyalty - Effec - 15July'!$B$5:$C$17,2,0)*$AT390)&lt;=120000),(VLOOKUP($AR390,'Loyalty - Effec - 15July'!$B$5:$C$17,2,0)*$AT390),120000))),0)</f>
        <v>0</v>
      </c>
      <c r="BF390" s="83">
        <f>ROUND(VLOOKUP($AR390,'Loyalty - Effec - 15July'!$B$5:$D$17,3,0)*$AT390,0)</f>
        <v>0</v>
      </c>
      <c r="BG390" s="85">
        <f t="shared" si="263"/>
        <v>0</v>
      </c>
      <c r="BH390" s="83">
        <f t="shared" si="264"/>
        <v>0</v>
      </c>
      <c r="BI390" s="85">
        <f t="shared" si="243"/>
        <v>0</v>
      </c>
      <c r="BJ390" s="85">
        <f t="shared" si="265"/>
        <v>0</v>
      </c>
      <c r="BK390" s="85">
        <f t="shared" si="266"/>
        <v>0</v>
      </c>
      <c r="BL390" s="85">
        <f t="shared" si="267"/>
        <v>0</v>
      </c>
      <c r="BM390" s="85">
        <f t="shared" si="268"/>
        <v>0</v>
      </c>
      <c r="BN390" s="85">
        <f t="shared" si="269"/>
        <v>0</v>
      </c>
      <c r="BO390" s="46" t="s">
        <v>85</v>
      </c>
      <c r="BP390" s="46"/>
      <c r="BQ390" s="46"/>
      <c r="BU390" s="47">
        <f t="shared" si="244"/>
        <v>0</v>
      </c>
      <c r="BV390" s="53" t="s">
        <v>944</v>
      </c>
      <c r="BW390" s="53" t="s">
        <v>932</v>
      </c>
      <c r="BX390" s="53" t="s">
        <v>958</v>
      </c>
      <c r="BY390" s="53"/>
      <c r="BZ390" s="53"/>
    </row>
    <row r="391" spans="1:78">
      <c r="A391" s="42" t="s">
        <v>945</v>
      </c>
      <c r="B391" s="28" t="s">
        <v>79</v>
      </c>
      <c r="C391" s="28" t="s">
        <v>80</v>
      </c>
      <c r="D391" s="28" t="s">
        <v>932</v>
      </c>
      <c r="F391" s="28" t="s">
        <v>901</v>
      </c>
      <c r="G391" s="44" t="s">
        <v>959</v>
      </c>
      <c r="H391" s="45">
        <v>45203</v>
      </c>
      <c r="I391" s="46" t="e">
        <v>#NUM!</v>
      </c>
      <c r="J391" s="28"/>
      <c r="K391" s="28" t="s">
        <v>396</v>
      </c>
      <c r="L391" s="28" t="s">
        <v>155</v>
      </c>
      <c r="M391" s="28" t="s">
        <v>9</v>
      </c>
      <c r="N391" s="28" t="str">
        <f t="shared" si="213"/>
        <v>AE1</v>
      </c>
      <c r="O391" s="81"/>
      <c r="P391" s="81">
        <f t="shared" si="214"/>
        <v>0</v>
      </c>
      <c r="Q391" s="81">
        <f t="shared" si="245"/>
        <v>0</v>
      </c>
      <c r="R391" s="81">
        <f t="shared" si="246"/>
        <v>0</v>
      </c>
      <c r="S391" s="81"/>
      <c r="T391" s="82">
        <f t="shared" si="247"/>
        <v>0</v>
      </c>
      <c r="U391" s="82">
        <f t="shared" si="218"/>
        <v>0</v>
      </c>
      <c r="V391" s="82">
        <f t="shared" si="219"/>
        <v>0</v>
      </c>
      <c r="W391" s="83">
        <v>0</v>
      </c>
      <c r="X391" s="83">
        <v>0</v>
      </c>
      <c r="Y391" s="83">
        <v>0</v>
      </c>
      <c r="Z391" s="84">
        <f>ROUND((IF(($O391&lt;=700000),0,IF(((VLOOKUP($M391,'Loyalty - Effec - 15July'!$B$5:$C$17,2,0)*$O391)&lt;=120000),(VLOOKUP($M391,'Loyalty - Effec - 15July'!$B$5:$C$17,2,0)*$O391),120000))),0)</f>
        <v>0</v>
      </c>
      <c r="AA391" s="84">
        <f>ROUND(VLOOKUP($M391,'Loyalty - Effec - 15July'!$B$5:$D$17,3,0)*$O391,0)</f>
        <v>0</v>
      </c>
      <c r="AB391" s="85">
        <f t="shared" si="248"/>
        <v>0</v>
      </c>
      <c r="AC391" s="86">
        <f t="shared" si="221"/>
        <v>0</v>
      </c>
      <c r="AD391" s="87">
        <f t="shared" si="249"/>
        <v>0</v>
      </c>
      <c r="AE391" s="88">
        <f t="shared" si="250"/>
        <v>0</v>
      </c>
      <c r="AF391" s="88">
        <f t="shared" si="251"/>
        <v>0</v>
      </c>
      <c r="AG391" s="49"/>
      <c r="AH391" s="49"/>
      <c r="AI391" s="50"/>
      <c r="AJ391" s="46"/>
      <c r="AK391" s="46"/>
      <c r="AL391" s="46"/>
      <c r="AM391" s="51">
        <f>IF($AL391=4,VLOOKUP($AR391,'Loyalty Incentive v1'!$L$3:$Q$15,2,FALSE),
IF($AL391=3,VLOOKUP($AR391,'Loyalty Incentive v1'!$L$3:$Q$15,3,FALSE),
IF($AL391=2,VLOOKUP($AR391,'Loyalty Incentive v1'!$L$3:$Q$15,4,FALSE),
IF($AL391=1,VLOOKUP($AR391,'Loyalty Incentive v1'!$L$3:$Q$15,5,FALSE),
IF($AL391=0,VLOOKUP($AR391,'Loyalty Incentive v1'!$L$3:$Q$15,6,FALSE),0)))))</f>
        <v>0</v>
      </c>
      <c r="AN391" s="51">
        <f>IFERROR(IF(I391&gt;="1",AM391,VLOOKUP(VALUE(I391),'Loyalty - Effec - 15July'!$I$5:$J$16,2,0)*AM391),0)</f>
        <v>0</v>
      </c>
      <c r="AO391" s="51">
        <v>0</v>
      </c>
      <c r="AP391" s="51">
        <f t="shared" si="252"/>
        <v>0</v>
      </c>
      <c r="AQ391" s="46" t="str">
        <f t="shared" si="253"/>
        <v>No</v>
      </c>
      <c r="AR391" s="46" t="str">
        <f t="shared" si="254"/>
        <v>AE1</v>
      </c>
      <c r="AS391" s="46" t="b">
        <f t="shared" si="255"/>
        <v>1</v>
      </c>
      <c r="AT391" s="82">
        <f t="shared" si="256"/>
        <v>0</v>
      </c>
      <c r="AU391" s="81">
        <f t="shared" si="257"/>
        <v>0</v>
      </c>
      <c r="AV391" s="81">
        <f t="shared" si="258"/>
        <v>0</v>
      </c>
      <c r="AW391" s="81">
        <f t="shared" si="259"/>
        <v>0</v>
      </c>
      <c r="AX391" s="85"/>
      <c r="AY391" s="81">
        <f t="shared" si="260"/>
        <v>0</v>
      </c>
      <c r="AZ391" s="83">
        <f t="shared" si="261"/>
        <v>0</v>
      </c>
      <c r="BA391" s="81">
        <f t="shared" si="262"/>
        <v>0</v>
      </c>
      <c r="BB391" s="83">
        <v>0</v>
      </c>
      <c r="BC391" s="83">
        <v>0</v>
      </c>
      <c r="BD391" s="83">
        <v>0</v>
      </c>
      <c r="BE391" s="84">
        <f>ROUND((IF(($AT391&lt;=700000),0,IF(((VLOOKUP($AR391,'Loyalty - Effec - 15July'!$B$5:$C$17,2,0)*$AT391)&lt;=120000),(VLOOKUP($AR391,'Loyalty - Effec - 15July'!$B$5:$C$17,2,0)*$AT391),120000))),0)</f>
        <v>0</v>
      </c>
      <c r="BF391" s="83">
        <f>ROUND(VLOOKUP($AR391,'Loyalty - Effec - 15July'!$B$5:$D$17,3,0)*$AT391,0)</f>
        <v>0</v>
      </c>
      <c r="BG391" s="85">
        <f t="shared" si="263"/>
        <v>0</v>
      </c>
      <c r="BH391" s="83">
        <f t="shared" si="264"/>
        <v>0</v>
      </c>
      <c r="BI391" s="85">
        <f t="shared" si="243"/>
        <v>0</v>
      </c>
      <c r="BJ391" s="85">
        <f t="shared" si="265"/>
        <v>0</v>
      </c>
      <c r="BK391" s="85">
        <f t="shared" si="266"/>
        <v>0</v>
      </c>
      <c r="BL391" s="85">
        <f t="shared" si="267"/>
        <v>0</v>
      </c>
      <c r="BM391" s="85">
        <f t="shared" si="268"/>
        <v>0</v>
      </c>
      <c r="BN391" s="85">
        <f t="shared" si="269"/>
        <v>0</v>
      </c>
      <c r="BO391" s="46" t="s">
        <v>85</v>
      </c>
      <c r="BP391" s="46"/>
      <c r="BQ391" s="46"/>
      <c r="BU391" s="47">
        <f t="shared" si="244"/>
        <v>0</v>
      </c>
      <c r="BV391" s="53" t="s">
        <v>945</v>
      </c>
      <c r="BW391" s="53" t="s">
        <v>932</v>
      </c>
      <c r="BX391" s="53" t="s">
        <v>959</v>
      </c>
      <c r="BY391" s="53"/>
      <c r="BZ391" s="53"/>
    </row>
    <row r="392" spans="1:78">
      <c r="A392" s="42" t="s">
        <v>946</v>
      </c>
      <c r="B392" s="28" t="s">
        <v>79</v>
      </c>
      <c r="C392" s="28" t="s">
        <v>80</v>
      </c>
      <c r="D392" s="28" t="s">
        <v>932</v>
      </c>
      <c r="F392" s="28" t="s">
        <v>901</v>
      </c>
      <c r="G392" s="44" t="s">
        <v>960</v>
      </c>
      <c r="H392" s="45">
        <v>45203</v>
      </c>
      <c r="I392" s="46" t="e">
        <v>#NUM!</v>
      </c>
      <c r="J392" s="28"/>
      <c r="K392" s="28" t="s">
        <v>396</v>
      </c>
      <c r="L392" s="28" t="s">
        <v>155</v>
      </c>
      <c r="M392" s="28" t="s">
        <v>9</v>
      </c>
      <c r="N392" s="28" t="str">
        <f t="shared" si="213"/>
        <v>AE1</v>
      </c>
      <c r="O392" s="81"/>
      <c r="P392" s="81">
        <f t="shared" si="214"/>
        <v>0</v>
      </c>
      <c r="Q392" s="81">
        <f t="shared" si="245"/>
        <v>0</v>
      </c>
      <c r="R392" s="81">
        <f t="shared" si="246"/>
        <v>0</v>
      </c>
      <c r="S392" s="81"/>
      <c r="T392" s="82">
        <f t="shared" si="247"/>
        <v>0</v>
      </c>
      <c r="U392" s="82">
        <f t="shared" si="218"/>
        <v>0</v>
      </c>
      <c r="V392" s="82">
        <f t="shared" si="219"/>
        <v>0</v>
      </c>
      <c r="W392" s="83">
        <v>0</v>
      </c>
      <c r="X392" s="83">
        <v>0</v>
      </c>
      <c r="Y392" s="83">
        <v>0</v>
      </c>
      <c r="Z392" s="84">
        <f>ROUND((IF(($O392&lt;=700000),0,IF(((VLOOKUP($M392,'Loyalty - Effec - 15July'!$B$5:$C$17,2,0)*$O392)&lt;=120000),(VLOOKUP($M392,'Loyalty - Effec - 15July'!$B$5:$C$17,2,0)*$O392),120000))),0)</f>
        <v>0</v>
      </c>
      <c r="AA392" s="84">
        <f>ROUND(VLOOKUP($M392,'Loyalty - Effec - 15July'!$B$5:$D$17,3,0)*$O392,0)</f>
        <v>0</v>
      </c>
      <c r="AB392" s="85">
        <f t="shared" si="248"/>
        <v>0</v>
      </c>
      <c r="AC392" s="86">
        <f t="shared" si="221"/>
        <v>0</v>
      </c>
      <c r="AD392" s="87">
        <f t="shared" si="249"/>
        <v>0</v>
      </c>
      <c r="AE392" s="88">
        <f t="shared" si="250"/>
        <v>0</v>
      </c>
      <c r="AF392" s="88">
        <f t="shared" si="251"/>
        <v>0</v>
      </c>
      <c r="AG392" s="49"/>
      <c r="AH392" s="49"/>
      <c r="AI392" s="50"/>
      <c r="AJ392" s="46"/>
      <c r="AK392" s="46"/>
      <c r="AL392" s="46"/>
      <c r="AM392" s="51">
        <f>IF($AL392=4,VLOOKUP($AR392,'Loyalty Incentive v1'!$L$3:$Q$15,2,FALSE),
IF($AL392=3,VLOOKUP($AR392,'Loyalty Incentive v1'!$L$3:$Q$15,3,FALSE),
IF($AL392=2,VLOOKUP($AR392,'Loyalty Incentive v1'!$L$3:$Q$15,4,FALSE),
IF($AL392=1,VLOOKUP($AR392,'Loyalty Incentive v1'!$L$3:$Q$15,5,FALSE),
IF($AL392=0,VLOOKUP($AR392,'Loyalty Incentive v1'!$L$3:$Q$15,6,FALSE),0)))))</f>
        <v>0</v>
      </c>
      <c r="AN392" s="51">
        <f>IFERROR(IF(I392&gt;="1",AM392,VLOOKUP(VALUE(I392),'Loyalty - Effec - 15July'!$I$5:$J$16,2,0)*AM392),0)</f>
        <v>0</v>
      </c>
      <c r="AO392" s="51">
        <v>0</v>
      </c>
      <c r="AP392" s="51">
        <f t="shared" si="252"/>
        <v>0</v>
      </c>
      <c r="AQ392" s="46" t="str">
        <f t="shared" si="253"/>
        <v>No</v>
      </c>
      <c r="AR392" s="46" t="str">
        <f t="shared" si="254"/>
        <v>AE1</v>
      </c>
      <c r="AS392" s="46" t="b">
        <f t="shared" si="255"/>
        <v>1</v>
      </c>
      <c r="AT392" s="82">
        <f t="shared" si="256"/>
        <v>0</v>
      </c>
      <c r="AU392" s="81">
        <f t="shared" si="257"/>
        <v>0</v>
      </c>
      <c r="AV392" s="81">
        <f t="shared" si="258"/>
        <v>0</v>
      </c>
      <c r="AW392" s="81">
        <f t="shared" si="259"/>
        <v>0</v>
      </c>
      <c r="AX392" s="85"/>
      <c r="AY392" s="81">
        <f t="shared" si="260"/>
        <v>0</v>
      </c>
      <c r="AZ392" s="83">
        <f t="shared" si="261"/>
        <v>0</v>
      </c>
      <c r="BA392" s="81">
        <f t="shared" si="262"/>
        <v>0</v>
      </c>
      <c r="BB392" s="83">
        <v>0</v>
      </c>
      <c r="BC392" s="83">
        <v>0</v>
      </c>
      <c r="BD392" s="83">
        <v>0</v>
      </c>
      <c r="BE392" s="84">
        <f>ROUND((IF(($AT392&lt;=700000),0,IF(((VLOOKUP($AR392,'Loyalty - Effec - 15July'!$B$5:$C$17,2,0)*$AT392)&lt;=120000),(VLOOKUP($AR392,'Loyalty - Effec - 15July'!$B$5:$C$17,2,0)*$AT392),120000))),0)</f>
        <v>0</v>
      </c>
      <c r="BF392" s="83">
        <f>ROUND(VLOOKUP($AR392,'Loyalty - Effec - 15July'!$B$5:$D$17,3,0)*$AT392,0)</f>
        <v>0</v>
      </c>
      <c r="BG392" s="85">
        <f t="shared" si="263"/>
        <v>0</v>
      </c>
      <c r="BH392" s="83">
        <f t="shared" si="264"/>
        <v>0</v>
      </c>
      <c r="BI392" s="85">
        <f t="shared" si="243"/>
        <v>0</v>
      </c>
      <c r="BJ392" s="85">
        <f t="shared" si="265"/>
        <v>0</v>
      </c>
      <c r="BK392" s="85">
        <f t="shared" si="266"/>
        <v>0</v>
      </c>
      <c r="BL392" s="85">
        <f t="shared" si="267"/>
        <v>0</v>
      </c>
      <c r="BM392" s="85">
        <f t="shared" si="268"/>
        <v>0</v>
      </c>
      <c r="BN392" s="85">
        <f t="shared" si="269"/>
        <v>0</v>
      </c>
      <c r="BO392" s="46" t="s">
        <v>85</v>
      </c>
      <c r="BP392" s="46"/>
      <c r="BQ392" s="46"/>
      <c r="BU392" s="47">
        <f t="shared" si="244"/>
        <v>0</v>
      </c>
      <c r="BV392" s="53" t="s">
        <v>946</v>
      </c>
      <c r="BW392" s="53" t="s">
        <v>932</v>
      </c>
      <c r="BX392" s="53" t="s">
        <v>960</v>
      </c>
      <c r="BY392" s="53"/>
      <c r="BZ392" s="53"/>
    </row>
    <row r="393" spans="1:78">
      <c r="A393" s="42" t="s">
        <v>947</v>
      </c>
      <c r="B393" s="28" t="s">
        <v>79</v>
      </c>
      <c r="C393" s="28" t="s">
        <v>80</v>
      </c>
      <c r="D393" s="28" t="s">
        <v>932</v>
      </c>
      <c r="F393" s="28" t="s">
        <v>901</v>
      </c>
      <c r="G393" s="44" t="s">
        <v>961</v>
      </c>
      <c r="H393" s="45">
        <v>45203</v>
      </c>
      <c r="I393" s="46" t="e">
        <v>#NUM!</v>
      </c>
      <c r="J393" s="28"/>
      <c r="K393" s="28" t="s">
        <v>396</v>
      </c>
      <c r="L393" s="28" t="s">
        <v>155</v>
      </c>
      <c r="M393" s="28" t="s">
        <v>9</v>
      </c>
      <c r="N393" s="28" t="str">
        <f t="shared" si="213"/>
        <v>AE1</v>
      </c>
      <c r="O393" s="81"/>
      <c r="P393" s="81">
        <f t="shared" si="214"/>
        <v>0</v>
      </c>
      <c r="Q393" s="81">
        <f t="shared" si="245"/>
        <v>0</v>
      </c>
      <c r="R393" s="81">
        <f t="shared" si="246"/>
        <v>0</v>
      </c>
      <c r="S393" s="81"/>
      <c r="T393" s="82">
        <f t="shared" si="247"/>
        <v>0</v>
      </c>
      <c r="U393" s="82">
        <f t="shared" si="218"/>
        <v>0</v>
      </c>
      <c r="V393" s="82">
        <f t="shared" si="219"/>
        <v>0</v>
      </c>
      <c r="W393" s="83">
        <v>0</v>
      </c>
      <c r="X393" s="83">
        <v>0</v>
      </c>
      <c r="Y393" s="83">
        <v>0</v>
      </c>
      <c r="Z393" s="84">
        <f>ROUND((IF(($O393&lt;=700000),0,IF(((VLOOKUP($M393,'Loyalty - Effec - 15July'!$B$5:$C$17,2,0)*$O393)&lt;=120000),(VLOOKUP($M393,'Loyalty - Effec - 15July'!$B$5:$C$17,2,0)*$O393),120000))),0)</f>
        <v>0</v>
      </c>
      <c r="AA393" s="84">
        <f>ROUND(VLOOKUP($M393,'Loyalty - Effec - 15July'!$B$5:$D$17,3,0)*$O393,0)</f>
        <v>0</v>
      </c>
      <c r="AB393" s="85">
        <f t="shared" si="248"/>
        <v>0</v>
      </c>
      <c r="AC393" s="86">
        <f t="shared" si="221"/>
        <v>0</v>
      </c>
      <c r="AD393" s="87">
        <f t="shared" si="249"/>
        <v>0</v>
      </c>
      <c r="AE393" s="88">
        <f t="shared" si="250"/>
        <v>0</v>
      </c>
      <c r="AF393" s="88">
        <f t="shared" si="251"/>
        <v>0</v>
      </c>
      <c r="AG393" s="49"/>
      <c r="AH393" s="49"/>
      <c r="AI393" s="50"/>
      <c r="AJ393" s="46"/>
      <c r="AK393" s="46"/>
      <c r="AL393" s="46"/>
      <c r="AM393" s="51">
        <f>IF($AL393=4,VLOOKUP($AR393,'Loyalty Incentive v1'!$L$3:$Q$15,2,FALSE),
IF($AL393=3,VLOOKUP($AR393,'Loyalty Incentive v1'!$L$3:$Q$15,3,FALSE),
IF($AL393=2,VLOOKUP($AR393,'Loyalty Incentive v1'!$L$3:$Q$15,4,FALSE),
IF($AL393=1,VLOOKUP($AR393,'Loyalty Incentive v1'!$L$3:$Q$15,5,FALSE),
IF($AL393=0,VLOOKUP($AR393,'Loyalty Incentive v1'!$L$3:$Q$15,6,FALSE),0)))))</f>
        <v>0</v>
      </c>
      <c r="AN393" s="51">
        <f>IFERROR(IF(I393&gt;="1",AM393,VLOOKUP(VALUE(I393),'Loyalty - Effec - 15July'!$I$5:$J$16,2,0)*AM393),0)</f>
        <v>0</v>
      </c>
      <c r="AO393" s="51">
        <v>0</v>
      </c>
      <c r="AP393" s="51">
        <f t="shared" si="252"/>
        <v>0</v>
      </c>
      <c r="AQ393" s="46" t="str">
        <f t="shared" si="253"/>
        <v>No</v>
      </c>
      <c r="AR393" s="46" t="str">
        <f t="shared" si="254"/>
        <v>AE1</v>
      </c>
      <c r="AS393" s="46" t="b">
        <f t="shared" si="255"/>
        <v>1</v>
      </c>
      <c r="AT393" s="82">
        <f t="shared" si="256"/>
        <v>0</v>
      </c>
      <c r="AU393" s="81">
        <f t="shared" si="257"/>
        <v>0</v>
      </c>
      <c r="AV393" s="81">
        <f t="shared" si="258"/>
        <v>0</v>
      </c>
      <c r="AW393" s="81">
        <f t="shared" si="259"/>
        <v>0</v>
      </c>
      <c r="AX393" s="85"/>
      <c r="AY393" s="81">
        <f t="shared" si="260"/>
        <v>0</v>
      </c>
      <c r="AZ393" s="83">
        <f t="shared" si="261"/>
        <v>0</v>
      </c>
      <c r="BA393" s="81">
        <f t="shared" si="262"/>
        <v>0</v>
      </c>
      <c r="BB393" s="83">
        <v>0</v>
      </c>
      <c r="BC393" s="83">
        <v>0</v>
      </c>
      <c r="BD393" s="83">
        <v>0</v>
      </c>
      <c r="BE393" s="84">
        <f>ROUND((IF(($AT393&lt;=700000),0,IF(((VLOOKUP($AR393,'Loyalty - Effec - 15July'!$B$5:$C$17,2,0)*$AT393)&lt;=120000),(VLOOKUP($AR393,'Loyalty - Effec - 15July'!$B$5:$C$17,2,0)*$AT393),120000))),0)</f>
        <v>0</v>
      </c>
      <c r="BF393" s="83">
        <f>ROUND(VLOOKUP($AR393,'Loyalty - Effec - 15July'!$B$5:$D$17,3,0)*$AT393,0)</f>
        <v>0</v>
      </c>
      <c r="BG393" s="85">
        <f t="shared" si="263"/>
        <v>0</v>
      </c>
      <c r="BH393" s="83">
        <f t="shared" si="264"/>
        <v>0</v>
      </c>
      <c r="BI393" s="85">
        <f t="shared" si="243"/>
        <v>0</v>
      </c>
      <c r="BJ393" s="85">
        <f t="shared" si="265"/>
        <v>0</v>
      </c>
      <c r="BK393" s="85">
        <f t="shared" si="266"/>
        <v>0</v>
      </c>
      <c r="BL393" s="85">
        <f t="shared" si="267"/>
        <v>0</v>
      </c>
      <c r="BM393" s="85">
        <f t="shared" si="268"/>
        <v>0</v>
      </c>
      <c r="BN393" s="85">
        <f t="shared" si="269"/>
        <v>0</v>
      </c>
      <c r="BO393" s="46" t="s">
        <v>85</v>
      </c>
      <c r="BP393" s="46"/>
      <c r="BQ393" s="46"/>
      <c r="BU393" s="47">
        <f t="shared" si="244"/>
        <v>0</v>
      </c>
      <c r="BV393" s="53" t="s">
        <v>947</v>
      </c>
      <c r="BW393" s="53" t="s">
        <v>932</v>
      </c>
      <c r="BX393" s="53" t="s">
        <v>961</v>
      </c>
      <c r="BY393" s="53"/>
      <c r="BZ393" s="53"/>
    </row>
    <row r="394" spans="1:78">
      <c r="A394" s="42"/>
      <c r="B394" s="28"/>
      <c r="I394" s="25"/>
      <c r="K394" s="28"/>
      <c r="L394" s="28"/>
      <c r="M394" s="28"/>
      <c r="N394" s="28"/>
      <c r="O394" s="81"/>
      <c r="P394" s="81">
        <f t="shared" si="214"/>
        <v>0</v>
      </c>
      <c r="Q394" s="81">
        <f t="shared" si="245"/>
        <v>0</v>
      </c>
      <c r="R394" s="81">
        <f t="shared" si="246"/>
        <v>0</v>
      </c>
      <c r="BU394" s="47">
        <f t="shared" si="244"/>
        <v>0</v>
      </c>
    </row>
  </sheetData>
  <sheetProtection algorithmName="SHA-512" hashValue="xyw9khEF9Woi0AhvMy6rv4FFujuErMngBJKlZ8oQDtB3bkLJVOrN/8FNDeIt54VKalKr3Rbs+1p61IlaDHmb8Q==" saltValue="bxw0B7D0pq+TZeaGiKsAvw==" spinCount="100000" sheet="1" objects="1" scenarios="1"/>
  <phoneticPr fontId="23" type="noConversion"/>
  <conditionalFormatting sqref="A5:A12 H5:H393">
    <cfRule type="containsBlanks" dxfId="2" priority="6">
      <formula>LEN(TRIM(A5))=0</formula>
    </cfRule>
  </conditionalFormatting>
  <conditionalFormatting sqref="A54:A55">
    <cfRule type="duplicateValues" dxfId="1" priority="5"/>
  </conditionalFormatting>
  <conditionalFormatting sqref="G5:G393">
    <cfRule type="duplicateValues" dxfId="0" priority="287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2:AK125"/>
  <sheetViews>
    <sheetView zoomScale="110" zoomScaleNormal="110" workbookViewId="0">
      <selection activeCell="F27" sqref="F27"/>
    </sheetView>
  </sheetViews>
  <sheetFormatPr defaultColWidth="9" defaultRowHeight="14.4"/>
  <cols>
    <col min="2" max="2" width="17.44140625" bestFit="1" customWidth="1"/>
    <col min="12" max="12" width="11.44140625" customWidth="1"/>
  </cols>
  <sheetData>
    <row r="2" spans="1:37">
      <c r="A2" s="1" t="s">
        <v>422</v>
      </c>
      <c r="B2" s="2" t="s">
        <v>423</v>
      </c>
      <c r="C2" s="3">
        <v>2013</v>
      </c>
      <c r="D2" s="4">
        <v>2015</v>
      </c>
      <c r="E2" s="4">
        <v>2014</v>
      </c>
      <c r="F2" s="5">
        <v>2016</v>
      </c>
      <c r="G2" s="4">
        <v>2017</v>
      </c>
      <c r="H2" s="4">
        <v>2018</v>
      </c>
      <c r="I2" s="4">
        <v>2020</v>
      </c>
      <c r="J2" s="4">
        <v>2021</v>
      </c>
      <c r="K2" s="4"/>
      <c r="L2" s="10" t="s">
        <v>8</v>
      </c>
      <c r="M2" s="11">
        <v>4</v>
      </c>
      <c r="N2" s="11">
        <v>3</v>
      </c>
      <c r="O2" s="11">
        <v>2</v>
      </c>
      <c r="P2" s="11">
        <v>1</v>
      </c>
      <c r="Q2" s="11">
        <v>0</v>
      </c>
    </row>
    <row r="3" spans="1:37">
      <c r="A3" s="1" t="s">
        <v>9</v>
      </c>
      <c r="B3" s="6">
        <v>0</v>
      </c>
      <c r="C3" s="6">
        <v>0</v>
      </c>
      <c r="D3" s="6">
        <v>0</v>
      </c>
      <c r="E3" s="6">
        <v>0</v>
      </c>
      <c r="F3" s="7">
        <v>0</v>
      </c>
      <c r="G3" s="8">
        <v>0</v>
      </c>
      <c r="H3" s="8">
        <v>0</v>
      </c>
      <c r="I3" s="8">
        <v>0</v>
      </c>
      <c r="J3" s="8">
        <v>0</v>
      </c>
      <c r="L3" s="12" t="s">
        <v>9</v>
      </c>
      <c r="M3" s="13">
        <v>0.311</v>
      </c>
      <c r="N3" s="13">
        <v>0.221</v>
      </c>
      <c r="O3" s="13">
        <v>0.13100000000000001</v>
      </c>
      <c r="P3" s="13">
        <v>4.1000000000000002E-2</v>
      </c>
      <c r="Q3" s="13">
        <v>0</v>
      </c>
    </row>
    <row r="4" spans="1:37">
      <c r="A4" s="1" t="s">
        <v>0</v>
      </c>
      <c r="B4" s="6">
        <v>0</v>
      </c>
      <c r="C4" s="6">
        <v>0</v>
      </c>
      <c r="D4" s="6">
        <v>0</v>
      </c>
      <c r="E4" s="6">
        <v>0</v>
      </c>
      <c r="F4" s="7">
        <v>0</v>
      </c>
      <c r="G4" s="8">
        <v>0</v>
      </c>
      <c r="H4" s="8">
        <v>0</v>
      </c>
      <c r="I4" s="8">
        <v>0</v>
      </c>
      <c r="J4" s="8">
        <v>0</v>
      </c>
      <c r="L4" s="12" t="s">
        <v>0</v>
      </c>
      <c r="M4" s="13">
        <v>0.28100000000000003</v>
      </c>
      <c r="N4" s="13">
        <v>0.20100000000000001</v>
      </c>
      <c r="O4" s="13">
        <v>0.121</v>
      </c>
      <c r="P4" s="13">
        <v>4.1000000000000002E-2</v>
      </c>
      <c r="Q4" s="13">
        <v>0</v>
      </c>
    </row>
    <row r="5" spans="1:37">
      <c r="A5" s="1" t="s">
        <v>1</v>
      </c>
      <c r="B5" s="6">
        <v>0</v>
      </c>
      <c r="C5" s="6">
        <v>0</v>
      </c>
      <c r="D5" s="6">
        <v>0.02</v>
      </c>
      <c r="E5" s="6">
        <v>0.02</v>
      </c>
      <c r="F5" s="7">
        <v>0.02</v>
      </c>
      <c r="G5" s="8">
        <v>0.02</v>
      </c>
      <c r="H5" s="8">
        <v>0.02</v>
      </c>
      <c r="I5" s="8">
        <v>0.02</v>
      </c>
      <c r="J5" s="8">
        <v>0.02</v>
      </c>
      <c r="L5" s="12" t="s">
        <v>1</v>
      </c>
      <c r="M5" s="13">
        <v>0.251</v>
      </c>
      <c r="N5" s="13">
        <v>0.18099999999999999</v>
      </c>
      <c r="O5" s="13">
        <v>0.111</v>
      </c>
      <c r="P5" s="13">
        <v>4.1000000000000002E-2</v>
      </c>
      <c r="Q5" s="13">
        <v>0</v>
      </c>
      <c r="AH5" s="14"/>
      <c r="AI5" s="14"/>
      <c r="AJ5" s="14"/>
      <c r="AK5" s="14"/>
    </row>
    <row r="6" spans="1:37">
      <c r="A6" s="1" t="s">
        <v>2</v>
      </c>
      <c r="B6" s="6">
        <v>0.04</v>
      </c>
      <c r="C6" s="6">
        <v>0.04</v>
      </c>
      <c r="D6" s="6">
        <v>0.04</v>
      </c>
      <c r="E6" s="6">
        <v>0.04</v>
      </c>
      <c r="F6" s="7">
        <v>0.04</v>
      </c>
      <c r="G6" s="8">
        <v>0.04</v>
      </c>
      <c r="H6" s="8">
        <v>0.04</v>
      </c>
      <c r="I6" s="8">
        <v>0.04</v>
      </c>
      <c r="J6" s="8">
        <v>0.04</v>
      </c>
      <c r="L6" s="12" t="s">
        <v>2</v>
      </c>
      <c r="M6" s="13">
        <v>0.191</v>
      </c>
      <c r="N6" s="13">
        <v>0.14099999999999999</v>
      </c>
      <c r="O6" s="13">
        <v>9.0999999999999998E-2</v>
      </c>
      <c r="P6" s="13">
        <v>4.1000000000000002E-2</v>
      </c>
      <c r="Q6" s="13">
        <v>0</v>
      </c>
      <c r="AH6" s="14"/>
      <c r="AI6" s="14"/>
      <c r="AJ6" s="14"/>
      <c r="AK6" s="14"/>
    </row>
    <row r="7" spans="1:37">
      <c r="A7" s="1" t="s">
        <v>3</v>
      </c>
      <c r="B7" s="6">
        <v>0.04</v>
      </c>
      <c r="C7" s="6">
        <v>0.04</v>
      </c>
      <c r="D7" s="6">
        <v>0.04</v>
      </c>
      <c r="E7" s="6">
        <v>0.04</v>
      </c>
      <c r="F7" s="7">
        <v>0.04</v>
      </c>
      <c r="G7" s="8">
        <v>0.04</v>
      </c>
      <c r="H7" s="8">
        <v>0.04</v>
      </c>
      <c r="I7" s="8">
        <v>0.04</v>
      </c>
      <c r="J7" s="8">
        <v>0.04</v>
      </c>
      <c r="L7" s="12" t="s">
        <v>3</v>
      </c>
      <c r="M7" s="13">
        <v>0.191</v>
      </c>
      <c r="N7" s="13">
        <v>0.14099999999999999</v>
      </c>
      <c r="O7" s="13">
        <v>9.0999999999999998E-2</v>
      </c>
      <c r="P7" s="13">
        <v>4.1000000000000002E-2</v>
      </c>
      <c r="Q7" s="13">
        <v>0</v>
      </c>
      <c r="R7" s="22"/>
      <c r="S7" s="22"/>
      <c r="AH7" s="14"/>
      <c r="AI7" s="14"/>
      <c r="AJ7" s="14"/>
      <c r="AK7" s="14"/>
    </row>
    <row r="8" spans="1:37">
      <c r="A8" s="1" t="s">
        <v>4</v>
      </c>
      <c r="B8" s="6">
        <v>0.06</v>
      </c>
      <c r="C8" s="6">
        <v>0.06</v>
      </c>
      <c r="D8" s="6">
        <v>0.06</v>
      </c>
      <c r="E8" s="6">
        <v>0.06</v>
      </c>
      <c r="F8" s="7">
        <v>0.06</v>
      </c>
      <c r="G8" s="8">
        <v>0.06</v>
      </c>
      <c r="H8" s="8">
        <v>0.06</v>
      </c>
      <c r="I8" s="8">
        <v>0.06</v>
      </c>
      <c r="J8" s="8">
        <v>0.06</v>
      </c>
      <c r="L8" s="12" t="s">
        <v>4</v>
      </c>
      <c r="M8" s="13">
        <v>0.161</v>
      </c>
      <c r="N8" s="13">
        <v>0.121</v>
      </c>
      <c r="O8" s="13">
        <v>8.1000000000000003E-2</v>
      </c>
      <c r="P8" s="13">
        <v>4.1000000000000002E-2</v>
      </c>
      <c r="Q8" s="13">
        <v>0</v>
      </c>
      <c r="AH8" s="14"/>
      <c r="AI8" s="14"/>
      <c r="AJ8" s="14"/>
      <c r="AK8" s="14"/>
    </row>
    <row r="9" spans="1:37">
      <c r="A9" s="1" t="s">
        <v>5</v>
      </c>
      <c r="B9" s="6">
        <v>0.06</v>
      </c>
      <c r="C9" s="6">
        <v>0.06</v>
      </c>
      <c r="D9" s="6">
        <v>0.06</v>
      </c>
      <c r="E9" s="6">
        <v>0.06</v>
      </c>
      <c r="F9" s="7">
        <v>0.06</v>
      </c>
      <c r="G9" s="8">
        <v>0.06</v>
      </c>
      <c r="H9" s="8">
        <v>0.06</v>
      </c>
      <c r="I9" s="8">
        <v>0.06</v>
      </c>
      <c r="J9" s="8">
        <v>0.06</v>
      </c>
      <c r="L9" s="12" t="s">
        <v>5</v>
      </c>
      <c r="M9" s="13">
        <v>0.161</v>
      </c>
      <c r="N9" s="13">
        <v>0.121</v>
      </c>
      <c r="O9" s="13">
        <v>8.1000000000000003E-2</v>
      </c>
      <c r="P9" s="13">
        <v>4.1000000000000002E-2</v>
      </c>
      <c r="Q9" s="13">
        <v>0</v>
      </c>
      <c r="AH9" s="14"/>
      <c r="AI9" s="14"/>
      <c r="AJ9" s="14"/>
      <c r="AK9" s="14"/>
    </row>
    <row r="10" spans="1:37">
      <c r="A10" s="1" t="s">
        <v>6</v>
      </c>
      <c r="B10" s="6">
        <v>0.08</v>
      </c>
      <c r="C10" s="6">
        <v>0.08</v>
      </c>
      <c r="D10" s="6">
        <v>0.08</v>
      </c>
      <c r="E10" s="6">
        <v>0.08</v>
      </c>
      <c r="F10" s="7">
        <v>0.08</v>
      </c>
      <c r="G10" s="8">
        <v>0.08</v>
      </c>
      <c r="H10" s="8">
        <v>0.08</v>
      </c>
      <c r="I10" s="8">
        <v>0.08</v>
      </c>
      <c r="J10" s="8">
        <v>0.08</v>
      </c>
      <c r="L10" s="12" t="s">
        <v>6</v>
      </c>
      <c r="M10" s="13">
        <v>0.13100000000000001</v>
      </c>
      <c r="N10" s="13">
        <v>0.10100000000000001</v>
      </c>
      <c r="O10" s="13">
        <v>7.0999999999999994E-2</v>
      </c>
      <c r="P10" s="13">
        <v>4.1000000000000002E-2</v>
      </c>
      <c r="Q10" s="13">
        <v>0</v>
      </c>
      <c r="AH10" s="14"/>
      <c r="AI10" s="14"/>
      <c r="AJ10" s="14"/>
      <c r="AK10" s="14"/>
    </row>
    <row r="11" spans="1:37">
      <c r="A11" s="1" t="s">
        <v>10</v>
      </c>
      <c r="B11" s="6">
        <v>0.08</v>
      </c>
      <c r="C11" s="6">
        <v>0.08</v>
      </c>
      <c r="D11" s="6">
        <v>0.1</v>
      </c>
      <c r="E11" s="6">
        <v>0.1</v>
      </c>
      <c r="F11" s="7">
        <v>0.1</v>
      </c>
      <c r="G11" s="8">
        <v>0.08</v>
      </c>
      <c r="H11" s="8">
        <v>0.08</v>
      </c>
      <c r="I11" s="8">
        <v>0.08</v>
      </c>
      <c r="J11" s="8">
        <v>0.08</v>
      </c>
      <c r="L11" s="12" t="s">
        <v>10</v>
      </c>
      <c r="M11" s="13">
        <v>0.13100000000000001</v>
      </c>
      <c r="N11" s="13">
        <v>0.10100000000000001</v>
      </c>
      <c r="O11" s="13">
        <v>7.0999999999999994E-2</v>
      </c>
      <c r="P11" s="13">
        <v>4.1000000000000002E-2</v>
      </c>
      <c r="Q11" s="13">
        <v>0</v>
      </c>
      <c r="AH11" s="14"/>
      <c r="AI11" s="14"/>
      <c r="AJ11" s="14"/>
      <c r="AK11" s="14"/>
    </row>
    <row r="12" spans="1:37">
      <c r="A12" s="1" t="s">
        <v>11</v>
      </c>
      <c r="B12" s="6">
        <v>0.08</v>
      </c>
      <c r="C12" s="6">
        <v>0.12</v>
      </c>
      <c r="D12" s="6">
        <v>0.12</v>
      </c>
      <c r="E12" s="6">
        <v>0.12</v>
      </c>
      <c r="F12" s="7">
        <v>0.12</v>
      </c>
      <c r="G12" s="8">
        <v>0.1</v>
      </c>
      <c r="H12" s="8">
        <v>0.1</v>
      </c>
      <c r="I12" s="8">
        <v>0.1</v>
      </c>
      <c r="J12" s="8">
        <v>0.1</v>
      </c>
      <c r="L12" s="12" t="s">
        <v>11</v>
      </c>
      <c r="M12" s="13">
        <v>0.10100000000000001</v>
      </c>
      <c r="N12" s="13">
        <v>8.1000000000000003E-2</v>
      </c>
      <c r="O12" s="13">
        <v>6.0999999999999999E-2</v>
      </c>
      <c r="P12" s="13">
        <v>4.1000000000000002E-2</v>
      </c>
      <c r="Q12" s="13">
        <v>0</v>
      </c>
      <c r="AH12" s="14"/>
      <c r="AI12" s="14"/>
      <c r="AJ12" s="14"/>
      <c r="AK12" s="14"/>
    </row>
    <row r="13" spans="1:37">
      <c r="A13" s="1" t="s">
        <v>7</v>
      </c>
      <c r="B13" s="6">
        <v>0.1</v>
      </c>
      <c r="C13" s="6">
        <v>0.15</v>
      </c>
      <c r="D13" s="6">
        <v>0.14000000000000001</v>
      </c>
      <c r="E13" s="6">
        <v>0.15</v>
      </c>
      <c r="F13" s="7">
        <v>0.14000000000000001</v>
      </c>
      <c r="G13" s="8">
        <v>0.12</v>
      </c>
      <c r="H13" s="8">
        <v>0.12</v>
      </c>
      <c r="I13" s="8">
        <v>0.12</v>
      </c>
      <c r="J13" s="8">
        <v>0.12</v>
      </c>
      <c r="L13" s="12" t="s">
        <v>7</v>
      </c>
      <c r="M13" s="13">
        <v>0.10100000000000001</v>
      </c>
      <c r="N13" s="13">
        <v>8.1000000000000003E-2</v>
      </c>
      <c r="O13" s="13">
        <v>6.0999999999999999E-2</v>
      </c>
      <c r="P13" s="13">
        <v>4.1000000000000002E-2</v>
      </c>
      <c r="Q13" s="13">
        <v>0</v>
      </c>
      <c r="AH13" s="14"/>
      <c r="AI13" s="14"/>
      <c r="AJ13" s="14"/>
      <c r="AK13" s="14"/>
    </row>
    <row r="14" spans="1:37">
      <c r="A14" s="1" t="s">
        <v>12</v>
      </c>
      <c r="B14" s="6">
        <v>0.1</v>
      </c>
      <c r="C14" s="6">
        <v>0.18</v>
      </c>
      <c r="D14" s="6">
        <v>0.15</v>
      </c>
      <c r="E14" s="6">
        <v>0.18</v>
      </c>
      <c r="F14" s="7">
        <v>0.15</v>
      </c>
      <c r="G14" s="8">
        <v>0.13</v>
      </c>
      <c r="H14" s="8">
        <v>0.13</v>
      </c>
      <c r="I14" s="8">
        <v>0.13</v>
      </c>
      <c r="J14" s="8">
        <v>0.13</v>
      </c>
      <c r="L14" s="12" t="s">
        <v>12</v>
      </c>
      <c r="M14" s="13">
        <v>8.5999999999999993E-2</v>
      </c>
      <c r="N14" s="13">
        <v>7.0999999999999994E-2</v>
      </c>
      <c r="O14" s="13">
        <v>5.6000000000000001E-2</v>
      </c>
      <c r="P14" s="13">
        <v>4.1000000000000002E-2</v>
      </c>
      <c r="Q14" s="13">
        <v>0</v>
      </c>
      <c r="AH14" s="14"/>
      <c r="AI14" s="14"/>
      <c r="AJ14" s="14"/>
      <c r="AK14" s="14"/>
    </row>
    <row r="15" spans="1:37">
      <c r="A15" s="9" t="s">
        <v>13</v>
      </c>
      <c r="B15" s="6">
        <v>0.1</v>
      </c>
      <c r="C15" s="6">
        <v>0.2</v>
      </c>
      <c r="D15" s="6">
        <v>0.16</v>
      </c>
      <c r="E15" s="6">
        <v>0.2</v>
      </c>
      <c r="F15" s="7">
        <v>0.16</v>
      </c>
      <c r="G15" s="8">
        <v>0.14000000000000001</v>
      </c>
      <c r="H15" s="8">
        <v>0.14000000000000001</v>
      </c>
      <c r="I15" s="8">
        <v>0.14000000000000001</v>
      </c>
      <c r="J15" s="8">
        <v>0.14000000000000001</v>
      </c>
      <c r="L15" s="12" t="s">
        <v>13</v>
      </c>
      <c r="M15" s="13">
        <v>8.5999999999999993E-2</v>
      </c>
      <c r="N15" s="13">
        <v>7.0999999999999994E-2</v>
      </c>
      <c r="O15" s="13">
        <v>5.6000000000000001E-2</v>
      </c>
      <c r="P15" s="13">
        <v>4.1000000000000002E-2</v>
      </c>
      <c r="Q15" s="13">
        <v>0</v>
      </c>
      <c r="AH15" s="14"/>
      <c r="AI15" s="14"/>
      <c r="AJ15" s="14"/>
      <c r="AK15" s="14"/>
    </row>
    <row r="16" spans="1:37">
      <c r="AH16" s="14"/>
      <c r="AI16" s="14"/>
      <c r="AJ16" s="14"/>
      <c r="AK16" s="14"/>
    </row>
    <row r="17" spans="34:37">
      <c r="AH17" s="14"/>
      <c r="AI17" s="14"/>
      <c r="AJ17" s="14"/>
      <c r="AK17" s="14"/>
    </row>
    <row r="18" spans="34:37">
      <c r="AH18" s="14"/>
      <c r="AI18" s="14"/>
      <c r="AJ18" s="14"/>
      <c r="AK18" s="14"/>
    </row>
    <row r="19" spans="34:37">
      <c r="AH19" s="14"/>
      <c r="AI19" s="14"/>
      <c r="AJ19" s="14"/>
      <c r="AK19" s="14"/>
    </row>
    <row r="20" spans="34:37">
      <c r="AH20" s="14"/>
      <c r="AI20" s="14"/>
      <c r="AJ20" s="14"/>
      <c r="AK20" s="14"/>
    </row>
    <row r="21" spans="34:37">
      <c r="AH21" s="14"/>
      <c r="AI21" s="14"/>
      <c r="AJ21" s="14"/>
      <c r="AK21" s="14"/>
    </row>
    <row r="22" spans="34:37">
      <c r="AH22" s="14"/>
      <c r="AI22" s="14"/>
      <c r="AJ22" s="14"/>
      <c r="AK22" s="14"/>
    </row>
    <row r="23" spans="34:37">
      <c r="AH23" s="14"/>
      <c r="AI23" s="14"/>
      <c r="AJ23" s="14"/>
      <c r="AK23" s="14"/>
    </row>
    <row r="24" spans="34:37">
      <c r="AH24" s="14"/>
      <c r="AI24" s="14"/>
      <c r="AJ24" s="14"/>
      <c r="AK24" s="14"/>
    </row>
    <row r="25" spans="34:37">
      <c r="AH25" s="14"/>
      <c r="AI25" s="14"/>
      <c r="AJ25" s="14"/>
      <c r="AK25" s="14"/>
    </row>
    <row r="26" spans="34:37">
      <c r="AH26" s="14"/>
      <c r="AI26" s="14"/>
      <c r="AJ26" s="14"/>
      <c r="AK26" s="14"/>
    </row>
    <row r="27" spans="34:37">
      <c r="AH27" s="14"/>
      <c r="AI27" s="14"/>
      <c r="AJ27" s="14"/>
      <c r="AK27" s="14"/>
    </row>
    <row r="28" spans="34:37">
      <c r="AH28" s="14"/>
      <c r="AI28" s="14"/>
      <c r="AJ28" s="14"/>
      <c r="AK28" s="14"/>
    </row>
    <row r="29" spans="34:37">
      <c r="AH29" s="14"/>
      <c r="AI29" s="14"/>
      <c r="AJ29" s="14"/>
      <c r="AK29" s="14"/>
    </row>
    <row r="30" spans="34:37">
      <c r="AH30" s="14"/>
      <c r="AI30" s="14"/>
      <c r="AJ30" s="14"/>
      <c r="AK30" s="14"/>
    </row>
    <row r="31" spans="34:37">
      <c r="AH31" s="14"/>
      <c r="AI31" s="14"/>
      <c r="AJ31" s="14"/>
      <c r="AK31" s="14"/>
    </row>
    <row r="32" spans="34:37">
      <c r="AH32" s="14"/>
      <c r="AI32" s="14"/>
      <c r="AJ32" s="14"/>
      <c r="AK32" s="14"/>
    </row>
    <row r="33" spans="34:37">
      <c r="AH33" s="14"/>
      <c r="AI33" s="14"/>
      <c r="AJ33" s="14"/>
      <c r="AK33" s="14"/>
    </row>
    <row r="34" spans="34:37">
      <c r="AH34" s="14"/>
      <c r="AI34" s="14"/>
      <c r="AJ34" s="14"/>
      <c r="AK34" s="14"/>
    </row>
    <row r="35" spans="34:37">
      <c r="AH35" s="14"/>
      <c r="AI35" s="14"/>
      <c r="AJ35" s="14"/>
      <c r="AK35" s="14"/>
    </row>
    <row r="36" spans="34:37">
      <c r="AH36" s="14"/>
      <c r="AI36" s="14"/>
      <c r="AJ36" s="14"/>
      <c r="AK36" s="14"/>
    </row>
    <row r="37" spans="34:37">
      <c r="AH37" s="14"/>
      <c r="AI37" s="14"/>
      <c r="AJ37" s="14"/>
      <c r="AK37" s="14"/>
    </row>
    <row r="38" spans="34:37">
      <c r="AH38" s="14"/>
      <c r="AI38" s="14"/>
      <c r="AJ38" s="14"/>
      <c r="AK38" s="14"/>
    </row>
    <row r="39" spans="34:37">
      <c r="AH39" s="14"/>
      <c r="AI39" s="14"/>
      <c r="AJ39" s="14"/>
      <c r="AK39" s="14"/>
    </row>
    <row r="40" spans="34:37">
      <c r="AH40" s="14"/>
      <c r="AI40" s="14"/>
      <c r="AJ40" s="14"/>
      <c r="AK40" s="14"/>
    </row>
    <row r="41" spans="34:37">
      <c r="AH41" s="14"/>
      <c r="AI41" s="14"/>
      <c r="AJ41" s="14"/>
      <c r="AK41" s="14"/>
    </row>
    <row r="42" spans="34:37">
      <c r="AH42" s="14"/>
      <c r="AI42" s="14"/>
      <c r="AJ42" s="14"/>
      <c r="AK42" s="14"/>
    </row>
    <row r="43" spans="34:37">
      <c r="AH43" s="14"/>
      <c r="AI43" s="14"/>
      <c r="AJ43" s="14"/>
      <c r="AK43" s="14"/>
    </row>
    <row r="44" spans="34:37">
      <c r="AH44" s="14"/>
      <c r="AI44" s="14"/>
      <c r="AJ44" s="14"/>
      <c r="AK44" s="14"/>
    </row>
    <row r="45" spans="34:37">
      <c r="AH45" s="14"/>
      <c r="AI45" s="14"/>
      <c r="AJ45" s="14"/>
      <c r="AK45" s="14"/>
    </row>
    <row r="46" spans="34:37">
      <c r="AH46" s="14"/>
      <c r="AI46" s="14"/>
      <c r="AJ46" s="14"/>
      <c r="AK46" s="14"/>
    </row>
    <row r="47" spans="34:37">
      <c r="AH47" s="14"/>
      <c r="AI47" s="14"/>
      <c r="AJ47" s="14"/>
      <c r="AK47" s="14"/>
    </row>
    <row r="48" spans="34:37">
      <c r="AH48" s="14"/>
      <c r="AI48" s="14"/>
      <c r="AJ48" s="14"/>
      <c r="AK48" s="14"/>
    </row>
    <row r="49" spans="34:37">
      <c r="AH49" s="14"/>
      <c r="AI49" s="14"/>
      <c r="AJ49" s="14"/>
      <c r="AK49" s="14"/>
    </row>
    <row r="50" spans="34:37">
      <c r="AH50" s="14"/>
      <c r="AI50" s="14"/>
      <c r="AJ50" s="14"/>
      <c r="AK50" s="14"/>
    </row>
    <row r="51" spans="34:37">
      <c r="AH51" s="14"/>
      <c r="AI51" s="14"/>
      <c r="AJ51" s="14"/>
      <c r="AK51" s="14"/>
    </row>
    <row r="52" spans="34:37">
      <c r="AH52" s="14"/>
      <c r="AI52" s="14"/>
      <c r="AJ52" s="14"/>
      <c r="AK52" s="14"/>
    </row>
    <row r="53" spans="34:37">
      <c r="AH53" s="14"/>
      <c r="AI53" s="14"/>
      <c r="AJ53" s="14"/>
      <c r="AK53" s="14"/>
    </row>
    <row r="54" spans="34:37">
      <c r="AH54" s="14"/>
      <c r="AI54" s="14"/>
      <c r="AJ54" s="14"/>
      <c r="AK54" s="14"/>
    </row>
    <row r="55" spans="34:37">
      <c r="AH55" s="14"/>
      <c r="AI55" s="14"/>
      <c r="AJ55" s="14"/>
      <c r="AK55" s="14"/>
    </row>
    <row r="56" spans="34:37">
      <c r="AH56" s="14"/>
      <c r="AI56" s="14"/>
      <c r="AJ56" s="14"/>
      <c r="AK56" s="14"/>
    </row>
    <row r="57" spans="34:37">
      <c r="AH57" s="14"/>
      <c r="AI57" s="14"/>
      <c r="AJ57" s="14"/>
      <c r="AK57" s="14"/>
    </row>
    <row r="58" spans="34:37">
      <c r="AH58" s="14"/>
      <c r="AI58" s="14"/>
      <c r="AJ58" s="14"/>
      <c r="AK58" s="14"/>
    </row>
    <row r="59" spans="34:37">
      <c r="AH59" s="14"/>
      <c r="AI59" s="14"/>
      <c r="AJ59" s="14"/>
      <c r="AK59" s="14"/>
    </row>
    <row r="60" spans="34:37">
      <c r="AH60" s="14"/>
      <c r="AI60" s="14"/>
      <c r="AJ60" s="14"/>
      <c r="AK60" s="14"/>
    </row>
    <row r="61" spans="34:37">
      <c r="AH61" s="14"/>
      <c r="AI61" s="14"/>
      <c r="AJ61" s="14"/>
      <c r="AK61" s="14"/>
    </row>
    <row r="62" spans="34:37">
      <c r="AH62" s="14"/>
      <c r="AI62" s="14"/>
      <c r="AJ62" s="14"/>
      <c r="AK62" s="14"/>
    </row>
    <row r="63" spans="34:37">
      <c r="AH63" s="14"/>
      <c r="AI63" s="14"/>
      <c r="AJ63" s="14"/>
      <c r="AK63" s="14"/>
    </row>
    <row r="64" spans="34:37">
      <c r="AH64" s="14"/>
      <c r="AI64" s="14"/>
      <c r="AJ64" s="14"/>
      <c r="AK64" s="14"/>
    </row>
    <row r="65" spans="34:37">
      <c r="AH65" s="14"/>
      <c r="AI65" s="14"/>
      <c r="AJ65" s="14"/>
      <c r="AK65" s="14"/>
    </row>
    <row r="66" spans="34:37">
      <c r="AH66" s="14"/>
      <c r="AI66" s="14"/>
      <c r="AJ66" s="14"/>
      <c r="AK66" s="14"/>
    </row>
    <row r="67" spans="34:37">
      <c r="AH67" s="14"/>
      <c r="AI67" s="14"/>
      <c r="AJ67" s="14"/>
      <c r="AK67" s="14"/>
    </row>
    <row r="68" spans="34:37">
      <c r="AH68" s="14"/>
      <c r="AI68" s="14"/>
      <c r="AJ68" s="14"/>
      <c r="AK68" s="14"/>
    </row>
    <row r="69" spans="34:37">
      <c r="AH69" s="14"/>
      <c r="AI69" s="14"/>
      <c r="AJ69" s="14"/>
      <c r="AK69" s="14"/>
    </row>
    <row r="70" spans="34:37">
      <c r="AH70" s="14"/>
      <c r="AI70" s="14"/>
      <c r="AJ70" s="14"/>
      <c r="AK70" s="14"/>
    </row>
    <row r="71" spans="34:37">
      <c r="AH71" s="14"/>
      <c r="AI71" s="14"/>
      <c r="AJ71" s="14"/>
      <c r="AK71" s="14"/>
    </row>
    <row r="72" spans="34:37">
      <c r="AH72" s="14"/>
      <c r="AI72" s="14"/>
      <c r="AJ72" s="14"/>
      <c r="AK72" s="14"/>
    </row>
    <row r="73" spans="34:37">
      <c r="AH73" s="14"/>
      <c r="AI73" s="14"/>
      <c r="AJ73" s="14"/>
      <c r="AK73" s="14"/>
    </row>
    <row r="74" spans="34:37">
      <c r="AH74" s="14"/>
      <c r="AI74" s="14"/>
      <c r="AJ74" s="14"/>
      <c r="AK74" s="14"/>
    </row>
    <row r="75" spans="34:37">
      <c r="AH75" s="14"/>
      <c r="AI75" s="14"/>
      <c r="AJ75" s="14"/>
      <c r="AK75" s="14"/>
    </row>
    <row r="76" spans="34:37">
      <c r="AH76" s="14"/>
      <c r="AI76" s="14"/>
      <c r="AJ76" s="14"/>
      <c r="AK76" s="14"/>
    </row>
    <row r="77" spans="34:37">
      <c r="AH77" s="14"/>
      <c r="AI77" s="14"/>
      <c r="AJ77" s="14"/>
      <c r="AK77" s="14"/>
    </row>
    <row r="78" spans="34:37">
      <c r="AH78" s="14"/>
      <c r="AI78" s="14"/>
      <c r="AJ78" s="14"/>
      <c r="AK78" s="14"/>
    </row>
    <row r="79" spans="34:37">
      <c r="AH79" s="14"/>
      <c r="AI79" s="14"/>
      <c r="AJ79" s="14"/>
      <c r="AK79" s="14"/>
    </row>
    <row r="80" spans="34:37">
      <c r="AH80" s="14"/>
      <c r="AI80" s="14"/>
      <c r="AJ80" s="14"/>
      <c r="AK80" s="14"/>
    </row>
    <row r="81" spans="34:37">
      <c r="AH81" s="14"/>
      <c r="AI81" s="14"/>
      <c r="AJ81" s="14"/>
      <c r="AK81" s="14"/>
    </row>
    <row r="82" spans="34:37">
      <c r="AH82" s="14"/>
      <c r="AI82" s="14"/>
      <c r="AJ82" s="14"/>
      <c r="AK82" s="14"/>
    </row>
    <row r="83" spans="34:37">
      <c r="AH83" s="14"/>
      <c r="AI83" s="14"/>
      <c r="AJ83" s="14"/>
      <c r="AK83" s="14"/>
    </row>
    <row r="84" spans="34:37">
      <c r="AH84" s="14"/>
      <c r="AI84" s="14"/>
      <c r="AJ84" s="14"/>
      <c r="AK84" s="14"/>
    </row>
    <row r="85" spans="34:37">
      <c r="AH85" s="14"/>
      <c r="AI85" s="14"/>
      <c r="AJ85" s="14"/>
      <c r="AK85" s="14"/>
    </row>
    <row r="86" spans="34:37">
      <c r="AH86" s="14"/>
      <c r="AI86" s="14"/>
      <c r="AJ86" s="14"/>
      <c r="AK86" s="14"/>
    </row>
    <row r="87" spans="34:37">
      <c r="AH87" s="14"/>
      <c r="AI87" s="14"/>
      <c r="AJ87" s="14"/>
      <c r="AK87" s="14"/>
    </row>
    <row r="88" spans="34:37">
      <c r="AH88" s="14"/>
      <c r="AI88" s="14"/>
      <c r="AJ88" s="14"/>
      <c r="AK88" s="14"/>
    </row>
    <row r="89" spans="34:37">
      <c r="AH89" s="14"/>
      <c r="AI89" s="14"/>
      <c r="AJ89" s="14"/>
      <c r="AK89" s="14"/>
    </row>
    <row r="90" spans="34:37">
      <c r="AH90" s="14"/>
      <c r="AI90" s="14"/>
      <c r="AJ90" s="14"/>
      <c r="AK90" s="14"/>
    </row>
    <row r="91" spans="34:37">
      <c r="AH91" s="14"/>
      <c r="AI91" s="14"/>
      <c r="AJ91" s="14"/>
      <c r="AK91" s="14"/>
    </row>
    <row r="92" spans="34:37">
      <c r="AH92" s="14"/>
      <c r="AI92" s="14"/>
      <c r="AJ92" s="14"/>
      <c r="AK92" s="14"/>
    </row>
    <row r="93" spans="34:37">
      <c r="AH93" s="14"/>
      <c r="AI93" s="14"/>
      <c r="AJ93" s="14"/>
      <c r="AK93" s="14"/>
    </row>
    <row r="94" spans="34:37">
      <c r="AH94" s="14"/>
      <c r="AI94" s="14"/>
      <c r="AJ94" s="14"/>
      <c r="AK94" s="14"/>
    </row>
    <row r="95" spans="34:37">
      <c r="AH95" s="14"/>
      <c r="AI95" s="14"/>
      <c r="AJ95" s="14"/>
      <c r="AK95" s="14"/>
    </row>
    <row r="96" spans="34:37">
      <c r="AH96" s="14"/>
      <c r="AI96" s="14"/>
      <c r="AJ96" s="14"/>
      <c r="AK96" s="14"/>
    </row>
    <row r="97" spans="34:37">
      <c r="AH97" s="14"/>
      <c r="AI97" s="14"/>
      <c r="AJ97" s="14"/>
      <c r="AK97" s="14"/>
    </row>
    <row r="98" spans="34:37">
      <c r="AH98" s="14"/>
      <c r="AI98" s="14"/>
      <c r="AJ98" s="14"/>
      <c r="AK98" s="14"/>
    </row>
    <row r="99" spans="34:37">
      <c r="AH99" s="14"/>
      <c r="AI99" s="14"/>
      <c r="AJ99" s="14"/>
      <c r="AK99" s="14"/>
    </row>
    <row r="100" spans="34:37">
      <c r="AH100" s="14"/>
      <c r="AI100" s="14"/>
      <c r="AJ100" s="14"/>
      <c r="AK100" s="14"/>
    </row>
    <row r="101" spans="34:37">
      <c r="AH101" s="14"/>
      <c r="AI101" s="14"/>
      <c r="AJ101" s="14"/>
      <c r="AK101" s="14"/>
    </row>
    <row r="102" spans="34:37">
      <c r="AH102" s="14"/>
      <c r="AI102" s="14"/>
      <c r="AJ102" s="14"/>
      <c r="AK102" s="14"/>
    </row>
    <row r="103" spans="34:37">
      <c r="AH103" s="14"/>
      <c r="AI103" s="14"/>
      <c r="AJ103" s="14"/>
      <c r="AK103" s="14"/>
    </row>
    <row r="104" spans="34:37">
      <c r="AH104" s="14"/>
      <c r="AI104" s="14"/>
      <c r="AJ104" s="14"/>
      <c r="AK104" s="14"/>
    </row>
    <row r="105" spans="34:37">
      <c r="AH105" s="14"/>
      <c r="AI105" s="14"/>
      <c r="AJ105" s="14"/>
      <c r="AK105" s="14"/>
    </row>
    <row r="106" spans="34:37">
      <c r="AH106" s="14"/>
      <c r="AI106" s="14"/>
      <c r="AJ106" s="14"/>
      <c r="AK106" s="14"/>
    </row>
    <row r="107" spans="34:37">
      <c r="AH107" s="14"/>
      <c r="AI107" s="14"/>
      <c r="AJ107" s="14"/>
      <c r="AK107" s="14"/>
    </row>
    <row r="108" spans="34:37">
      <c r="AH108" s="14"/>
      <c r="AI108" s="14"/>
      <c r="AJ108" s="14"/>
      <c r="AK108" s="14"/>
    </row>
    <row r="109" spans="34:37">
      <c r="AH109" s="14"/>
      <c r="AI109" s="14"/>
      <c r="AJ109" s="14"/>
      <c r="AK109" s="14"/>
    </row>
    <row r="110" spans="34:37">
      <c r="AH110" s="14"/>
      <c r="AI110" s="14"/>
      <c r="AJ110" s="14"/>
      <c r="AK110" s="14"/>
    </row>
    <row r="111" spans="34:37">
      <c r="AH111" s="14"/>
      <c r="AI111" s="14"/>
      <c r="AJ111" s="14"/>
      <c r="AK111" s="14"/>
    </row>
    <row r="112" spans="34:37">
      <c r="AH112" s="14"/>
      <c r="AI112" s="14"/>
      <c r="AJ112" s="14"/>
      <c r="AK112" s="14"/>
    </row>
    <row r="113" spans="34:37">
      <c r="AH113" s="14"/>
      <c r="AI113" s="14"/>
      <c r="AJ113" s="14"/>
      <c r="AK113" s="14"/>
    </row>
    <row r="114" spans="34:37">
      <c r="AH114" s="14"/>
      <c r="AI114" s="14"/>
      <c r="AJ114" s="14"/>
      <c r="AK114" s="14"/>
    </row>
    <row r="115" spans="34:37">
      <c r="AH115" s="14"/>
      <c r="AI115" s="14"/>
      <c r="AJ115" s="14"/>
      <c r="AK115" s="14"/>
    </row>
    <row r="116" spans="34:37">
      <c r="AH116" s="14"/>
      <c r="AI116" s="14"/>
      <c r="AJ116" s="14"/>
      <c r="AK116" s="14"/>
    </row>
    <row r="117" spans="34:37">
      <c r="AH117" s="14"/>
      <c r="AI117" s="14"/>
      <c r="AJ117" s="14"/>
      <c r="AK117" s="14"/>
    </row>
    <row r="118" spans="34:37">
      <c r="AH118" s="14"/>
      <c r="AI118" s="14"/>
      <c r="AJ118" s="14"/>
      <c r="AK118" s="14"/>
    </row>
    <row r="119" spans="34:37">
      <c r="AH119" s="14"/>
      <c r="AI119" s="14"/>
      <c r="AJ119" s="14"/>
      <c r="AK119" s="14"/>
    </row>
    <row r="120" spans="34:37">
      <c r="AH120" s="14"/>
      <c r="AI120" s="14"/>
      <c r="AJ120" s="14"/>
      <c r="AK120" s="14"/>
    </row>
    <row r="121" spans="34:37">
      <c r="AH121" s="14"/>
      <c r="AI121" s="14"/>
      <c r="AJ121" s="14"/>
      <c r="AK121" s="14"/>
    </row>
    <row r="122" spans="34:37">
      <c r="AH122" s="14"/>
      <c r="AI122" s="14"/>
      <c r="AJ122" s="14"/>
      <c r="AK122" s="14"/>
    </row>
    <row r="123" spans="34:37">
      <c r="AH123" s="14"/>
      <c r="AI123" s="14"/>
      <c r="AJ123" s="14"/>
      <c r="AK123" s="14"/>
    </row>
    <row r="124" spans="34:37">
      <c r="AH124" s="14"/>
      <c r="AI124" s="14"/>
      <c r="AJ124" s="14"/>
      <c r="AK124" s="14"/>
    </row>
    <row r="125" spans="34:37">
      <c r="AH125" s="14"/>
      <c r="AI125" s="14"/>
      <c r="AJ125" s="14"/>
      <c r="AK125" s="14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B3:N21"/>
  <sheetViews>
    <sheetView workbookViewId="0">
      <selection activeCell="I8" sqref="I8"/>
    </sheetView>
  </sheetViews>
  <sheetFormatPr defaultRowHeight="14.4"/>
  <cols>
    <col min="2" max="2" width="11.88671875" bestFit="1" customWidth="1"/>
  </cols>
  <sheetData>
    <row r="3" spans="2:14">
      <c r="C3" t="s">
        <v>424</v>
      </c>
      <c r="E3" t="s">
        <v>425</v>
      </c>
    </row>
    <row r="4" spans="2:14">
      <c r="B4" s="15" t="s">
        <v>32</v>
      </c>
      <c r="C4" s="15" t="s">
        <v>426</v>
      </c>
      <c r="D4" s="15" t="s">
        <v>414</v>
      </c>
      <c r="E4" s="16"/>
      <c r="F4" s="16"/>
      <c r="G4" s="16"/>
      <c r="I4">
        <v>1.2</v>
      </c>
    </row>
    <row r="5" spans="2:14">
      <c r="B5" s="17" t="s">
        <v>9</v>
      </c>
      <c r="C5" s="21">
        <f>E5/2</f>
        <v>0</v>
      </c>
      <c r="D5" s="21">
        <f>E5/2</f>
        <v>0</v>
      </c>
      <c r="E5" s="18">
        <v>0</v>
      </c>
      <c r="I5" s="20">
        <v>0.1</v>
      </c>
      <c r="J5" s="19">
        <v>0.83333333333333337</v>
      </c>
    </row>
    <row r="6" spans="2:14">
      <c r="B6" s="17" t="s">
        <v>0</v>
      </c>
      <c r="C6" s="21">
        <f t="shared" ref="C6:C17" si="0">E6/2</f>
        <v>0</v>
      </c>
      <c r="D6" s="21">
        <f t="shared" ref="D6:D17" si="1">E6/2</f>
        <v>0</v>
      </c>
      <c r="E6" s="18">
        <v>0</v>
      </c>
      <c r="I6">
        <v>0.11</v>
      </c>
      <c r="J6" s="19">
        <v>0.91666666666666674</v>
      </c>
    </row>
    <row r="7" spans="2:14">
      <c r="B7" s="17" t="s">
        <v>1</v>
      </c>
      <c r="C7" s="21">
        <f t="shared" si="0"/>
        <v>0.01</v>
      </c>
      <c r="D7" s="21">
        <f t="shared" si="1"/>
        <v>0.01</v>
      </c>
      <c r="E7" s="18">
        <v>0.02</v>
      </c>
      <c r="I7">
        <v>0.1</v>
      </c>
      <c r="J7" s="19">
        <v>8.3333333333333343E-2</v>
      </c>
    </row>
    <row r="8" spans="2:14">
      <c r="B8" s="17" t="s">
        <v>2</v>
      </c>
      <c r="C8" s="21">
        <f t="shared" si="0"/>
        <v>0.02</v>
      </c>
      <c r="D8" s="21">
        <f t="shared" si="1"/>
        <v>0.02</v>
      </c>
      <c r="E8" s="18">
        <v>0.04</v>
      </c>
      <c r="I8">
        <v>0.2</v>
      </c>
      <c r="J8" s="19">
        <v>0.16666666666666669</v>
      </c>
    </row>
    <row r="9" spans="2:14">
      <c r="B9" s="17" t="s">
        <v>3</v>
      </c>
      <c r="C9" s="21">
        <f t="shared" si="0"/>
        <v>0.02</v>
      </c>
      <c r="D9" s="21">
        <f t="shared" si="1"/>
        <v>0.02</v>
      </c>
      <c r="E9" s="18">
        <v>0.04</v>
      </c>
      <c r="I9">
        <v>0.3</v>
      </c>
      <c r="J9" s="19">
        <v>0.25</v>
      </c>
    </row>
    <row r="10" spans="2:14">
      <c r="B10" s="17" t="s">
        <v>4</v>
      </c>
      <c r="C10" s="21">
        <f t="shared" si="0"/>
        <v>0.03</v>
      </c>
      <c r="D10" s="21">
        <f t="shared" si="1"/>
        <v>0.03</v>
      </c>
      <c r="E10" s="18">
        <v>0.06</v>
      </c>
      <c r="I10">
        <v>0.4</v>
      </c>
      <c r="J10" s="19">
        <v>0.33333333333333337</v>
      </c>
    </row>
    <row r="11" spans="2:14" ht="15">
      <c r="B11" s="17" t="s">
        <v>5</v>
      </c>
      <c r="C11" s="21">
        <f t="shared" si="0"/>
        <v>0.03</v>
      </c>
      <c r="D11" s="21">
        <f t="shared" si="1"/>
        <v>0.03</v>
      </c>
      <c r="E11" s="18">
        <v>0.06</v>
      </c>
      <c r="I11">
        <v>0.5</v>
      </c>
      <c r="J11" s="19">
        <v>0.41666666666666669</v>
      </c>
      <c r="N11" s="24"/>
    </row>
    <row r="12" spans="2:14">
      <c r="B12" s="17" t="s">
        <v>6</v>
      </c>
      <c r="C12" s="21">
        <f t="shared" si="0"/>
        <v>0.04</v>
      </c>
      <c r="D12" s="21">
        <f t="shared" si="1"/>
        <v>0.04</v>
      </c>
      <c r="E12" s="18">
        <v>0.08</v>
      </c>
      <c r="I12">
        <v>0.6</v>
      </c>
      <c r="J12" s="19">
        <v>0.5</v>
      </c>
    </row>
    <row r="13" spans="2:14">
      <c r="B13" s="17" t="s">
        <v>10</v>
      </c>
      <c r="C13" s="21">
        <f t="shared" si="0"/>
        <v>0.04</v>
      </c>
      <c r="D13" s="21">
        <f t="shared" si="1"/>
        <v>0.04</v>
      </c>
      <c r="E13" s="18">
        <v>0.08</v>
      </c>
      <c r="I13">
        <v>0.7</v>
      </c>
      <c r="J13" s="19">
        <v>0.58333333333333337</v>
      </c>
    </row>
    <row r="14" spans="2:14">
      <c r="B14" s="17" t="s">
        <v>11</v>
      </c>
      <c r="C14" s="21">
        <f t="shared" si="0"/>
        <v>0.05</v>
      </c>
      <c r="D14" s="21">
        <f t="shared" si="1"/>
        <v>0.05</v>
      </c>
      <c r="E14" s="18">
        <v>0.1</v>
      </c>
      <c r="I14">
        <v>0.8</v>
      </c>
      <c r="J14" s="19">
        <v>0.66666666666666674</v>
      </c>
    </row>
    <row r="15" spans="2:14">
      <c r="B15" s="17" t="s">
        <v>7</v>
      </c>
      <c r="C15" s="21">
        <f t="shared" si="0"/>
        <v>0.06</v>
      </c>
      <c r="D15" s="21">
        <f t="shared" si="1"/>
        <v>0.06</v>
      </c>
      <c r="E15" s="18">
        <v>0.12</v>
      </c>
      <c r="I15">
        <v>0.9</v>
      </c>
      <c r="J15" s="19">
        <v>0.75</v>
      </c>
    </row>
    <row r="16" spans="2:14">
      <c r="B16" s="17" t="s">
        <v>12</v>
      </c>
      <c r="C16" s="21">
        <f t="shared" si="0"/>
        <v>7.0000000000000007E-2</v>
      </c>
      <c r="D16" s="21">
        <f t="shared" si="1"/>
        <v>7.0000000000000007E-2</v>
      </c>
      <c r="E16" s="18">
        <v>0.14000000000000001</v>
      </c>
      <c r="I16">
        <v>1</v>
      </c>
      <c r="J16" s="19">
        <v>1</v>
      </c>
      <c r="L16" s="22"/>
      <c r="N16" s="23"/>
    </row>
    <row r="17" spans="2:12">
      <c r="B17" s="17" t="s">
        <v>13</v>
      </c>
      <c r="C17" s="21">
        <f t="shared" si="0"/>
        <v>7.0000000000000007E-2</v>
      </c>
      <c r="D17" s="21">
        <f t="shared" si="1"/>
        <v>7.0000000000000007E-2</v>
      </c>
      <c r="E17" s="18">
        <v>0.14000000000000001</v>
      </c>
    </row>
    <row r="18" spans="2:12">
      <c r="L18" s="18"/>
    </row>
    <row r="21" spans="2:12">
      <c r="J21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CEDE05C7C6DA488F0DA54DB10E0F81" ma:contentTypeVersion="11" ma:contentTypeDescription="Create a new document." ma:contentTypeScope="" ma:versionID="59efd3c97da05a9def5955d563cc9bfb">
  <xsd:schema xmlns:xsd="http://www.w3.org/2001/XMLSchema" xmlns:xs="http://www.w3.org/2001/XMLSchema" xmlns:p="http://schemas.microsoft.com/office/2006/metadata/properties" xmlns:ns2="c1eda6b0-8a00-416a-bacf-613164c81a14" targetNamespace="http://schemas.microsoft.com/office/2006/metadata/properties" ma:root="true" ma:fieldsID="9230132420a06af6f8bf8a7666d54156" ns2:_="">
    <xsd:import namespace="c1eda6b0-8a00-416a-bacf-613164c81a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eda6b0-8a00-416a-bacf-613164c81a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7588B7-ECD3-4E43-BCAA-0276A0F6BF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eda6b0-8a00-416a-bacf-613164c81a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D59F1F-8579-42C1-83EC-423BBD9D5DE8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1eda6b0-8a00-416a-bacf-613164c81a14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4FB8385-FA8F-4551-8FE9-4856132022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October Interim 2023</vt:lpstr>
      <vt:lpstr>Loyalty Incentive v1</vt:lpstr>
      <vt:lpstr>Loyalty - Effec - 15July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schandran@health.saisystems.com</dc:creator>
  <cp:keywords/>
  <dc:description/>
  <cp:lastModifiedBy>Sureshbabu Anandrao</cp:lastModifiedBy>
  <cp:revision/>
  <dcterms:created xsi:type="dcterms:W3CDTF">2018-04-26T10:44:00Z</dcterms:created>
  <dcterms:modified xsi:type="dcterms:W3CDTF">2024-02-26T10:53:42Z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1033-11.2.0.9396</vt:lpwstr>
  </property>
  <property fmtid="{D5CDD505-2E9C-101B-9397-08002B2CF9AE}" pid="3" name="ContentTypeId">
    <vt:lpwstr>0x010100E9CEDE05C7C6DA488F0DA54DB10E0F81</vt:lpwstr>
  </property>
</Properties>
</file>