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 27\"/>
    </mc:Choice>
  </mc:AlternateContent>
  <xr:revisionPtr revIDLastSave="0" documentId="13_ncr:1_{27DBD061-125B-48F5-BC9E-9A7111C045EF}" xr6:coauthVersionLast="47" xr6:coauthVersionMax="47" xr10:uidLastSave="{00000000-0000-0000-0000-000000000000}"/>
  <bookViews>
    <workbookView xWindow="-108" yWindow="-108" windowWidth="23256" windowHeight="12576" tabRatio="599" xr2:uid="{00000000-000D-0000-FFFF-FFFF00000000}"/>
  </bookViews>
  <sheets>
    <sheet name="Annual Appraisal Oct 2023" sheetId="29" r:id="rId1"/>
    <sheet name="Loyalty Incentive v1" sheetId="16" r:id="rId2"/>
    <sheet name="Loyalty - Effec - 15July" sheetId="30" r:id="rId3"/>
  </sheets>
  <definedNames>
    <definedName name="_xlnm._FilterDatabase" localSheetId="0" hidden="1">'Annual Appraisal Oct 2023'!$A$4:$BR$14</definedName>
    <definedName name="as">OFFSET(#REF!,2,0,#REF!,1)</definedName>
    <definedName name="cum_interest">OFFSET(#REF!,2,0,#REF!,1)</definedName>
    <definedName name="cum_principal">OFFSET(#REF!,2,0,#REF!,1)</definedName>
    <definedName name="End_Bal">#REF!</definedName>
    <definedName name="Full_Print">#REF!</definedName>
    <definedName name="Header_Row">ROW(#REF!)</definedName>
    <definedName name="Interest_Rate">#REF!</definedName>
    <definedName name="Last_Row">#N/A</definedName>
    <definedName name="Loan_Amount">#REF!</definedName>
    <definedName name="Loan_Start">#REF!</definedName>
    <definedName name="Loan_Years">#REF!</definedName>
    <definedName name="Months">#REF!</definedName>
    <definedName name="period_number">OFFSET(#REF!,2,0,#REF!,1)</definedName>
    <definedName name="PrintNew">OFFSET(#REF!,2,0,#REF!,1)</definedName>
    <definedName name="Xyz">OFFSET(#REF!,2,0,#REF!,1)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xlnp="http://schemas.microsoft.com/office/spreadsheetml/2019/extlinksprops" uri="{FCE6A71B-6B00-49CD-AB44-F6B1AE7CDE65}">
      <xxlnp:externalLinksPr autoRefresh="1"/>
    </ext>
  </extLst>
</workbook>
</file>

<file path=xl/calcChain.xml><?xml version="1.0" encoding="utf-8"?>
<calcChain xmlns="http://schemas.openxmlformats.org/spreadsheetml/2006/main">
  <c r="AN14" i="29" l="1"/>
  <c r="AN13" i="29"/>
  <c r="AN12" i="29"/>
  <c r="AN11" i="29"/>
  <c r="AN10" i="29"/>
  <c r="AN9" i="29"/>
  <c r="AN8" i="29"/>
  <c r="AN7" i="29"/>
  <c r="AN6" i="29"/>
  <c r="AN5" i="29"/>
  <c r="AM13" i="29"/>
  <c r="AM6" i="29"/>
  <c r="AM7" i="29"/>
  <c r="AM8" i="29"/>
  <c r="AM9" i="29"/>
  <c r="AM10" i="29"/>
  <c r="AM11" i="29"/>
  <c r="AM12" i="29"/>
  <c r="AM14" i="29"/>
  <c r="AM5" i="29"/>
  <c r="AQ13" i="29"/>
  <c r="N14" i="29"/>
  <c r="N13" i="29"/>
  <c r="N12" i="29"/>
  <c r="N11" i="29"/>
  <c r="N10" i="29"/>
  <c r="N9" i="29"/>
  <c r="N8" i="29"/>
  <c r="N7" i="29"/>
  <c r="N6" i="29"/>
  <c r="N5" i="29"/>
  <c r="BB2" i="29"/>
  <c r="AX2" i="29"/>
  <c r="AA2" i="29" l="1"/>
  <c r="Z2" i="29"/>
  <c r="W2" i="29"/>
  <c r="S2" i="29"/>
  <c r="O2" i="29"/>
  <c r="O1" i="29" s="1"/>
  <c r="P5" i="29" l="1"/>
  <c r="Q5" i="29" s="1"/>
  <c r="P8" i="29"/>
  <c r="Q8" i="29" s="1"/>
  <c r="P6" i="29"/>
  <c r="Q6" i="29" s="1"/>
  <c r="P7" i="29"/>
  <c r="P14" i="29"/>
  <c r="P10" i="29"/>
  <c r="Q10" i="29" s="1"/>
  <c r="P11" i="29"/>
  <c r="R11" i="29" s="1"/>
  <c r="P12" i="29"/>
  <c r="P13" i="29"/>
  <c r="Q13" i="29" s="1"/>
  <c r="P9" i="29"/>
  <c r="Q9" i="29" s="1"/>
  <c r="Q7" i="29" l="1"/>
  <c r="P2" i="29"/>
  <c r="Q11" i="29"/>
  <c r="T11" i="29" s="1"/>
  <c r="R5" i="29"/>
  <c r="T5" i="29" s="1"/>
  <c r="R12" i="29"/>
  <c r="Q12" i="29"/>
  <c r="Q14" i="29"/>
  <c r="R14" i="29"/>
  <c r="R7" i="29"/>
  <c r="R13" i="29"/>
  <c r="T13" i="29" s="1"/>
  <c r="R6" i="29"/>
  <c r="T6" i="29" s="1"/>
  <c r="R10" i="29"/>
  <c r="T10" i="29" s="1"/>
  <c r="R9" i="29"/>
  <c r="T9" i="29" s="1"/>
  <c r="R8" i="29"/>
  <c r="AR14" i="29"/>
  <c r="AR10" i="29"/>
  <c r="Q2" i="29" l="1"/>
  <c r="T7" i="29"/>
  <c r="AC7" i="29" s="1"/>
  <c r="R2" i="29"/>
  <c r="AC5" i="29"/>
  <c r="U5" i="29"/>
  <c r="T12" i="29"/>
  <c r="V12" i="29" s="1"/>
  <c r="V5" i="29"/>
  <c r="T14" i="29"/>
  <c r="V13" i="29"/>
  <c r="AC13" i="29"/>
  <c r="U13" i="29"/>
  <c r="AC10" i="29"/>
  <c r="V10" i="29"/>
  <c r="U10" i="29"/>
  <c r="U11" i="29"/>
  <c r="V11" i="29"/>
  <c r="AC11" i="29"/>
  <c r="V6" i="29"/>
  <c r="AC6" i="29"/>
  <c r="U6" i="29"/>
  <c r="AC9" i="29"/>
  <c r="U9" i="29"/>
  <c r="V9" i="29"/>
  <c r="AR13" i="29"/>
  <c r="AP13" i="29" s="1"/>
  <c r="AR6" i="29"/>
  <c r="AP12" i="29"/>
  <c r="AR11" i="29"/>
  <c r="AP11" i="29" s="1"/>
  <c r="AQ10" i="29"/>
  <c r="AP10" i="29"/>
  <c r="AP7" i="29"/>
  <c r="AQ14" i="29"/>
  <c r="AP14" i="29"/>
  <c r="AR9" i="29"/>
  <c r="AP9" i="29" s="1"/>
  <c r="AR8" i="29"/>
  <c r="AP8" i="29" s="1"/>
  <c r="AP6" i="29" l="1"/>
  <c r="AT6" i="29" s="1"/>
  <c r="V7" i="29"/>
  <c r="U7" i="29"/>
  <c r="AE7" i="29" s="1"/>
  <c r="AF7" i="29" s="1"/>
  <c r="AB5" i="29"/>
  <c r="AD5" i="29" s="1"/>
  <c r="AE5" i="29"/>
  <c r="AF5" i="29" s="1"/>
  <c r="AC12" i="29"/>
  <c r="U12" i="29"/>
  <c r="AE9" i="29"/>
  <c r="AF9" i="29" s="1"/>
  <c r="AB6" i="29"/>
  <c r="AD6" i="29" s="1"/>
  <c r="AB13" i="29"/>
  <c r="AD13" i="29" s="1"/>
  <c r="AB9" i="29"/>
  <c r="AD9" i="29" s="1"/>
  <c r="AB11" i="29"/>
  <c r="AD11" i="29" s="1"/>
  <c r="AE6" i="29"/>
  <c r="AF6" i="29" s="1"/>
  <c r="AB10" i="29"/>
  <c r="AD10" i="29" s="1"/>
  <c r="AE13" i="29"/>
  <c r="AF13" i="29" s="1"/>
  <c r="AC14" i="29"/>
  <c r="V14" i="29"/>
  <c r="AE11" i="29"/>
  <c r="AF11" i="29" s="1"/>
  <c r="U14" i="29"/>
  <c r="AE10" i="29"/>
  <c r="AF10" i="29" s="1"/>
  <c r="AQ8" i="29"/>
  <c r="AQ6" i="29"/>
  <c r="AQ9" i="29"/>
  <c r="AQ11" i="29"/>
  <c r="BE6" i="29" l="1"/>
  <c r="BF6" i="29"/>
  <c r="AB7" i="29"/>
  <c r="AD7" i="29" s="1"/>
  <c r="AE12" i="29"/>
  <c r="AF12" i="29" s="1"/>
  <c r="AB12" i="29"/>
  <c r="AD12" i="29" s="1"/>
  <c r="AB14" i="29"/>
  <c r="AD14" i="29" s="1"/>
  <c r="AE14" i="29"/>
  <c r="AF14" i="29" s="1"/>
  <c r="Y2" i="29" l="1"/>
  <c r="X2" i="29"/>
  <c r="Z1" i="29" l="1"/>
  <c r="AS9" i="29" l="1"/>
  <c r="AS6" i="29"/>
  <c r="AS7" i="29"/>
  <c r="AS13" i="29"/>
  <c r="AS12" i="29"/>
  <c r="AS8" i="29"/>
  <c r="AS11" i="29"/>
  <c r="AS10" i="29"/>
  <c r="AS14" i="29"/>
  <c r="AR5" i="29"/>
  <c r="AP5" i="29" l="1"/>
  <c r="AT5" i="29" s="1"/>
  <c r="AQ5" i="29"/>
  <c r="AT12" i="29"/>
  <c r="BE12" i="29" s="1"/>
  <c r="BE5" i="29" l="1"/>
  <c r="BF5" i="29"/>
  <c r="BF12" i="29"/>
  <c r="AT11" i="29"/>
  <c r="AT10" i="29"/>
  <c r="AT13" i="29"/>
  <c r="BE13" i="29" s="1"/>
  <c r="AT9" i="29"/>
  <c r="AT14" i="29"/>
  <c r="AU12" i="29"/>
  <c r="BE9" i="29" l="1"/>
  <c r="BF9" i="29"/>
  <c r="BE11" i="29"/>
  <c r="BF11" i="29"/>
  <c r="BE14" i="29"/>
  <c r="BF14" i="29"/>
  <c r="BE10" i="29"/>
  <c r="BF10" i="29"/>
  <c r="BF13" i="29"/>
  <c r="AU13" i="29"/>
  <c r="AV13" i="29" s="1"/>
  <c r="AU10" i="29"/>
  <c r="AV10" i="29" s="1"/>
  <c r="AU9" i="29"/>
  <c r="AW9" i="29" s="1"/>
  <c r="AU11" i="29"/>
  <c r="AV11" i="29" s="1"/>
  <c r="AU14" i="29"/>
  <c r="AV14" i="29" s="1"/>
  <c r="AW12" i="29"/>
  <c r="AV12" i="29"/>
  <c r="AW13" i="29" l="1"/>
  <c r="AY13" i="29" s="1"/>
  <c r="AW10" i="29"/>
  <c r="AY10" i="29" s="1"/>
  <c r="AV9" i="29"/>
  <c r="AY9" i="29" s="1"/>
  <c r="AW11" i="29"/>
  <c r="AY11" i="29" s="1"/>
  <c r="AZ11" i="29" s="1"/>
  <c r="AW14" i="29"/>
  <c r="AY14" i="29" s="1"/>
  <c r="AY12" i="29"/>
  <c r="BA12" i="29" s="1"/>
  <c r="BA11" i="29" l="1"/>
  <c r="BG11" i="29" s="1"/>
  <c r="BH11" i="29"/>
  <c r="BJ11" i="29" s="1"/>
  <c r="BK11" i="29" s="1"/>
  <c r="AZ10" i="29"/>
  <c r="AZ14" i="29"/>
  <c r="BH13" i="29"/>
  <c r="BA14" i="29"/>
  <c r="BH14" i="29"/>
  <c r="BH9" i="29"/>
  <c r="AZ12" i="29"/>
  <c r="BG12" i="29" s="1"/>
  <c r="BH12" i="29"/>
  <c r="BH10" i="29"/>
  <c r="BA10" i="29"/>
  <c r="BA9" i="29"/>
  <c r="AZ9" i="29"/>
  <c r="BA13" i="29"/>
  <c r="AZ13" i="29"/>
  <c r="BL11" i="29" l="1"/>
  <c r="BN11" i="29"/>
  <c r="BM11" i="29"/>
  <c r="BG14" i="29"/>
  <c r="BI14" i="29" s="1"/>
  <c r="BG9" i="29"/>
  <c r="BI11" i="29"/>
  <c r="BJ10" i="29"/>
  <c r="BK10" i="29" s="1"/>
  <c r="BG13" i="29"/>
  <c r="BJ14" i="29"/>
  <c r="BK14" i="29" s="1"/>
  <c r="BJ13" i="29"/>
  <c r="BK13" i="29" s="1"/>
  <c r="BN13" i="29" s="1"/>
  <c r="BG10" i="29"/>
  <c r="BI12" i="29"/>
  <c r="BL12" i="29"/>
  <c r="BJ12" i="29"/>
  <c r="BK12" i="29" s="1"/>
  <c r="BM12" i="29" s="1"/>
  <c r="BJ9" i="29"/>
  <c r="BK9" i="29" s="1"/>
  <c r="BM9" i="29" s="1"/>
  <c r="AS5" i="29"/>
  <c r="BI10" i="29" l="1"/>
  <c r="BM13" i="29"/>
  <c r="BN12" i="29"/>
  <c r="BN9" i="29"/>
  <c r="BL9" i="29"/>
  <c r="BI9" i="29"/>
  <c r="BL13" i="29"/>
  <c r="BI13" i="29"/>
  <c r="AT8" i="29" l="1"/>
  <c r="AT7" i="29"/>
  <c r="BE7" i="29" s="1"/>
  <c r="AU6" i="29"/>
  <c r="BF8" i="29" l="1"/>
  <c r="BE8" i="29"/>
  <c r="AT2" i="29"/>
  <c r="BF7" i="29"/>
  <c r="AU7" i="29"/>
  <c r="AU8" i="29"/>
  <c r="AV8" i="29" s="1"/>
  <c r="AV6" i="29"/>
  <c r="AW6" i="29"/>
  <c r="AU5" i="29"/>
  <c r="AU2" i="29" l="1"/>
  <c r="AW7" i="29"/>
  <c r="AV7" i="29"/>
  <c r="AW8" i="29"/>
  <c r="AY8" i="29" s="1"/>
  <c r="BH8" i="29" s="1"/>
  <c r="AY6" i="29"/>
  <c r="BL10" i="29"/>
  <c r="BM14" i="29"/>
  <c r="BN14" i="29"/>
  <c r="BN10" i="29"/>
  <c r="BM10" i="29"/>
  <c r="BL14" i="29"/>
  <c r="AV5" i="29"/>
  <c r="AW5" i="29"/>
  <c r="AW2" i="29" l="1"/>
  <c r="AV2" i="29"/>
  <c r="AY7" i="29"/>
  <c r="BA7" i="29" s="1"/>
  <c r="BA8" i="29"/>
  <c r="AZ8" i="29"/>
  <c r="BJ8" i="29" s="1"/>
  <c r="BK8" i="29" s="1"/>
  <c r="AZ6" i="29"/>
  <c r="BA6" i="29"/>
  <c r="BH6" i="29"/>
  <c r="AY5" i="29"/>
  <c r="AY2" i="29" l="1"/>
  <c r="BH7" i="29"/>
  <c r="AZ7" i="29"/>
  <c r="BG7" i="29" s="1"/>
  <c r="BJ6" i="29"/>
  <c r="BK6" i="29" s="1"/>
  <c r="BG8" i="29"/>
  <c r="BG6" i="29"/>
  <c r="BI6" i="29" s="1"/>
  <c r="BL7" i="29" l="1"/>
  <c r="BJ7" i="29"/>
  <c r="BK7" i="29" s="1"/>
  <c r="BM7" i="29" s="1"/>
  <c r="BI7" i="29"/>
  <c r="BM6" i="29"/>
  <c r="BN6" i="29"/>
  <c r="BL6" i="29"/>
  <c r="BI8" i="29"/>
  <c r="BN7" i="29" l="1"/>
  <c r="AZ5" i="29"/>
  <c r="AZ2" i="29" s="1"/>
  <c r="BH5" i="29" l="1"/>
  <c r="BJ5" i="29" s="1"/>
  <c r="BK5" i="29" s="1"/>
  <c r="BA5" i="29"/>
  <c r="BG5" i="29" s="1"/>
  <c r="BG2" i="29" s="1"/>
  <c r="BG3" i="29" l="1"/>
  <c r="BE2" i="29"/>
  <c r="BA2" i="29"/>
  <c r="BM5" i="29"/>
  <c r="BN5" i="29"/>
  <c r="BL5" i="29" l="1"/>
  <c r="BI5" i="29"/>
  <c r="T8" i="29" l="1"/>
  <c r="T2" i="29" s="1"/>
  <c r="AT1" i="29" l="1"/>
  <c r="AC8" i="29"/>
  <c r="U8" i="29"/>
  <c r="U2" i="29" s="1"/>
  <c r="V8" i="29"/>
  <c r="V2" i="29" s="1"/>
  <c r="AB8" i="29" l="1"/>
  <c r="AB2" i="29" s="1"/>
  <c r="AB1" i="29" s="1"/>
  <c r="AE8" i="29"/>
  <c r="AF8" i="29" s="1"/>
  <c r="BM8" i="29" s="1"/>
  <c r="BN8" i="29" l="1"/>
  <c r="BL8" i="29"/>
  <c r="AD8" i="29"/>
  <c r="AD2" i="29" s="1"/>
  <c r="BH2" i="29" l="1"/>
  <c r="BH3" i="29" s="1"/>
  <c r="BI2" i="29"/>
  <c r="BJ2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Soundara Raja</author>
  </authors>
  <commentList>
    <comment ref="K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Soundara Raja:</t>
        </r>
        <r>
          <rPr>
            <sz val="9"/>
            <color indexed="81"/>
            <rFont val="Tahoma"/>
            <family val="2"/>
          </rPr>
          <t xml:space="preserve">
A - ANALYST
C - CALLER/CREDENTIAL
D - CODER
M - MANAGEMENT
S - TRANSACTION
E - CREDENTIAL
I -  DIGITAL
</t>
        </r>
      </text>
    </comment>
  </commentList>
</comments>
</file>

<file path=xl/sharedStrings.xml><?xml version="1.0" encoding="utf-8"?>
<sst xmlns="http://schemas.openxmlformats.org/spreadsheetml/2006/main" count="231" uniqueCount="112">
  <si>
    <t>AE2</t>
  </si>
  <si>
    <t>AE3</t>
  </si>
  <si>
    <t>AE4</t>
  </si>
  <si>
    <t>AE5</t>
  </si>
  <si>
    <t>AE6</t>
  </si>
  <si>
    <t>E1</t>
  </si>
  <si>
    <t>E2</t>
  </si>
  <si>
    <t>SE1</t>
  </si>
  <si>
    <t>Level / Rating</t>
  </si>
  <si>
    <t>AE1</t>
  </si>
  <si>
    <t>E3</t>
  </si>
  <si>
    <t>E4</t>
  </si>
  <si>
    <t>SE2</t>
  </si>
  <si>
    <t>SE3</t>
  </si>
  <si>
    <t>Revised overall CTC</t>
  </si>
  <si>
    <t>Before vs After revision</t>
  </si>
  <si>
    <t>Appraisal %</t>
  </si>
  <si>
    <t>Total Gross</t>
  </si>
  <si>
    <t>In dollars</t>
  </si>
  <si>
    <t>Employee ID</t>
  </si>
  <si>
    <t>Depart</t>
  </si>
  <si>
    <t>STATUS</t>
  </si>
  <si>
    <t>Annual Appraisal Review (E/NE)</t>
  </si>
  <si>
    <t>Category</t>
  </si>
  <si>
    <t>Prefix</t>
  </si>
  <si>
    <t>Employee Name</t>
  </si>
  <si>
    <t>DOJ</t>
  </si>
  <si>
    <t>Sai Exp</t>
  </si>
  <si>
    <t>Earlie.Exp</t>
  </si>
  <si>
    <t>Sub Band  - DOMAIN</t>
  </si>
  <si>
    <t>Role</t>
  </si>
  <si>
    <t>Curr Design</t>
  </si>
  <si>
    <t>Designation</t>
  </si>
  <si>
    <t>Current CTC</t>
  </si>
  <si>
    <t>Basic</t>
  </si>
  <si>
    <t>HRA</t>
  </si>
  <si>
    <t>Medical</t>
  </si>
  <si>
    <t xml:space="preserve">Special Allowance </t>
  </si>
  <si>
    <t>Current Gross</t>
  </si>
  <si>
    <t xml:space="preserve">PF-Co Share </t>
  </si>
  <si>
    <t xml:space="preserve">ESIC -Co. Share </t>
  </si>
  <si>
    <t>Labour Welfare</t>
  </si>
  <si>
    <t xml:space="preserve">Group Medical </t>
  </si>
  <si>
    <t>Gratuity</t>
  </si>
  <si>
    <t>Reimbursement</t>
  </si>
  <si>
    <t>Annul Bonus</t>
  </si>
  <si>
    <t xml:space="preserve">Current  CTC </t>
  </si>
  <si>
    <t xml:space="preserve">ESIC -Emp. Share </t>
  </si>
  <si>
    <t>Diff</t>
  </si>
  <si>
    <t>Current NTH</t>
  </si>
  <si>
    <t>Current NTH Monthly</t>
  </si>
  <si>
    <t>Appraiser</t>
  </si>
  <si>
    <t>Reviewer</t>
  </si>
  <si>
    <t>Self Rating</t>
  </si>
  <si>
    <t>Reveiwer</t>
  </si>
  <si>
    <t>Management</t>
  </si>
  <si>
    <t>Incr</t>
  </si>
  <si>
    <t>Pro rata</t>
  </si>
  <si>
    <t>Adj</t>
  </si>
  <si>
    <t>Increment %</t>
  </si>
  <si>
    <t>Promotion (Y/N)</t>
  </si>
  <si>
    <t>New Designaton</t>
  </si>
  <si>
    <t>Promotion Verify</t>
  </si>
  <si>
    <t>Revised CTC</t>
  </si>
  <si>
    <t>Revised Gross</t>
  </si>
  <si>
    <t>Co.PF</t>
  </si>
  <si>
    <t>Annual Bonus</t>
  </si>
  <si>
    <t xml:space="preserve">Revised CTC </t>
  </si>
  <si>
    <t xml:space="preserve"> Diff</t>
  </si>
  <si>
    <t>Revised NTH</t>
  </si>
  <si>
    <t>Revised NTH Monthly</t>
  </si>
  <si>
    <t>Abs Increase-CTC</t>
  </si>
  <si>
    <t>Abs Increase-NTH Monthly</t>
  </si>
  <si>
    <t>Difference in TH</t>
  </si>
  <si>
    <t>Active</t>
  </si>
  <si>
    <t>Eligible</t>
  </si>
  <si>
    <t>Exp</t>
  </si>
  <si>
    <t>NA</t>
  </si>
  <si>
    <t>Not Eligible</t>
  </si>
  <si>
    <t>Loyalty</t>
  </si>
  <si>
    <t>Level</t>
  </si>
  <si>
    <t>Deferred Component</t>
  </si>
  <si>
    <t>Effective From 1July</t>
  </si>
  <si>
    <t xml:space="preserve">Effective From 1Apr </t>
  </si>
  <si>
    <t>Reimb</t>
  </si>
  <si>
    <t xml:space="preserve">Bonus </t>
  </si>
  <si>
    <t>AC1</t>
  </si>
  <si>
    <t>AC2</t>
  </si>
  <si>
    <t>AC3</t>
  </si>
  <si>
    <t>AC4</t>
  </si>
  <si>
    <t>AC5</t>
  </si>
  <si>
    <t>C1</t>
  </si>
  <si>
    <t>C2</t>
  </si>
  <si>
    <t>C3</t>
  </si>
  <si>
    <t>C4</t>
  </si>
  <si>
    <t>SC1</t>
  </si>
  <si>
    <t>SC2</t>
  </si>
  <si>
    <t>SC3</t>
  </si>
  <si>
    <t>SAC1</t>
  </si>
  <si>
    <t>SAC2</t>
  </si>
  <si>
    <t>SAC3</t>
  </si>
  <si>
    <t>SAC4</t>
  </si>
  <si>
    <t>SAC5</t>
  </si>
  <si>
    <t>SAC6</t>
  </si>
  <si>
    <t>SAC7</t>
  </si>
  <si>
    <t>SAC8</t>
  </si>
  <si>
    <t>PUNE</t>
  </si>
  <si>
    <t>April 2023 Appraisal Rating</t>
  </si>
  <si>
    <t>April 2023 Appraisal Inc %</t>
  </si>
  <si>
    <t>$</t>
  </si>
  <si>
    <t>Promotion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</si>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</sst>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&quot;$&quot;#,##0.00"/>
    <numFmt numFmtId="167" formatCode="&quot;Yes&quot;;&quot;Yes&quot;;&quot;No&quot;"/>
    <numFmt numFmtId="168" formatCode="m/d/yyyy;@"/>
    <numFmt numFmtId="169" formatCode="&quot;$&quot;#,##0"/>
    <numFmt numFmtId="170" formatCode="[$₹-449]\ #,##0.00"/>
    <numFmt numFmtId="171" formatCode="[$-409]d\-mmm\-yyyy;@"/>
    <numFmt numFmtId="172" formatCode="0.0"/>
  </numFmts>
  <fonts count="3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000000"/>
      <name val="Calibri"/>
      <family val="2"/>
    </font>
    <font>
      <sz val="10"/>
      <color indexed="8"/>
      <name val="MS Sans Serif"/>
    </font>
    <font>
      <sz val="11"/>
      <color indexed="8"/>
      <name val="Calibri"/>
      <family val="2"/>
    </font>
    <font>
      <b/>
      <sz val="11.05"/>
      <color indexed="8"/>
      <name val="Verdana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b/>
      <sz val="10"/>
      <color indexed="8"/>
      <name val="MS Sans Serif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1"/>
      <scheme val="maj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9C0006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MS Sans Serif"/>
    </font>
    <font>
      <sz val="9"/>
      <color indexed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88402966399123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87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4" fillId="0" borderId="0"/>
    <xf numFmtId="0" fontId="4" fillId="0" borderId="0"/>
    <xf numFmtId="0" fontId="15" fillId="11" borderId="0" applyNumberFormat="0" applyBorder="0" applyAlignment="0" applyProtection="0"/>
    <xf numFmtId="0" fontId="4" fillId="12" borderId="5" applyNumberFormat="0" applyFont="0" applyAlignment="0" applyProtection="0"/>
    <xf numFmtId="0" fontId="14" fillId="12" borderId="5" applyNumberFormat="0" applyFont="0" applyAlignment="0" applyProtection="0"/>
    <xf numFmtId="0" fontId="4" fillId="0" borderId="0"/>
    <xf numFmtId="0" fontId="3" fillId="0" borderId="0"/>
    <xf numFmtId="0" fontId="19" fillId="0" borderId="0"/>
    <xf numFmtId="0" fontId="20" fillId="0" borderId="0"/>
    <xf numFmtId="0" fontId="3" fillId="0" borderId="0"/>
    <xf numFmtId="9" fontId="2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2" borderId="5" applyNumberFormat="0" applyFont="0" applyAlignment="0" applyProtection="0"/>
    <xf numFmtId="0" fontId="3" fillId="0" borderId="0"/>
    <xf numFmtId="0" fontId="22" fillId="0" borderId="0"/>
    <xf numFmtId="167" fontId="20" fillId="0" borderId="0" applyFont="0" applyFill="0" applyBorder="0" applyAlignment="0" applyProtection="0"/>
    <xf numFmtId="0" fontId="22" fillId="0" borderId="0"/>
    <xf numFmtId="16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2" fillId="0" borderId="0"/>
    <xf numFmtId="0" fontId="22" fillId="0" borderId="0"/>
    <xf numFmtId="168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2" fillId="0" borderId="0"/>
    <xf numFmtId="0" fontId="22" fillId="0" borderId="0"/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2" fillId="0" borderId="0"/>
    <xf numFmtId="0" fontId="22" fillId="0" borderId="0"/>
    <xf numFmtId="167" fontId="20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9" fontId="20" fillId="0" borderId="0" applyFont="0" applyFill="0" applyBorder="0" applyAlignment="0" applyProtection="0"/>
    <xf numFmtId="0" fontId="23" fillId="0" borderId="0"/>
    <xf numFmtId="9" fontId="20" fillId="0" borderId="0" applyFont="0" applyFill="0" applyBorder="0" applyAlignment="0" applyProtection="0"/>
    <xf numFmtId="0" fontId="25" fillId="13" borderId="0" applyNumberFormat="0" applyBorder="0" applyAlignment="0" applyProtection="0"/>
    <xf numFmtId="0" fontId="26" fillId="14" borderId="0" applyNumberFormat="0" applyBorder="0" applyAlignment="0" applyProtection="0"/>
    <xf numFmtId="0" fontId="29" fillId="0" borderId="0"/>
    <xf numFmtId="0" fontId="29" fillId="16" borderId="5" applyNumberFormat="0" applyFont="0" applyAlignment="0" applyProtection="0"/>
    <xf numFmtId="0" fontId="30" fillId="0" borderId="0" applyNumberFormat="0" applyFill="0" applyBorder="0" applyAlignment="0" applyProtection="0"/>
    <xf numFmtId="0" fontId="28" fillId="18" borderId="7" applyNumberFormat="0" applyAlignment="0" applyProtection="0"/>
    <xf numFmtId="0" fontId="2" fillId="0" borderId="0"/>
    <xf numFmtId="0" fontId="2" fillId="0" borderId="0"/>
    <xf numFmtId="0" fontId="2" fillId="15" borderId="0" applyNumberFormat="0" applyBorder="0" applyAlignment="0" applyProtection="0"/>
    <xf numFmtId="0" fontId="15" fillId="17" borderId="0" applyNumberFormat="0" applyBorder="0" applyAlignment="0" applyProtection="0"/>
    <xf numFmtId="0" fontId="2" fillId="16" borderId="5" applyNumberFormat="0" applyFont="0" applyAlignment="0" applyProtection="0"/>
  </cellStyleXfs>
  <cellXfs count="135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7" fillId="2" borderId="1" xfId="3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0" fontId="7" fillId="2" borderId="3" xfId="3" applyFont="1" applyFill="1" applyBorder="1" applyAlignment="1">
      <alignment horizontal="center"/>
    </xf>
    <xf numFmtId="0" fontId="7" fillId="2" borderId="0" xfId="3" applyFont="1" applyFill="1" applyAlignment="1">
      <alignment horizontal="center"/>
    </xf>
    <xf numFmtId="0" fontId="7" fillId="3" borderId="0" xfId="3" applyFont="1" applyFill="1" applyAlignment="1">
      <alignment horizontal="center"/>
    </xf>
    <xf numFmtId="9" fontId="7" fillId="2" borderId="1" xfId="3" applyNumberFormat="1" applyFont="1" applyFill="1" applyBorder="1" applyAlignment="1">
      <alignment horizontal="center"/>
    </xf>
    <xf numFmtId="9" fontId="7" fillId="3" borderId="1" xfId="3" applyNumberFormat="1" applyFont="1" applyFill="1" applyBorder="1" applyAlignment="1">
      <alignment horizontal="center"/>
    </xf>
    <xf numFmtId="9" fontId="7" fillId="4" borderId="1" xfId="3" applyNumberFormat="1" applyFont="1" applyFill="1" applyBorder="1" applyAlignment="1">
      <alignment horizontal="center"/>
    </xf>
    <xf numFmtId="0" fontId="7" fillId="2" borderId="4" xfId="3" applyFont="1" applyFill="1" applyBorder="1" applyAlignment="1">
      <alignment horizontal="center"/>
    </xf>
    <xf numFmtId="164" fontId="0" fillId="0" borderId="0" xfId="2" applyNumberFormat="1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9" fontId="5" fillId="0" borderId="1" xfId="2" applyFont="1" applyBorder="1" applyAlignment="1">
      <alignment horizontal="center" vertical="center"/>
    </xf>
    <xf numFmtId="165" fontId="6" fillId="9" borderId="1" xfId="1" applyNumberFormat="1" applyFont="1" applyFill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43" fontId="5" fillId="0" borderId="1" xfId="1" applyFont="1" applyBorder="1" applyAlignment="1">
      <alignment horizontal="center" vertical="center"/>
    </xf>
    <xf numFmtId="43" fontId="6" fillId="9" borderId="1" xfId="1" applyFont="1" applyFill="1" applyBorder="1" applyAlignment="1">
      <alignment horizontal="center" vertical="center"/>
    </xf>
    <xf numFmtId="0" fontId="24" fillId="0" borderId="1" xfId="0" applyFont="1" applyBorder="1"/>
    <xf numFmtId="0" fontId="24" fillId="0" borderId="0" xfId="0" applyFont="1"/>
    <xf numFmtId="9" fontId="0" fillId="0" borderId="0" xfId="0" applyNumberFormat="1"/>
    <xf numFmtId="9" fontId="0" fillId="0" borderId="0" xfId="2" applyFont="1"/>
    <xf numFmtId="170" fontId="5" fillId="0" borderId="0" xfId="1" applyNumberFormat="1" applyFont="1" applyBorder="1" applyAlignment="1">
      <alignment horizontal="center" vertical="center"/>
    </xf>
    <xf numFmtId="43" fontId="5" fillId="0" borderId="0" xfId="1" applyFont="1" applyBorder="1" applyAlignment="1">
      <alignment horizontal="center" vertical="center"/>
    </xf>
    <xf numFmtId="10" fontId="6" fillId="9" borderId="1" xfId="1" applyNumberFormat="1" applyFont="1" applyFill="1" applyBorder="1" applyAlignment="1">
      <alignment horizontal="center" vertical="center"/>
    </xf>
    <xf numFmtId="6" fontId="5" fillId="0" borderId="1" xfId="1" applyNumberFormat="1" applyFont="1" applyFill="1" applyBorder="1" applyAlignment="1">
      <alignment horizontal="center" vertical="center"/>
    </xf>
    <xf numFmtId="170" fontId="5" fillId="0" borderId="0" xfId="1" applyNumberFormat="1" applyFont="1" applyFill="1" applyBorder="1" applyAlignment="1">
      <alignment horizontal="center" vertical="center"/>
    </xf>
    <xf numFmtId="2" fontId="0" fillId="0" borderId="0" xfId="0" applyNumberFormat="1"/>
    <xf numFmtId="43" fontId="5" fillId="0" borderId="0" xfId="0" applyNumberFormat="1" applyFont="1" applyAlignment="1">
      <alignment horizontal="center" vertical="center"/>
    </xf>
    <xf numFmtId="43" fontId="5" fillId="0" borderId="1" xfId="1" applyFont="1" applyBorder="1" applyAlignment="1">
      <alignment horizontal="left" vertical="center"/>
    </xf>
    <xf numFmtId="169" fontId="5" fillId="0" borderId="0" xfId="0" applyNumberFormat="1" applyFont="1" applyAlignment="1">
      <alignment horizontal="center" vertical="center"/>
    </xf>
    <xf numFmtId="9" fontId="5" fillId="0" borderId="0" xfId="1" applyNumberFormat="1" applyFont="1" applyAlignment="1">
      <alignment horizontal="center" vertical="center"/>
    </xf>
    <xf numFmtId="9" fontId="5" fillId="0" borderId="0" xfId="2" applyFont="1" applyFill="1" applyAlignment="1">
      <alignment horizontal="center" vertical="center"/>
    </xf>
    <xf numFmtId="43" fontId="5" fillId="0" borderId="0" xfId="1" applyFont="1" applyAlignment="1">
      <alignment horizontal="center" vertical="center"/>
    </xf>
    <xf numFmtId="170" fontId="5" fillId="0" borderId="0" xfId="0" applyNumberFormat="1" applyFont="1" applyAlignment="1">
      <alignment horizontal="center" vertical="center"/>
    </xf>
    <xf numFmtId="0" fontId="31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left" vertical="center" wrapText="1"/>
    </xf>
    <xf numFmtId="43" fontId="32" fillId="14" borderId="1" xfId="77" applyNumberFormat="1" applyFont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 vertical="center"/>
    </xf>
    <xf numFmtId="43" fontId="31" fillId="5" borderId="1" xfId="1" applyFont="1" applyFill="1" applyBorder="1" applyAlignment="1">
      <alignment horizontal="center" vertical="center"/>
    </xf>
    <xf numFmtId="170" fontId="32" fillId="14" borderId="1" xfId="77" applyNumberFormat="1" applyFont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3" fillId="13" borderId="1" xfId="76" applyFont="1" applyBorder="1" applyAlignment="1">
      <alignment horizontal="center" vertical="center"/>
    </xf>
    <xf numFmtId="43" fontId="31" fillId="7" borderId="1" xfId="1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31" fillId="8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3" fontId="13" fillId="0" borderId="1" xfId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25" fillId="13" borderId="1" xfId="76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7" fillId="0" borderId="0" xfId="0" applyFont="1" applyAlignment="1">
      <alignment horizontal="left" vertical="top"/>
    </xf>
    <xf numFmtId="43" fontId="13" fillId="0" borderId="0" xfId="1" applyFont="1" applyBorder="1" applyAlignment="1">
      <alignment horizontal="center" vertical="center"/>
    </xf>
    <xf numFmtId="170" fontId="13" fillId="0" borderId="0" xfId="0" applyNumberFormat="1" applyFont="1" applyAlignment="1">
      <alignment horizontal="center" vertical="center"/>
    </xf>
    <xf numFmtId="0" fontId="8" fillId="19" borderId="1" xfId="3" applyFont="1" applyFill="1" applyBorder="1" applyAlignment="1">
      <alignment horizontal="center" vertical="center"/>
    </xf>
    <xf numFmtId="0" fontId="0" fillId="19" borderId="0" xfId="0" applyFill="1"/>
    <xf numFmtId="0" fontId="22" fillId="20" borderId="1" xfId="0" applyFont="1" applyFill="1" applyBorder="1"/>
    <xf numFmtId="10" fontId="22" fillId="20" borderId="1" xfId="0" applyNumberFormat="1" applyFont="1" applyFill="1" applyBorder="1"/>
    <xf numFmtId="0" fontId="35" fillId="19" borderId="0" xfId="0" applyFont="1" applyFill="1"/>
    <xf numFmtId="0" fontId="36" fillId="20" borderId="1" xfId="0" applyFont="1" applyFill="1" applyBorder="1" applyAlignment="1">
      <alignment horizontal="center"/>
    </xf>
    <xf numFmtId="0" fontId="36" fillId="19" borderId="8" xfId="0" applyFont="1" applyFill="1" applyBorder="1" applyAlignment="1">
      <alignment horizontal="center"/>
    </xf>
    <xf numFmtId="9" fontId="35" fillId="19" borderId="8" xfId="0" applyNumberFormat="1" applyFont="1" applyFill="1" applyBorder="1" applyAlignment="1">
      <alignment horizontal="center"/>
    </xf>
    <xf numFmtId="0" fontId="36" fillId="19" borderId="9" xfId="0" applyFont="1" applyFill="1" applyBorder="1" applyAlignment="1">
      <alignment horizontal="center"/>
    </xf>
    <xf numFmtId="9" fontId="35" fillId="19" borderId="9" xfId="0" applyNumberFormat="1" applyFont="1" applyFill="1" applyBorder="1" applyAlignment="1">
      <alignment horizontal="center"/>
    </xf>
    <xf numFmtId="9" fontId="35" fillId="20" borderId="9" xfId="0" applyNumberFormat="1" applyFont="1" applyFill="1" applyBorder="1" applyAlignment="1">
      <alignment horizontal="center"/>
    </xf>
    <xf numFmtId="0" fontId="1" fillId="19" borderId="0" xfId="0" applyFont="1" applyFill="1"/>
    <xf numFmtId="0" fontId="9" fillId="0" borderId="0" xfId="0" applyFont="1" applyAlignment="1">
      <alignment horizontal="center"/>
    </xf>
    <xf numFmtId="0" fontId="22" fillId="0" borderId="0" xfId="0" applyFont="1"/>
    <xf numFmtId="10" fontId="22" fillId="0" borderId="0" xfId="0" applyNumberFormat="1" applyFont="1"/>
    <xf numFmtId="43" fontId="6" fillId="9" borderId="1" xfId="1" applyFont="1" applyFill="1" applyBorder="1" applyAlignment="1">
      <alignment horizontal="right" vertical="center"/>
    </xf>
    <xf numFmtId="43" fontId="31" fillId="5" borderId="1" xfId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31" fillId="5" borderId="1" xfId="0" applyFont="1" applyFill="1" applyBorder="1" applyAlignment="1">
      <alignment horizontal="right" vertical="center"/>
    </xf>
    <xf numFmtId="0" fontId="6" fillId="9" borderId="1" xfId="0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horizontal="center" vertical="center"/>
    </xf>
    <xf numFmtId="169" fontId="6" fillId="9" borderId="1" xfId="0" applyNumberFormat="1" applyFont="1" applyFill="1" applyBorder="1" applyAlignment="1">
      <alignment horizontal="center" vertical="center"/>
    </xf>
    <xf numFmtId="0" fontId="31" fillId="21" borderId="1" xfId="0" applyFont="1" applyFill="1" applyBorder="1" applyAlignment="1">
      <alignment horizontal="left" vertical="center" wrapText="1"/>
    </xf>
    <xf numFmtId="0" fontId="31" fillId="5" borderId="1" xfId="0" applyFont="1" applyFill="1" applyBorder="1" applyAlignment="1">
      <alignment horizontal="center" vertical="top" wrapText="1"/>
    </xf>
    <xf numFmtId="0" fontId="31" fillId="5" borderId="1" xfId="0" applyFont="1" applyFill="1" applyBorder="1" applyAlignment="1">
      <alignment horizontal="left" vertical="top" wrapText="1"/>
    </xf>
    <xf numFmtId="10" fontId="6" fillId="9" borderId="1" xfId="0" applyNumberFormat="1" applyFont="1" applyFill="1" applyBorder="1" applyAlignment="1">
      <alignment horizontal="center" vertical="center"/>
    </xf>
    <xf numFmtId="43" fontId="34" fillId="0" borderId="1" xfId="16" applyFont="1" applyFill="1" applyBorder="1"/>
    <xf numFmtId="0" fontId="13" fillId="0" borderId="1" xfId="0" applyFont="1" applyBorder="1" applyAlignment="1">
      <alignment horizontal="left" vertical="top"/>
    </xf>
    <xf numFmtId="0" fontId="13" fillId="0" borderId="1" xfId="0" applyFont="1" applyBorder="1" applyAlignment="1">
      <alignment horizontal="left" vertical="center"/>
    </xf>
    <xf numFmtId="171" fontId="13" fillId="0" borderId="1" xfId="0" applyNumberFormat="1" applyFont="1" applyBorder="1" applyAlignment="1">
      <alignment horizontal="center" vertical="center"/>
    </xf>
    <xf numFmtId="172" fontId="13" fillId="0" borderId="1" xfId="0" applyNumberFormat="1" applyFont="1" applyBorder="1" applyAlignment="1">
      <alignment horizontal="center" vertical="center"/>
    </xf>
    <xf numFmtId="0" fontId="34" fillId="0" borderId="1" xfId="0" applyFont="1" applyBorder="1"/>
    <xf numFmtId="43" fontId="13" fillId="0" borderId="1" xfId="16" applyFont="1" applyFill="1" applyBorder="1" applyAlignment="1">
      <alignment horizontal="center" vertical="center"/>
    </xf>
    <xf numFmtId="43" fontId="13" fillId="0" borderId="1" xfId="0" applyNumberFormat="1" applyFont="1" applyBorder="1" applyAlignment="1">
      <alignment horizontal="center" vertical="center"/>
    </xf>
    <xf numFmtId="43" fontId="13" fillId="0" borderId="1" xfId="16" applyFont="1" applyFill="1" applyBorder="1" applyAlignment="1">
      <alignment horizontal="center" vertical="center" wrapText="1"/>
    </xf>
    <xf numFmtId="170" fontId="13" fillId="0" borderId="1" xfId="0" applyNumberFormat="1" applyFont="1" applyBorder="1" applyAlignment="1">
      <alignment horizontal="center" vertical="center"/>
    </xf>
    <xf numFmtId="2" fontId="13" fillId="0" borderId="6" xfId="0" applyNumberFormat="1" applyFont="1" applyBorder="1" applyAlignment="1">
      <alignment horizontal="center" vertical="center"/>
    </xf>
    <xf numFmtId="0" fontId="34" fillId="0" borderId="6" xfId="19" applyFont="1" applyBorder="1" applyAlignment="1">
      <alignment horizontal="left" vertical="center"/>
    </xf>
    <xf numFmtId="0" fontId="34" fillId="0" borderId="6" xfId="19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4" fontId="13" fillId="0" borderId="1" xfId="2" applyNumberFormat="1" applyFont="1" applyFill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 vertical="center"/>
    </xf>
    <xf numFmtId="0" fontId="34" fillId="0" borderId="1" xfId="19" applyFont="1" applyBorder="1" applyAlignment="1">
      <alignment horizontal="left" vertical="center"/>
    </xf>
    <xf numFmtId="0" fontId="34" fillId="0" borderId="1" xfId="19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1" fontId="13" fillId="0" borderId="1" xfId="0" applyNumberFormat="1" applyFont="1" applyBorder="1" applyAlignment="1">
      <alignment horizontal="center" vertical="center"/>
    </xf>
    <xf numFmtId="10" fontId="13" fillId="0" borderId="1" xfId="0" applyNumberFormat="1" applyFont="1" applyBorder="1" applyAlignment="1">
      <alignment horizontal="center" vertical="center"/>
    </xf>
    <xf numFmtId="43" fontId="13" fillId="0" borderId="3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7" fillId="0" borderId="1" xfId="0" applyFont="1" applyBorder="1"/>
    <xf numFmtId="0" fontId="13" fillId="0" borderId="1" xfId="0" applyFont="1" applyBorder="1" applyAlignment="1">
      <alignment horizontal="left"/>
    </xf>
    <xf numFmtId="9" fontId="13" fillId="0" borderId="1" xfId="0" applyNumberFormat="1" applyFont="1" applyBorder="1" applyAlignment="1">
      <alignment horizontal="center" vertical="center"/>
    </xf>
    <xf numFmtId="0" fontId="13" fillId="6" borderId="1" xfId="0" applyFont="1" applyFill="1" applyBorder="1" applyAlignment="1">
      <alignment horizontal="left"/>
    </xf>
    <xf numFmtId="0" fontId="13" fillId="6" borderId="1" xfId="0" applyFont="1" applyFill="1" applyBorder="1" applyAlignment="1">
      <alignment horizontal="left" vertical="center"/>
    </xf>
    <xf numFmtId="0" fontId="13" fillId="6" borderId="1" xfId="0" applyFont="1" applyFill="1" applyBorder="1" applyAlignment="1">
      <alignment horizontal="center" vertical="center"/>
    </xf>
    <xf numFmtId="171" fontId="13" fillId="6" borderId="1" xfId="0" applyNumberFormat="1" applyFont="1" applyFill="1" applyBorder="1" applyAlignment="1">
      <alignment horizontal="center" vertical="center"/>
    </xf>
    <xf numFmtId="172" fontId="13" fillId="6" borderId="1" xfId="0" applyNumberFormat="1" applyFont="1" applyFill="1" applyBorder="1" applyAlignment="1">
      <alignment horizontal="center" vertical="center"/>
    </xf>
    <xf numFmtId="0" fontId="34" fillId="6" borderId="1" xfId="0" applyFont="1" applyFill="1" applyBorder="1"/>
    <xf numFmtId="43" fontId="13" fillId="6" borderId="1" xfId="1" applyFont="1" applyFill="1" applyBorder="1" applyAlignment="1">
      <alignment horizontal="center" vertical="center"/>
    </xf>
    <xf numFmtId="43" fontId="13" fillId="6" borderId="1" xfId="16" applyFont="1" applyFill="1" applyBorder="1" applyAlignment="1">
      <alignment horizontal="center" vertical="center"/>
    </xf>
    <xf numFmtId="43" fontId="13" fillId="6" borderId="1" xfId="0" applyNumberFormat="1" applyFont="1" applyFill="1" applyBorder="1" applyAlignment="1">
      <alignment horizontal="center" vertical="center"/>
    </xf>
    <xf numFmtId="43" fontId="13" fillId="6" borderId="1" xfId="16" applyFont="1" applyFill="1" applyBorder="1" applyAlignment="1">
      <alignment horizontal="center" vertical="center" wrapText="1"/>
    </xf>
    <xf numFmtId="170" fontId="13" fillId="6" borderId="1" xfId="0" applyNumberFormat="1" applyFont="1" applyFill="1" applyBorder="1" applyAlignment="1">
      <alignment horizontal="center" vertical="center"/>
    </xf>
    <xf numFmtId="2" fontId="13" fillId="6" borderId="6" xfId="0" applyNumberFormat="1" applyFont="1" applyFill="1" applyBorder="1" applyAlignment="1">
      <alignment horizontal="center" vertical="center"/>
    </xf>
    <xf numFmtId="0" fontId="34" fillId="6" borderId="6" xfId="19" applyFont="1" applyFill="1" applyBorder="1" applyAlignment="1">
      <alignment horizontal="left" vertical="center"/>
    </xf>
    <xf numFmtId="1" fontId="13" fillId="6" borderId="6" xfId="0" applyNumberFormat="1" applyFont="1" applyFill="1" applyBorder="1" applyAlignment="1">
      <alignment horizontal="center" vertical="center"/>
    </xf>
    <xf numFmtId="164" fontId="13" fillId="6" borderId="1" xfId="2" applyNumberFormat="1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4" fillId="0" borderId="1" xfId="0" applyFont="1" applyBorder="1" applyAlignment="1">
      <alignment horizontal="center"/>
    </xf>
    <xf numFmtId="10" fontId="13" fillId="6" borderId="6" xfId="0" applyNumberFormat="1" applyFont="1" applyFill="1" applyBorder="1" applyAlignment="1">
      <alignment horizontal="center" vertical="center"/>
    </xf>
  </cellXfs>
  <cellStyles count="87">
    <cellStyle name="20% - Accent6 2" xfId="84" xr:uid="{F046BBD1-F29E-4514-B08F-0344D67014E5}"/>
    <cellStyle name="Accent6" xfId="77" builtinId="49"/>
    <cellStyle name="Bad" xfId="76" builtinId="27"/>
    <cellStyle name="Comma" xfId="1" builtinId="3"/>
    <cellStyle name="Comma 2" xfId="17" xr:uid="{00000000-0005-0000-0000-000001000000}"/>
    <cellStyle name="Comma 5" xfId="16" xr:uid="{00000000-0005-0000-0000-000002000000}"/>
    <cellStyle name="Comma 7" xfId="15" xr:uid="{00000000-0005-0000-0000-000003000000}"/>
    <cellStyle name="Currency 2" xfId="35" xr:uid="{00000000-0005-0000-0000-000005000000}"/>
    <cellStyle name="Currency 2 10" xfId="36" xr:uid="{00000000-0005-0000-0000-000006000000}"/>
    <cellStyle name="Currency 2 11" xfId="37" xr:uid="{00000000-0005-0000-0000-000007000000}"/>
    <cellStyle name="Currency 2 14" xfId="27" xr:uid="{00000000-0005-0000-0000-000008000000}"/>
    <cellStyle name="Currency 2 2" xfId="30" xr:uid="{00000000-0005-0000-0000-000009000000}"/>
    <cellStyle name="Currency 2 49" xfId="38" xr:uid="{00000000-0005-0000-0000-00000A000000}"/>
    <cellStyle name="Currency 2 50" xfId="26" xr:uid="{00000000-0005-0000-0000-00000B000000}"/>
    <cellStyle name="Currency 2 51" xfId="31" xr:uid="{00000000-0005-0000-0000-00000C000000}"/>
    <cellStyle name="Currency 2 53" xfId="24" xr:uid="{00000000-0005-0000-0000-00000D000000}"/>
    <cellStyle name="Currency 2 56" xfId="34" xr:uid="{00000000-0005-0000-0000-00000E000000}"/>
    <cellStyle name="Currency 2 57" xfId="39" xr:uid="{00000000-0005-0000-0000-00000F000000}"/>
    <cellStyle name="Currency 2 58" xfId="42" xr:uid="{00000000-0005-0000-0000-000010000000}"/>
    <cellStyle name="Input 2" xfId="81" xr:uid="{8F4E13D4-B6E0-4F3C-80B9-4D39862D5C6F}"/>
    <cellStyle name="Neutral 2" xfId="6" xr:uid="{00000000-0005-0000-0000-000011000000}"/>
    <cellStyle name="Neutral 2 2" xfId="85" xr:uid="{EFCEC577-72E0-4A05-B580-F23F82E2EBC8}"/>
    <cellStyle name="Normal" xfId="0" builtinId="0"/>
    <cellStyle name="Normal 14" xfId="45" xr:uid="{00000000-0005-0000-0000-000013000000}"/>
    <cellStyle name="Normal 2" xfId="5" xr:uid="{00000000-0005-0000-0000-000014000000}"/>
    <cellStyle name="Normal 2 10" xfId="32" xr:uid="{00000000-0005-0000-0000-000015000000}"/>
    <cellStyle name="Normal 2 11" xfId="25" xr:uid="{00000000-0005-0000-0000-000016000000}"/>
    <cellStyle name="Normal 2 13" xfId="46" xr:uid="{00000000-0005-0000-0000-000017000000}"/>
    <cellStyle name="Normal 2 14" xfId="33" xr:uid="{00000000-0005-0000-0000-000018000000}"/>
    <cellStyle name="Normal 2 15" xfId="40" xr:uid="{00000000-0005-0000-0000-000019000000}"/>
    <cellStyle name="Normal 2 16" xfId="43" xr:uid="{00000000-0005-0000-0000-00001A000000}"/>
    <cellStyle name="Normal 2 17" xfId="47" xr:uid="{00000000-0005-0000-0000-00001B000000}"/>
    <cellStyle name="Normal 2 19" xfId="50" xr:uid="{00000000-0005-0000-0000-00001C000000}"/>
    <cellStyle name="Normal 2 2" xfId="19" xr:uid="{00000000-0005-0000-0000-00001D000000}"/>
    <cellStyle name="Normal 2 2 2" xfId="52" xr:uid="{00000000-0005-0000-0000-00001E000000}"/>
    <cellStyle name="Normal 2 2 5 3" xfId="74" xr:uid="{00000000-0005-0000-0000-00001F000000}"/>
    <cellStyle name="Normal 2 20" xfId="41" xr:uid="{00000000-0005-0000-0000-000020000000}"/>
    <cellStyle name="Normal 2 21" xfId="44" xr:uid="{00000000-0005-0000-0000-000021000000}"/>
    <cellStyle name="Normal 2 22" xfId="48" xr:uid="{00000000-0005-0000-0000-000022000000}"/>
    <cellStyle name="Normal 2 23" xfId="53" xr:uid="{00000000-0005-0000-0000-000023000000}"/>
    <cellStyle name="Normal 2 24" xfId="51" xr:uid="{00000000-0005-0000-0000-000024000000}"/>
    <cellStyle name="Normal 2 25" xfId="54" xr:uid="{00000000-0005-0000-0000-000025000000}"/>
    <cellStyle name="Normal 2 27" xfId="56" xr:uid="{00000000-0005-0000-0000-000026000000}"/>
    <cellStyle name="Normal 2 28" xfId="58" xr:uid="{00000000-0005-0000-0000-000027000000}"/>
    <cellStyle name="Normal 2 29" xfId="60" xr:uid="{00000000-0005-0000-0000-000028000000}"/>
    <cellStyle name="Normal 2 3" xfId="82" xr:uid="{DBBA393F-342D-46EB-90FE-D5E40C1EB1C5}"/>
    <cellStyle name="Normal 2 30" xfId="55" xr:uid="{00000000-0005-0000-0000-000029000000}"/>
    <cellStyle name="Normal 2 31" xfId="62" xr:uid="{00000000-0005-0000-0000-00002A000000}"/>
    <cellStyle name="Normal 2 32" xfId="57" xr:uid="{00000000-0005-0000-0000-00002B000000}"/>
    <cellStyle name="Normal 2 33" xfId="59" xr:uid="{00000000-0005-0000-0000-00002C000000}"/>
    <cellStyle name="Normal 2 34" xfId="61" xr:uid="{00000000-0005-0000-0000-00002D000000}"/>
    <cellStyle name="Normal 2 35" xfId="63" xr:uid="{00000000-0005-0000-0000-00002E000000}"/>
    <cellStyle name="Normal 2 37" xfId="65" xr:uid="{00000000-0005-0000-0000-00002F000000}"/>
    <cellStyle name="Normal 2 38" xfId="67" xr:uid="{00000000-0005-0000-0000-000030000000}"/>
    <cellStyle name="Normal 2 39" xfId="29" xr:uid="{00000000-0005-0000-0000-000031000000}"/>
    <cellStyle name="Normal 2 40" xfId="64" xr:uid="{00000000-0005-0000-0000-000032000000}"/>
    <cellStyle name="Normal 2 41" xfId="69" xr:uid="{00000000-0005-0000-0000-000033000000}"/>
    <cellStyle name="Normal 2 42" xfId="66" xr:uid="{00000000-0005-0000-0000-000034000000}"/>
    <cellStyle name="Normal 2 43" xfId="68" xr:uid="{00000000-0005-0000-0000-000035000000}"/>
    <cellStyle name="Normal 2 44" xfId="28" xr:uid="{00000000-0005-0000-0000-000036000000}"/>
    <cellStyle name="Normal 2 45" xfId="70" xr:uid="{00000000-0005-0000-0000-000037000000}"/>
    <cellStyle name="Normal 2 46" xfId="23" xr:uid="{00000000-0005-0000-0000-000038000000}"/>
    <cellStyle name="Normal 2 6" xfId="71" xr:uid="{00000000-0005-0000-0000-000039000000}"/>
    <cellStyle name="Normal 3" xfId="3" xr:uid="{00000000-0005-0000-0000-00003A000000}"/>
    <cellStyle name="Normal 3 2" xfId="9" xr:uid="{00000000-0005-0000-0000-00003B000000}"/>
    <cellStyle name="Normal 3 2 2" xfId="22" xr:uid="{00000000-0005-0000-0000-00003C000000}"/>
    <cellStyle name="Normal 3 3" xfId="11" xr:uid="{00000000-0005-0000-0000-00003D000000}"/>
    <cellStyle name="Normal 3 4" xfId="12" xr:uid="{00000000-0005-0000-0000-00003E000000}"/>
    <cellStyle name="Normal 3 5" xfId="20" xr:uid="{00000000-0005-0000-0000-00003F000000}"/>
    <cellStyle name="Normal 3 6" xfId="83" xr:uid="{A3BA06BB-9FFA-44BA-A106-D8016E8411BF}"/>
    <cellStyle name="Normal 4" xfId="4" xr:uid="{00000000-0005-0000-0000-000040000000}"/>
    <cellStyle name="Normal 5" xfId="10" xr:uid="{00000000-0005-0000-0000-000041000000}"/>
    <cellStyle name="Normal 6" xfId="72" xr:uid="{00000000-0005-0000-0000-000042000000}"/>
    <cellStyle name="Normal 7" xfId="78" xr:uid="{C76F1D40-AAA3-48ED-9BAA-C276245BBF1E}"/>
    <cellStyle name="Normal 9" xfId="13" xr:uid="{00000000-0005-0000-0000-000043000000}"/>
    <cellStyle name="Normal 91" xfId="49" xr:uid="{00000000-0005-0000-0000-000044000000}"/>
    <cellStyle name="Note 2" xfId="7" xr:uid="{00000000-0005-0000-0000-000045000000}"/>
    <cellStyle name="Note 2 2" xfId="21" xr:uid="{00000000-0005-0000-0000-000046000000}"/>
    <cellStyle name="Note 2 3" xfId="86" xr:uid="{6771058A-1824-4E92-B94B-DB29541BC23F}"/>
    <cellStyle name="Note 3" xfId="8" xr:uid="{00000000-0005-0000-0000-000047000000}"/>
    <cellStyle name="Note 4" xfId="79" xr:uid="{C81875A1-BB72-4E7F-AD40-F4D6B45D45AA}"/>
    <cellStyle name="Percent" xfId="2" builtinId="5"/>
    <cellStyle name="Percent 2" xfId="18" xr:uid="{00000000-0005-0000-0000-000049000000}"/>
    <cellStyle name="Percent 2 2" xfId="75" xr:uid="{00000000-0005-0000-0000-00004A000000}"/>
    <cellStyle name="Percent 3" xfId="14" xr:uid="{00000000-0005-0000-0000-00004B000000}"/>
    <cellStyle name="Percent 5" xfId="73" xr:uid="{00000000-0005-0000-0000-00004C000000}"/>
    <cellStyle name="Title 2" xfId="80" xr:uid="{6D6A46D7-1964-4EEC-A6DA-F1040DBD153D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R34"/>
  <sheetViews>
    <sheetView tabSelected="1" zoomScaleNormal="100" workbookViewId="0">
      <pane xSplit="13" topLeftCell="AH1" activePane="topRight" state="frozen"/>
      <selection pane="topRight" activeCell="AN6" sqref="AN6"/>
    </sheetView>
  </sheetViews>
  <sheetFormatPr defaultColWidth="9.109375" defaultRowHeight="13.8"/>
  <cols>
    <col min="1" max="1" width="7.5546875" style="13" customWidth="1"/>
    <col min="2" max="2" width="13.88671875" style="13" bestFit="1" customWidth="1"/>
    <col min="3" max="3" width="9.33203125" style="13" customWidth="1"/>
    <col min="4" max="4" width="12.88671875" style="12" bestFit="1" customWidth="1"/>
    <col min="5" max="5" width="4.21875" style="13" customWidth="1"/>
    <col min="6" max="6" width="6.44140625" style="13" customWidth="1"/>
    <col min="7" max="7" width="20.21875" style="12" bestFit="1" customWidth="1"/>
    <col min="8" max="8" width="9.77734375" style="13" bestFit="1" customWidth="1"/>
    <col min="9" max="9" width="7.33203125" style="13" customWidth="1"/>
    <col min="10" max="10" width="11.88671875" style="13" hidden="1" customWidth="1"/>
    <col min="11" max="11" width="13.44140625" style="13" hidden="1" customWidth="1"/>
    <col min="12" max="12" width="24" style="13" hidden="1" customWidth="1"/>
    <col min="13" max="13" width="5.88671875" style="13" customWidth="1"/>
    <col min="14" max="14" width="9.77734375" style="13" customWidth="1"/>
    <col min="15" max="15" width="14.44140625" style="38" customWidth="1"/>
    <col min="16" max="16" width="14.109375" style="13" customWidth="1"/>
    <col min="17" max="18" width="12.5546875" style="13" customWidth="1"/>
    <col min="19" max="19" width="16.5546875" style="13" customWidth="1"/>
    <col min="20" max="20" width="14.109375" style="13" customWidth="1"/>
    <col min="21" max="21" width="11.5546875" style="13" customWidth="1"/>
    <col min="22" max="23" width="13.33203125" style="13" customWidth="1"/>
    <col min="24" max="24" width="13" style="13" customWidth="1"/>
    <col min="25" max="25" width="8.88671875" style="38" customWidth="1"/>
    <col min="26" max="26" width="12.5546875" style="17" customWidth="1"/>
    <col min="27" max="27" width="10.6640625" style="17" customWidth="1"/>
    <col min="28" max="28" width="14.109375" style="13" customWidth="1"/>
    <col min="29" max="29" width="15" style="13" customWidth="1"/>
    <col min="30" max="30" width="11.33203125" style="39" customWidth="1"/>
    <col min="31" max="31" width="16.5546875" style="13" customWidth="1"/>
    <col min="32" max="32" width="14" style="13" customWidth="1"/>
    <col min="33" max="33" width="17.44140625" style="12" customWidth="1"/>
    <col min="34" max="34" width="10.88671875" style="13" customWidth="1"/>
    <col min="35" max="36" width="10.44140625" style="13" customWidth="1"/>
    <col min="37" max="37" width="8.44140625" style="13" customWidth="1"/>
    <col min="38" max="38" width="7" style="13" customWidth="1"/>
    <col min="39" max="39" width="8.44140625" style="13" customWidth="1"/>
    <col min="40" max="40" width="7.33203125" style="13" customWidth="1"/>
    <col min="41" max="41" width="7.5546875" style="13" customWidth="1"/>
    <col min="42" max="42" width="7.77734375" style="13" customWidth="1"/>
    <col min="43" max="43" width="9.5546875" style="13" customWidth="1"/>
    <col min="44" max="44" width="9.44140625" style="13" customWidth="1"/>
    <col min="45" max="45" width="9.6640625" style="13" customWidth="1"/>
    <col min="46" max="46" width="15" style="13" customWidth="1"/>
    <col min="47" max="48" width="13.6640625" style="38" customWidth="1"/>
    <col min="49" max="49" width="12.33203125" style="38" customWidth="1"/>
    <col min="50" max="50" width="17.77734375" style="13" customWidth="1"/>
    <col min="51" max="51" width="13" style="38" customWidth="1"/>
    <col min="52" max="52" width="12.44140625" style="13" customWidth="1"/>
    <col min="53" max="53" width="14.6640625" style="38" customWidth="1"/>
    <col min="54" max="54" width="13.33203125" style="13" customWidth="1"/>
    <col min="55" max="55" width="13" style="13" customWidth="1"/>
    <col min="56" max="56" width="7.5546875" style="13" customWidth="1"/>
    <col min="57" max="57" width="13.88671875" style="13" customWidth="1"/>
    <col min="58" max="58" width="11.6640625" style="13" customWidth="1"/>
    <col min="59" max="59" width="17.88671875" style="13" customWidth="1"/>
    <col min="60" max="60" width="14" style="13" customWidth="1"/>
    <col min="61" max="61" width="8.88671875" style="13" customWidth="1"/>
    <col min="62" max="62" width="14" style="13" bestFit="1" customWidth="1"/>
    <col min="63" max="63" width="16.109375" style="13" customWidth="1"/>
    <col min="64" max="64" width="11.5546875" style="13" bestFit="1" customWidth="1"/>
    <col min="65" max="65" width="11.109375" style="13" customWidth="1"/>
    <col min="66" max="66" width="10.21875" style="13" customWidth="1"/>
    <col min="67" max="67" width="9.109375" style="13" customWidth="1"/>
    <col min="68" max="16384" width="9.109375" style="13"/>
  </cols>
  <sheetData>
    <row r="1" spans="1:70">
      <c r="J1" s="1"/>
      <c r="K1" s="1"/>
      <c r="L1" s="1"/>
      <c r="M1" s="1"/>
      <c r="N1" s="1" t="s">
        <v>109</v>
      </c>
      <c r="O1" s="21">
        <f>O2/80</f>
        <v>136599.58749999999</v>
      </c>
      <c r="P1" s="1"/>
      <c r="Q1" s="1"/>
      <c r="R1" s="1"/>
      <c r="S1" s="1"/>
      <c r="T1" s="1"/>
      <c r="U1" s="1"/>
      <c r="V1" s="1"/>
      <c r="W1" s="1"/>
      <c r="X1" s="1"/>
      <c r="Y1" s="21"/>
      <c r="Z1" s="17">
        <f>ROUND((IF(($O1&lt;=700000),0,IF(((VLOOKUP($M1,'Loyalty - Effec - 15July'!$B$5:$C$17,2,0)*$O1)&lt;=120000),(VLOOKUP($M1,'Loyalty - Effec - 15July'!$B$5:$C$17,2,0)*$O1),120000))),0)</f>
        <v>0</v>
      </c>
      <c r="AB1" s="33">
        <f>AB2-O2</f>
        <v>-1</v>
      </c>
      <c r="AC1" s="21"/>
      <c r="AD1" s="27"/>
      <c r="AE1" s="28"/>
      <c r="AF1" s="28"/>
      <c r="AR1" s="15"/>
      <c r="AS1" s="15"/>
      <c r="AT1" s="19">
        <f>AT2-T2</f>
        <v>1677792.3169999998</v>
      </c>
      <c r="AU1" s="22"/>
      <c r="AV1" s="22"/>
      <c r="AW1" s="22"/>
      <c r="AX1" s="19"/>
      <c r="AY1" s="22"/>
      <c r="AZ1" s="19"/>
      <c r="BA1" s="22"/>
      <c r="BB1" s="19"/>
      <c r="BC1" s="19"/>
      <c r="BF1" s="19"/>
      <c r="BG1" s="19" t="s">
        <v>14</v>
      </c>
      <c r="BH1" s="19" t="s">
        <v>15</v>
      </c>
      <c r="BI1" s="29" t="s">
        <v>16</v>
      </c>
    </row>
    <row r="2" spans="1:70">
      <c r="G2" s="34"/>
      <c r="J2" s="14"/>
      <c r="K2" s="14"/>
      <c r="L2" s="14"/>
      <c r="M2" s="14"/>
      <c r="N2" s="14" t="s">
        <v>17</v>
      </c>
      <c r="O2" s="22">
        <f t="shared" ref="O2:AB2" si="0">SUBTOTAL(9,O5:O14)</f>
        <v>10927967</v>
      </c>
      <c r="P2" s="22">
        <f t="shared" si="0"/>
        <v>5464000</v>
      </c>
      <c r="Q2" s="22">
        <f t="shared" si="0"/>
        <v>1366000</v>
      </c>
      <c r="R2" s="22">
        <f t="shared" si="0"/>
        <v>546400</v>
      </c>
      <c r="S2" s="22">
        <f t="shared" si="0"/>
        <v>2340975</v>
      </c>
      <c r="T2" s="22">
        <f t="shared" si="0"/>
        <v>9717375</v>
      </c>
      <c r="U2" s="22">
        <f t="shared" si="0"/>
        <v>216000</v>
      </c>
      <c r="V2" s="22">
        <f t="shared" si="0"/>
        <v>0</v>
      </c>
      <c r="W2" s="22">
        <f t="shared" si="0"/>
        <v>720</v>
      </c>
      <c r="X2" s="22">
        <f t="shared" si="0"/>
        <v>0</v>
      </c>
      <c r="Y2" s="22">
        <f t="shared" si="0"/>
        <v>0</v>
      </c>
      <c r="Z2" s="78">
        <f t="shared" si="0"/>
        <v>387274</v>
      </c>
      <c r="AA2" s="78">
        <f t="shared" si="0"/>
        <v>606597</v>
      </c>
      <c r="AB2" s="22">
        <f t="shared" si="0"/>
        <v>10927966</v>
      </c>
      <c r="AC2" s="19"/>
      <c r="AD2" s="22">
        <f>SUBTOTAL(9,AD5:AD14)</f>
        <v>0.99999999994179234</v>
      </c>
      <c r="AE2" s="33"/>
      <c r="AR2" s="20"/>
      <c r="AS2" s="1"/>
      <c r="AT2" s="22">
        <f t="shared" ref="AT2:BB2" si="1">SUBTOTAL(9,AT5:AT14)</f>
        <v>11395167.317</v>
      </c>
      <c r="AU2" s="22">
        <f t="shared" si="1"/>
        <v>5697584</v>
      </c>
      <c r="AV2" s="22">
        <f t="shared" si="1"/>
        <v>1424398</v>
      </c>
      <c r="AW2" s="22">
        <f t="shared" si="1"/>
        <v>569758</v>
      </c>
      <c r="AX2" s="22">
        <f t="shared" si="1"/>
        <v>2340994</v>
      </c>
      <c r="AY2" s="22">
        <f t="shared" si="1"/>
        <v>10032734</v>
      </c>
      <c r="AZ2" s="22">
        <f t="shared" si="1"/>
        <v>216000</v>
      </c>
      <c r="BA2" s="21">
        <f t="shared" si="1"/>
        <v>0</v>
      </c>
      <c r="BB2" s="22">
        <f t="shared" si="1"/>
        <v>720</v>
      </c>
      <c r="BC2" s="1"/>
      <c r="BE2" s="83">
        <f>BG2-AT2</f>
        <v>-88991.316999999806</v>
      </c>
      <c r="BF2" s="82"/>
      <c r="BG2" s="84">
        <f>SUBTOTAL(9,BG5:BG14)</f>
        <v>11306176</v>
      </c>
      <c r="BH2" s="84">
        <f>BG2-AB2</f>
        <v>378210</v>
      </c>
      <c r="BI2" s="88">
        <f>(BG2/AB2)-1</f>
        <v>3.4609368294154619E-2</v>
      </c>
      <c r="BJ2" s="35">
        <f>BH2/12</f>
        <v>31517.5</v>
      </c>
    </row>
    <row r="3" spans="1:70">
      <c r="J3" s="1"/>
      <c r="K3" s="1"/>
      <c r="L3" s="1"/>
      <c r="M3" s="1"/>
      <c r="N3" s="1"/>
      <c r="O3" s="21"/>
      <c r="P3" s="18">
        <v>0.5</v>
      </c>
      <c r="Q3" s="18">
        <v>0.25</v>
      </c>
      <c r="R3" s="18">
        <v>0.1</v>
      </c>
      <c r="S3" s="18">
        <v>0.2</v>
      </c>
      <c r="T3" s="1"/>
      <c r="U3" s="1"/>
      <c r="V3" s="1"/>
      <c r="W3" s="1"/>
      <c r="X3" s="1"/>
      <c r="Y3" s="21"/>
      <c r="AC3" s="30"/>
      <c r="AD3" s="31"/>
      <c r="AR3" s="20"/>
      <c r="AU3" s="36">
        <v>0.5</v>
      </c>
      <c r="AV3" s="36">
        <v>0.25</v>
      </c>
      <c r="AW3" s="36">
        <v>0.1</v>
      </c>
      <c r="AX3" s="37"/>
      <c r="BF3" s="13" t="s">
        <v>18</v>
      </c>
      <c r="BG3" s="35">
        <f>BG2/80</f>
        <v>141327.20000000001</v>
      </c>
      <c r="BH3" s="35">
        <f>BH2/80</f>
        <v>4727.625</v>
      </c>
      <c r="BI3" s="35"/>
    </row>
    <row r="4" spans="1:70" s="54" customFormat="1" ht="38.25" customHeight="1">
      <c r="A4" s="86" t="s">
        <v>19</v>
      </c>
      <c r="B4" s="86" t="s">
        <v>20</v>
      </c>
      <c r="C4" s="86" t="s">
        <v>21</v>
      </c>
      <c r="D4" s="87" t="s">
        <v>22</v>
      </c>
      <c r="E4" s="86" t="s">
        <v>23</v>
      </c>
      <c r="F4" s="86" t="s">
        <v>24</v>
      </c>
      <c r="G4" s="87" t="s">
        <v>25</v>
      </c>
      <c r="H4" s="86" t="s">
        <v>26</v>
      </c>
      <c r="I4" s="86" t="s">
        <v>27</v>
      </c>
      <c r="J4" s="86" t="s">
        <v>28</v>
      </c>
      <c r="K4" s="86" t="s">
        <v>29</v>
      </c>
      <c r="L4" s="86" t="s">
        <v>30</v>
      </c>
      <c r="M4" s="86" t="s">
        <v>31</v>
      </c>
      <c r="N4" s="86" t="s">
        <v>32</v>
      </c>
      <c r="O4" s="42" t="s">
        <v>33</v>
      </c>
      <c r="P4" s="43" t="s">
        <v>34</v>
      </c>
      <c r="Q4" s="44" t="s">
        <v>35</v>
      </c>
      <c r="R4" s="44" t="s">
        <v>36</v>
      </c>
      <c r="S4" s="58" t="s">
        <v>37</v>
      </c>
      <c r="T4" s="44" t="s">
        <v>38</v>
      </c>
      <c r="U4" s="44" t="s">
        <v>39</v>
      </c>
      <c r="V4" s="44" t="s">
        <v>40</v>
      </c>
      <c r="W4" s="44" t="s">
        <v>41</v>
      </c>
      <c r="X4" s="44" t="s">
        <v>42</v>
      </c>
      <c r="Y4" s="45" t="s">
        <v>43</v>
      </c>
      <c r="Z4" s="81" t="s">
        <v>44</v>
      </c>
      <c r="AA4" s="79" t="s">
        <v>45</v>
      </c>
      <c r="AB4" s="45" t="s">
        <v>46</v>
      </c>
      <c r="AC4" s="44" t="s">
        <v>47</v>
      </c>
      <c r="AD4" s="46" t="s">
        <v>48</v>
      </c>
      <c r="AE4" s="45" t="s">
        <v>49</v>
      </c>
      <c r="AF4" s="45" t="s">
        <v>50</v>
      </c>
      <c r="AG4" s="41" t="s">
        <v>51</v>
      </c>
      <c r="AH4" s="40" t="s">
        <v>52</v>
      </c>
      <c r="AI4" s="40" t="s">
        <v>53</v>
      </c>
      <c r="AJ4" s="40" t="s">
        <v>51</v>
      </c>
      <c r="AK4" s="40" t="s">
        <v>54</v>
      </c>
      <c r="AL4" s="40" t="s">
        <v>55</v>
      </c>
      <c r="AM4" s="47" t="s">
        <v>56</v>
      </c>
      <c r="AN4" s="47" t="s">
        <v>57</v>
      </c>
      <c r="AO4" s="47" t="s">
        <v>58</v>
      </c>
      <c r="AP4" s="47" t="s">
        <v>59</v>
      </c>
      <c r="AQ4" s="47" t="s">
        <v>60</v>
      </c>
      <c r="AR4" s="48" t="s">
        <v>61</v>
      </c>
      <c r="AS4" s="47" t="s">
        <v>62</v>
      </c>
      <c r="AT4" s="49" t="s">
        <v>63</v>
      </c>
      <c r="AU4" s="50" t="s">
        <v>34</v>
      </c>
      <c r="AV4" s="50" t="s">
        <v>35</v>
      </c>
      <c r="AW4" s="50" t="s">
        <v>36</v>
      </c>
      <c r="AX4" s="49" t="s">
        <v>37</v>
      </c>
      <c r="AY4" s="50" t="s">
        <v>64</v>
      </c>
      <c r="AZ4" s="51" t="s">
        <v>65</v>
      </c>
      <c r="BA4" s="50" t="s">
        <v>40</v>
      </c>
      <c r="BB4" s="51" t="s">
        <v>41</v>
      </c>
      <c r="BC4" s="51" t="s">
        <v>42</v>
      </c>
      <c r="BD4" s="51" t="s">
        <v>43</v>
      </c>
      <c r="BE4" s="51" t="s">
        <v>44</v>
      </c>
      <c r="BF4" s="51" t="s">
        <v>66</v>
      </c>
      <c r="BG4" s="51" t="s">
        <v>67</v>
      </c>
      <c r="BH4" s="50" t="s">
        <v>47</v>
      </c>
      <c r="BI4" s="49" t="s">
        <v>68</v>
      </c>
      <c r="BJ4" s="51" t="s">
        <v>69</v>
      </c>
      <c r="BK4" s="52" t="s">
        <v>70</v>
      </c>
      <c r="BL4" s="53" t="s">
        <v>71</v>
      </c>
      <c r="BM4" s="53" t="s">
        <v>72</v>
      </c>
      <c r="BN4" s="50" t="s">
        <v>73</v>
      </c>
      <c r="BO4" s="85" t="s">
        <v>107</v>
      </c>
      <c r="BP4" s="85" t="s">
        <v>108</v>
      </c>
      <c r="BQ4" s="85" t="s">
        <v>110</v>
      </c>
    </row>
    <row r="5" spans="1:70" s="16" customFormat="1" ht="12">
      <c r="A5" s="90"/>
      <c r="B5" s="91"/>
      <c r="C5" s="91" t="s">
        <v>74</v>
      </c>
      <c r="D5" s="91" t="s">
        <v>78</v>
      </c>
      <c r="E5" s="16" t="s">
        <v>76</v>
      </c>
      <c r="G5" s="90"/>
      <c r="H5" s="92"/>
      <c r="I5" s="93">
        <v>4</v>
      </c>
      <c r="M5" s="94" t="s">
        <v>88</v>
      </c>
      <c r="N5" s="16" t="str">
        <f t="shared" ref="N5:N14" si="2">M5</f>
        <v>AC3</v>
      </c>
      <c r="O5" s="55">
        <v>659753</v>
      </c>
      <c r="P5" s="55">
        <f t="shared" ref="P5:P7" si="3">CEILING(ROUND(($O5*50%),2),10)</f>
        <v>329880</v>
      </c>
      <c r="Q5" s="55">
        <f t="shared" ref="Q5:Q8" si="4">ROUND((P5*25%),2)</f>
        <v>82470</v>
      </c>
      <c r="R5" s="55">
        <f t="shared" ref="R5:R8" si="5">ROUND((P5*10%),2)</f>
        <v>32988</v>
      </c>
      <c r="S5" s="55">
        <v>172950</v>
      </c>
      <c r="T5" s="55">
        <f t="shared" ref="T5:T8" si="6">SUM(P5:S5)</f>
        <v>618288</v>
      </c>
      <c r="U5" s="55">
        <f t="shared" ref="U5:U8" si="7">ROUND(IF(($T5-$Q5)&lt;=180000,($T5-$Q5)*12%,(180000*12%)),2)</f>
        <v>21600</v>
      </c>
      <c r="V5" s="55">
        <f t="shared" ref="V5:V8" si="8">ROUND(IF(($T5&lt;=252000),($T5*3.25%),0),2)</f>
        <v>0</v>
      </c>
      <c r="W5" s="16">
        <v>72</v>
      </c>
      <c r="X5" s="16">
        <v>0</v>
      </c>
      <c r="Y5" s="16">
        <v>0</v>
      </c>
      <c r="Z5" s="16">
        <v>0</v>
      </c>
      <c r="AA5" s="95">
        <v>19793</v>
      </c>
      <c r="AB5" s="96">
        <f t="shared" ref="AB5:AB7" si="9">SUM(T5:AA5)</f>
        <v>659753</v>
      </c>
      <c r="AC5" s="97">
        <f t="shared" ref="AC5:AC8" si="10">ROUND(IF(($T5&lt;=252000),($T5*0.75%),0),2)</f>
        <v>0</v>
      </c>
      <c r="AD5" s="98">
        <f t="shared" ref="AD5:AD8" si="11">O5-AB5</f>
        <v>0</v>
      </c>
      <c r="AE5" s="99">
        <f t="shared" ref="AE5:AE8" si="12">(T5+Z5)-(U5+AC5)</f>
        <v>596688</v>
      </c>
      <c r="AF5" s="99">
        <f t="shared" ref="AF5:AF8" si="13">AE5/12</f>
        <v>49724</v>
      </c>
      <c r="AG5" s="100"/>
      <c r="AH5" s="101"/>
      <c r="AI5" s="102" t="s">
        <v>77</v>
      </c>
      <c r="AJ5" s="102" t="s">
        <v>77</v>
      </c>
      <c r="AK5" s="102" t="s">
        <v>77</v>
      </c>
      <c r="AL5" s="102">
        <v>2</v>
      </c>
      <c r="AM5" s="103">
        <f>IF(OR($AL5="",$AL5=0),0,IF($AL5=4,VLOOKUP($AR5,'Loyalty Incentive v1'!$L$3:$Q$21,2,FALSE),
IF($AL5=3,VLOOKUP($AR5,'Loyalty Incentive v1'!$L$3:$Q$21,3,FALSE),
IF($AL5=2,VLOOKUP($AR5,'Loyalty Incentive v1'!$L$3:$Q$21,4,FALSE),
IF($AL5=1,VLOOKUP($AR5,'Loyalty Incentive v1'!$L$3:$Q$21,5,FALSE),
IF($AL5=0,VLOOKUP($AR5,'Loyalty Incentive v1'!$L$3:$Q$21,6,FALSE),0))))))</f>
        <v>0.13100000000000001</v>
      </c>
      <c r="AN5" s="103">
        <f>IFERROR(IF(I5&gt;=1,AM5,VLOOKUP(VALUE(I5),'Loyalty - Effec - 15July'!$I$5:$J$16,2,0)*AM5),0)</f>
        <v>0.13100000000000001</v>
      </c>
      <c r="AO5" s="103">
        <v>0</v>
      </c>
      <c r="AP5" s="103">
        <f t="shared" ref="AP5:AP14" si="14">AN5+AO5</f>
        <v>0.13100000000000001</v>
      </c>
      <c r="AQ5" s="16" t="str">
        <f t="shared" ref="AQ5:AQ8" si="15">IF((N5=AR5),"No","Yes")</f>
        <v>No</v>
      </c>
      <c r="AR5" s="16" t="str">
        <f t="shared" ref="AR5:AR8" si="16">N5</f>
        <v>AC3</v>
      </c>
      <c r="AS5" s="16" t="b">
        <f t="shared" ref="AS5:AS8" si="17">AR5=M5</f>
        <v>1</v>
      </c>
      <c r="AT5" s="55">
        <f t="shared" ref="AT5:AT14" si="18">O5+(O5*AP5)</f>
        <v>746180.64300000004</v>
      </c>
      <c r="AU5" s="55">
        <f t="shared" ref="AU5:AU8" si="19">ROUND(AT5*$AU$3,0)</f>
        <v>373090</v>
      </c>
      <c r="AV5" s="55">
        <f t="shared" ref="AV5:AV8" si="20">ROUND(AU5*$AV$3,0)</f>
        <v>93273</v>
      </c>
      <c r="AW5" s="55">
        <f t="shared" ref="AW5:AW8" si="21">ROUND(AU5*$AW$3,0)</f>
        <v>37309</v>
      </c>
      <c r="AX5" s="55">
        <v>172954</v>
      </c>
      <c r="AY5" s="55">
        <f t="shared" ref="AY5:AY8" si="22">SUM(AU5:AX5)</f>
        <v>676626</v>
      </c>
      <c r="AZ5" s="55">
        <f t="shared" ref="AZ5:AZ8" si="23">ROUND(IF((AY5-AV5)&gt;180000,21600,(AY5-AV5)*12%),0)</f>
        <v>21600</v>
      </c>
      <c r="BA5" s="55">
        <f t="shared" ref="BA5:BA8" si="24">ROUND(IF(AY5&lt;252001,AY5*0.0325,0),0)</f>
        <v>0</v>
      </c>
      <c r="BB5" s="16">
        <v>72</v>
      </c>
      <c r="BC5" s="16">
        <v>0</v>
      </c>
      <c r="BD5" s="16">
        <v>0</v>
      </c>
      <c r="BE5" s="95">
        <f>ROUND((IF(($AT5&lt;=700000),0,IF(((VLOOKUP($AR5,'Loyalty - Effec - 15July'!$B$5:$C$24,2,0)*$AT5)&lt;=120000),(VLOOKUP($AR5,'Loyalty - Effec - 15July'!$B$5:$C$24,2,0)*$AT5),120000))),0)</f>
        <v>22385</v>
      </c>
      <c r="BF5" s="95">
        <f>ROUND(VLOOKUP($AR5,'Loyalty - Effec - 15July'!$B$5:$D$24,3,0)*$AT5,0)</f>
        <v>22385</v>
      </c>
      <c r="BG5" s="96">
        <f t="shared" ref="BG5:BG8" si="25">SUM(AY5:BF5)</f>
        <v>743068</v>
      </c>
      <c r="BH5" s="55">
        <f t="shared" ref="BH5:BH8" si="26">ROUND(IF(AY5&lt;252001,AY5*0.0075,0),0)</f>
        <v>0</v>
      </c>
      <c r="BI5" s="96">
        <f t="shared" ref="BI5:BI8" si="27">AT5-BG5</f>
        <v>3112.64300000004</v>
      </c>
      <c r="BJ5" s="96">
        <f t="shared" ref="BJ5:BJ8" si="28">(AY5+BE5)-(AZ5+BH5)</f>
        <v>677411</v>
      </c>
      <c r="BK5" s="96">
        <f t="shared" ref="BK5:BK8" si="29">BJ5/12</f>
        <v>56450.916666666664</v>
      </c>
      <c r="BL5" s="96">
        <f t="shared" ref="BL5:BL8" si="30">BG5-AB5</f>
        <v>83315</v>
      </c>
      <c r="BM5" s="96">
        <f t="shared" ref="BM5:BM8" si="31">BK5-AF5</f>
        <v>6726.9166666666642</v>
      </c>
      <c r="BN5" s="96">
        <f t="shared" ref="BN5:BN8" si="32">BK5-AF5</f>
        <v>6726.9166666666642</v>
      </c>
      <c r="BR5" s="96"/>
    </row>
    <row r="6" spans="1:70" s="16" customFormat="1" ht="12">
      <c r="A6" s="90"/>
      <c r="B6" s="91"/>
      <c r="C6" s="91" t="s">
        <v>74</v>
      </c>
      <c r="D6" s="91" t="s">
        <v>78</v>
      </c>
      <c r="E6" s="16" t="s">
        <v>76</v>
      </c>
      <c r="G6" s="90"/>
      <c r="H6" s="92"/>
      <c r="I6" s="93">
        <v>2.5</v>
      </c>
      <c r="M6" s="94" t="s">
        <v>88</v>
      </c>
      <c r="N6" s="16" t="str">
        <f t="shared" si="2"/>
        <v>AC3</v>
      </c>
      <c r="O6" s="55">
        <v>638024</v>
      </c>
      <c r="P6" s="55">
        <f t="shared" si="3"/>
        <v>319020</v>
      </c>
      <c r="Q6" s="55">
        <f t="shared" si="4"/>
        <v>79755</v>
      </c>
      <c r="R6" s="55">
        <f t="shared" si="5"/>
        <v>31902</v>
      </c>
      <c r="S6" s="55">
        <v>166534</v>
      </c>
      <c r="T6" s="55">
        <f t="shared" si="6"/>
        <v>597211</v>
      </c>
      <c r="U6" s="55">
        <f t="shared" si="7"/>
        <v>21600</v>
      </c>
      <c r="V6" s="55">
        <f t="shared" si="8"/>
        <v>0</v>
      </c>
      <c r="W6" s="16">
        <v>72</v>
      </c>
      <c r="X6" s="16">
        <v>0</v>
      </c>
      <c r="Y6" s="16">
        <v>0</v>
      </c>
      <c r="Z6" s="16">
        <v>0</v>
      </c>
      <c r="AA6" s="95">
        <v>19141</v>
      </c>
      <c r="AB6" s="96">
        <f t="shared" si="9"/>
        <v>638024</v>
      </c>
      <c r="AC6" s="97">
        <f t="shared" si="10"/>
        <v>0</v>
      </c>
      <c r="AD6" s="98">
        <f t="shared" si="11"/>
        <v>0</v>
      </c>
      <c r="AE6" s="104">
        <f t="shared" si="12"/>
        <v>575611</v>
      </c>
      <c r="AF6" s="104">
        <f t="shared" si="13"/>
        <v>47967.583333333336</v>
      </c>
      <c r="AG6" s="105"/>
      <c r="AH6" s="106"/>
      <c r="AI6" s="102" t="s">
        <v>77</v>
      </c>
      <c r="AJ6" s="102" t="s">
        <v>77</v>
      </c>
      <c r="AK6" s="102" t="s">
        <v>77</v>
      </c>
      <c r="AL6" s="102">
        <v>2</v>
      </c>
      <c r="AM6" s="103">
        <f>IF(OR($AL6="",$AL6=0),0,IF($AL6=4,VLOOKUP($AR6,'Loyalty Incentive v1'!$L$3:$Q$21,2,FALSE),
IF($AL6=3,VLOOKUP($AR6,'Loyalty Incentive v1'!$L$3:$Q$21,3,FALSE),
IF($AL6=2,VLOOKUP($AR6,'Loyalty Incentive v1'!$L$3:$Q$21,4,FALSE),
IF($AL6=1,VLOOKUP($AR6,'Loyalty Incentive v1'!$L$3:$Q$21,5,FALSE),
IF($AL6=0,VLOOKUP($AR6,'Loyalty Incentive v1'!$L$3:$Q$21,6,FALSE),0))))))</f>
        <v>0.13100000000000001</v>
      </c>
      <c r="AN6" s="103">
        <f>IFERROR(IF(I6&gt;=1,AM6,VLOOKUP(VALUE(I6),'Loyalty - Effec - 15July'!$I$5:$J$16,2,0)*AM6),0)</f>
        <v>0.13100000000000001</v>
      </c>
      <c r="AO6" s="103">
        <v>0</v>
      </c>
      <c r="AP6" s="103">
        <f t="shared" si="14"/>
        <v>0.13100000000000001</v>
      </c>
      <c r="AQ6" s="16" t="str">
        <f t="shared" si="15"/>
        <v>No</v>
      </c>
      <c r="AR6" s="16" t="str">
        <f t="shared" si="16"/>
        <v>AC3</v>
      </c>
      <c r="AS6" s="16" t="b">
        <f t="shared" si="17"/>
        <v>1</v>
      </c>
      <c r="AT6" s="55">
        <f t="shared" si="18"/>
        <v>721605.14399999997</v>
      </c>
      <c r="AU6" s="55">
        <f t="shared" si="19"/>
        <v>360803</v>
      </c>
      <c r="AV6" s="55">
        <f t="shared" si="20"/>
        <v>90201</v>
      </c>
      <c r="AW6" s="55">
        <f t="shared" si="21"/>
        <v>36080</v>
      </c>
      <c r="AX6" s="55">
        <v>166545</v>
      </c>
      <c r="AY6" s="55">
        <f t="shared" si="22"/>
        <v>653629</v>
      </c>
      <c r="AZ6" s="55">
        <f t="shared" si="23"/>
        <v>21600</v>
      </c>
      <c r="BA6" s="55">
        <f t="shared" si="24"/>
        <v>0</v>
      </c>
      <c r="BB6" s="16">
        <v>72</v>
      </c>
      <c r="BC6" s="16">
        <v>0</v>
      </c>
      <c r="BD6" s="16">
        <v>0</v>
      </c>
      <c r="BE6" s="95">
        <f>ROUND((IF(($AT6&lt;=700000),0,IF(((VLOOKUP($AR6,'Loyalty - Effec - 15July'!$B$5:$C$24,2,0)*$AT6)&lt;=120000),(VLOOKUP($AR6,'Loyalty - Effec - 15July'!$B$5:$C$24,2,0)*$AT6),120000))),0)</f>
        <v>21648</v>
      </c>
      <c r="BF6" s="95">
        <f>ROUND(VLOOKUP($AR6,'Loyalty - Effec - 15July'!$B$5:$D$24,3,0)*$AT6,0)</f>
        <v>21648</v>
      </c>
      <c r="BG6" s="96">
        <f t="shared" si="25"/>
        <v>718597</v>
      </c>
      <c r="BH6" s="55">
        <f t="shared" si="26"/>
        <v>0</v>
      </c>
      <c r="BI6" s="96">
        <f>AT6-BG6</f>
        <v>3008.1439999999711</v>
      </c>
      <c r="BJ6" s="96">
        <f t="shared" si="28"/>
        <v>653677</v>
      </c>
      <c r="BK6" s="96">
        <f t="shared" si="29"/>
        <v>54473.083333333336</v>
      </c>
      <c r="BL6" s="96">
        <f t="shared" si="30"/>
        <v>80573</v>
      </c>
      <c r="BM6" s="96">
        <f t="shared" si="31"/>
        <v>6505.5</v>
      </c>
      <c r="BN6" s="96">
        <f t="shared" si="32"/>
        <v>6505.5</v>
      </c>
      <c r="BO6" s="107"/>
      <c r="BP6" s="107"/>
      <c r="BQ6" s="107"/>
      <c r="BR6" s="96"/>
    </row>
    <row r="7" spans="1:70" s="16" customFormat="1" ht="12">
      <c r="A7" s="90"/>
      <c r="B7" s="91"/>
      <c r="C7" s="91" t="s">
        <v>74</v>
      </c>
      <c r="D7" s="91" t="s">
        <v>78</v>
      </c>
      <c r="E7" s="16" t="s">
        <v>76</v>
      </c>
      <c r="G7" s="90"/>
      <c r="H7" s="92"/>
      <c r="I7" s="93">
        <v>2.1</v>
      </c>
      <c r="M7" s="94" t="s">
        <v>105</v>
      </c>
      <c r="N7" s="16" t="str">
        <f t="shared" si="2"/>
        <v>SAC8</v>
      </c>
      <c r="O7" s="55">
        <v>2549075</v>
      </c>
      <c r="P7" s="55">
        <f t="shared" si="3"/>
        <v>1274540</v>
      </c>
      <c r="Q7" s="55">
        <f t="shared" si="4"/>
        <v>318635</v>
      </c>
      <c r="R7" s="55">
        <f t="shared" si="5"/>
        <v>127454</v>
      </c>
      <c r="S7" s="55">
        <v>508339</v>
      </c>
      <c r="T7" s="55">
        <f t="shared" si="6"/>
        <v>2228968</v>
      </c>
      <c r="U7" s="55">
        <f t="shared" si="7"/>
        <v>21600</v>
      </c>
      <c r="V7" s="55">
        <f t="shared" si="8"/>
        <v>0</v>
      </c>
      <c r="W7" s="16">
        <v>72</v>
      </c>
      <c r="X7" s="16">
        <v>0</v>
      </c>
      <c r="Y7" s="16">
        <v>0</v>
      </c>
      <c r="Z7" s="96">
        <v>120000</v>
      </c>
      <c r="AA7" s="95">
        <v>178435</v>
      </c>
      <c r="AB7" s="96">
        <f t="shared" si="9"/>
        <v>2549075</v>
      </c>
      <c r="AC7" s="97">
        <f t="shared" si="10"/>
        <v>0</v>
      </c>
      <c r="AD7" s="98">
        <f t="shared" si="11"/>
        <v>0</v>
      </c>
      <c r="AE7" s="104">
        <f t="shared" si="12"/>
        <v>2327368</v>
      </c>
      <c r="AF7" s="104">
        <f t="shared" si="13"/>
        <v>193947.33333333334</v>
      </c>
      <c r="AG7" s="108"/>
      <c r="AH7" s="109"/>
      <c r="AI7" s="110" t="s">
        <v>77</v>
      </c>
      <c r="AJ7" s="110" t="s">
        <v>77</v>
      </c>
      <c r="AK7" s="110" t="s">
        <v>77</v>
      </c>
      <c r="AL7" s="16">
        <v>3</v>
      </c>
      <c r="AM7" s="103">
        <f>IF(OR($AL7="",$AL7=0),0,IF($AL7=4,VLOOKUP($AR7,'Loyalty Incentive v1'!$L$3:$Q$21,2,FALSE),
IF($AL7=3,VLOOKUP($AR7,'Loyalty Incentive v1'!$L$3:$Q$21,3,FALSE),
IF($AL7=2,VLOOKUP($AR7,'Loyalty Incentive v1'!$L$3:$Q$21,4,FALSE),
IF($AL7=1,VLOOKUP($AR7,'Loyalty Incentive v1'!$L$3:$Q$21,5,FALSE),
IF($AL7=0,VLOOKUP($AR7,'Loyalty Incentive v1'!$L$3:$Q$21,6,FALSE),0))))))</f>
        <v>6.0999999999999999E-2</v>
      </c>
      <c r="AN7" s="103">
        <f>IFERROR(IF(I7&gt;=1,AM7,VLOOKUP(VALUE(I7),'Loyalty - Effec - 15July'!$I$5:$J$16,2,0)*AM7),0)</f>
        <v>6.0999999999999999E-2</v>
      </c>
      <c r="AO7" s="103">
        <v>0</v>
      </c>
      <c r="AP7" s="103">
        <f t="shared" si="14"/>
        <v>6.0999999999999999E-2</v>
      </c>
      <c r="AQ7" s="16" t="s">
        <v>111</v>
      </c>
      <c r="AR7" s="133" t="s">
        <v>105</v>
      </c>
      <c r="AS7" s="16" t="b">
        <f t="shared" si="17"/>
        <v>1</v>
      </c>
      <c r="AT7" s="55">
        <f t="shared" si="18"/>
        <v>2704568.5750000002</v>
      </c>
      <c r="AU7" s="55">
        <f t="shared" si="19"/>
        <v>1352284</v>
      </c>
      <c r="AV7" s="55">
        <f t="shared" si="20"/>
        <v>338071</v>
      </c>
      <c r="AW7" s="55">
        <f t="shared" si="21"/>
        <v>135228</v>
      </c>
      <c r="AX7" s="55">
        <v>508341</v>
      </c>
      <c r="AY7" s="55">
        <f t="shared" si="22"/>
        <v>2333924</v>
      </c>
      <c r="AZ7" s="55">
        <f t="shared" si="23"/>
        <v>21600</v>
      </c>
      <c r="BA7" s="55">
        <f t="shared" si="24"/>
        <v>0</v>
      </c>
      <c r="BB7" s="16">
        <v>72</v>
      </c>
      <c r="BC7" s="16">
        <v>0</v>
      </c>
      <c r="BD7" s="16">
        <v>0</v>
      </c>
      <c r="BE7" s="95">
        <f>ROUND((IF(($AT7&lt;=700000),0,IF(((VLOOKUP($AR7,'Loyalty - Effec - 15July'!$B$5:$C$24,2,0)*$AT7)&lt;=120000),(VLOOKUP($AR7,'Loyalty - Effec - 15July'!$B$5:$C$24,2,0)*$AT7),120000))),0)</f>
        <v>120000</v>
      </c>
      <c r="BF7" s="95">
        <f>ROUND(VLOOKUP($AR7,'Loyalty - Effec - 15July'!$B$5:$D$24,3,0)*$AT7,0)</f>
        <v>189320</v>
      </c>
      <c r="BG7" s="96">
        <f t="shared" si="25"/>
        <v>2664916</v>
      </c>
      <c r="BH7" s="55">
        <f t="shared" si="26"/>
        <v>0</v>
      </c>
      <c r="BI7" s="96">
        <f t="shared" si="27"/>
        <v>39652.575000000186</v>
      </c>
      <c r="BJ7" s="96">
        <f t="shared" si="28"/>
        <v>2432324</v>
      </c>
      <c r="BK7" s="96">
        <f t="shared" si="29"/>
        <v>202693.66666666666</v>
      </c>
      <c r="BL7" s="96">
        <f t="shared" si="30"/>
        <v>115841</v>
      </c>
      <c r="BM7" s="96">
        <f t="shared" si="31"/>
        <v>8746.3333333333139</v>
      </c>
      <c r="BN7" s="96">
        <f t="shared" si="32"/>
        <v>8746.3333333333139</v>
      </c>
      <c r="BP7" s="111"/>
      <c r="BR7" s="112"/>
    </row>
    <row r="8" spans="1:70" s="16" customFormat="1" ht="12">
      <c r="A8" s="90"/>
      <c r="B8" s="91"/>
      <c r="C8" s="91" t="s">
        <v>74</v>
      </c>
      <c r="D8" s="91" t="s">
        <v>78</v>
      </c>
      <c r="E8" s="16" t="s">
        <v>76</v>
      </c>
      <c r="G8" s="90"/>
      <c r="H8" s="92"/>
      <c r="I8" s="93">
        <v>2</v>
      </c>
      <c r="M8" s="94" t="s">
        <v>99</v>
      </c>
      <c r="N8" s="16" t="str">
        <f t="shared" si="2"/>
        <v>SAC2</v>
      </c>
      <c r="O8" s="55">
        <v>443520</v>
      </c>
      <c r="P8" s="55">
        <f t="shared" ref="P8:P14" si="33">CEILING(ROUND(($O8*50%),2),10)</f>
        <v>221760</v>
      </c>
      <c r="Q8" s="55">
        <f t="shared" si="4"/>
        <v>55440</v>
      </c>
      <c r="R8" s="55">
        <f t="shared" si="5"/>
        <v>22176</v>
      </c>
      <c r="S8" s="89">
        <v>113602</v>
      </c>
      <c r="T8" s="55">
        <f t="shared" si="6"/>
        <v>412978</v>
      </c>
      <c r="U8" s="55">
        <f t="shared" si="7"/>
        <v>21600</v>
      </c>
      <c r="V8" s="55">
        <f t="shared" si="8"/>
        <v>0</v>
      </c>
      <c r="W8" s="16">
        <v>72</v>
      </c>
      <c r="X8" s="16">
        <v>0</v>
      </c>
      <c r="Y8" s="16">
        <v>0</v>
      </c>
      <c r="Z8" s="16">
        <v>0</v>
      </c>
      <c r="AA8" s="95">
        <v>8870</v>
      </c>
      <c r="AB8" s="96">
        <f t="shared" ref="AB8:AB14" si="34">SUM(T8:AA8)</f>
        <v>443520</v>
      </c>
      <c r="AC8" s="97">
        <f t="shared" si="10"/>
        <v>0</v>
      </c>
      <c r="AD8" s="98">
        <f t="shared" si="11"/>
        <v>0</v>
      </c>
      <c r="AE8" s="99">
        <f t="shared" si="12"/>
        <v>391378</v>
      </c>
      <c r="AF8" s="99">
        <f t="shared" si="13"/>
        <v>32614.833333333332</v>
      </c>
      <c r="AG8" s="100"/>
      <c r="AH8" s="101"/>
      <c r="AI8" s="102" t="s">
        <v>77</v>
      </c>
      <c r="AJ8" s="102" t="s">
        <v>77</v>
      </c>
      <c r="AK8" s="102" t="s">
        <v>77</v>
      </c>
      <c r="AL8" s="102">
        <v>4</v>
      </c>
      <c r="AM8" s="103">
        <f>IF(OR($AL8="",$AL8=0),0,IF($AL8=4,VLOOKUP($AR8,'Loyalty Incentive v1'!$L$3:$Q$21,2,FALSE),
IF($AL8=3,VLOOKUP($AR8,'Loyalty Incentive v1'!$L$3:$Q$21,3,FALSE),
IF($AL8=2,VLOOKUP($AR8,'Loyalty Incentive v1'!$L$3:$Q$21,4,FALSE),
IF($AL8=1,VLOOKUP($AR8,'Loyalty Incentive v1'!$L$3:$Q$21,5,FALSE),
IF($AL8=0,VLOOKUP($AR8,'Loyalty Incentive v1'!$L$3:$Q$21,6,FALSE),0))))))</f>
        <v>0.13100000000000001</v>
      </c>
      <c r="AN8" s="103">
        <f>IFERROR(IF(I8&gt;=1,AM8,VLOOKUP(VALUE(I8),'Loyalty - Effec - 15July'!$I$5:$J$16,2,0)*AM8),0)</f>
        <v>0.13100000000000001</v>
      </c>
      <c r="AO8" s="103">
        <v>0</v>
      </c>
      <c r="AP8" s="103">
        <f t="shared" si="14"/>
        <v>0.13100000000000001</v>
      </c>
      <c r="AQ8" s="16" t="str">
        <f t="shared" si="15"/>
        <v>No</v>
      </c>
      <c r="AR8" s="16" t="str">
        <f t="shared" si="16"/>
        <v>SAC2</v>
      </c>
      <c r="AS8" s="16" t="b">
        <f t="shared" si="17"/>
        <v>1</v>
      </c>
      <c r="AT8" s="55">
        <f t="shared" si="18"/>
        <v>501621.12</v>
      </c>
      <c r="AU8" s="55">
        <f t="shared" si="19"/>
        <v>250811</v>
      </c>
      <c r="AV8" s="55">
        <f t="shared" si="20"/>
        <v>62703</v>
      </c>
      <c r="AW8" s="55">
        <f t="shared" si="21"/>
        <v>25081</v>
      </c>
      <c r="AX8" s="89">
        <v>113602</v>
      </c>
      <c r="AY8" s="55">
        <f t="shared" si="22"/>
        <v>452197</v>
      </c>
      <c r="AZ8" s="55">
        <f t="shared" si="23"/>
        <v>21600</v>
      </c>
      <c r="BA8" s="55">
        <f t="shared" si="24"/>
        <v>0</v>
      </c>
      <c r="BB8" s="16">
        <v>72</v>
      </c>
      <c r="BC8" s="16">
        <v>0</v>
      </c>
      <c r="BD8" s="16">
        <v>0</v>
      </c>
      <c r="BE8" s="95">
        <f>ROUND((IF(($AT8&lt;=700000),0,IF(((VLOOKUP($AR8,'Loyalty - Effec - 15July'!$B$5:$C$24,2,0)*$AT8)&lt;=120000),(VLOOKUP($AR8,'Loyalty - Effec - 15July'!$B$5:$C$24,2,0)*$AT8),120000))),0)</f>
        <v>0</v>
      </c>
      <c r="BF8" s="95">
        <f>ROUND(VLOOKUP($AR8,'Loyalty - Effec - 15July'!$B$5:$D$24,3,0)*$AT8,0)</f>
        <v>10032</v>
      </c>
      <c r="BG8" s="96">
        <f t="shared" si="25"/>
        <v>483901</v>
      </c>
      <c r="BH8" s="55">
        <f t="shared" si="26"/>
        <v>0</v>
      </c>
      <c r="BI8" s="96">
        <f t="shared" si="27"/>
        <v>17720.119999999995</v>
      </c>
      <c r="BJ8" s="96">
        <f t="shared" si="28"/>
        <v>430597</v>
      </c>
      <c r="BK8" s="96">
        <f t="shared" si="29"/>
        <v>35883.083333333336</v>
      </c>
      <c r="BL8" s="96">
        <f t="shared" si="30"/>
        <v>40381</v>
      </c>
      <c r="BM8" s="96">
        <f t="shared" si="31"/>
        <v>3268.2500000000036</v>
      </c>
      <c r="BN8" s="96">
        <f t="shared" si="32"/>
        <v>3268.2500000000036</v>
      </c>
      <c r="BO8" s="113"/>
      <c r="BP8" s="113"/>
      <c r="BQ8" s="113"/>
      <c r="BR8" s="96"/>
    </row>
    <row r="9" spans="1:70" s="16" customFormat="1" ht="12">
      <c r="A9" s="90"/>
      <c r="B9" s="91"/>
      <c r="C9" s="91" t="s">
        <v>74</v>
      </c>
      <c r="D9" s="91" t="s">
        <v>78</v>
      </c>
      <c r="E9" s="16" t="s">
        <v>76</v>
      </c>
      <c r="G9" s="90"/>
      <c r="H9" s="92"/>
      <c r="I9" s="93">
        <v>1.8</v>
      </c>
      <c r="M9" s="94" t="s">
        <v>87</v>
      </c>
      <c r="N9" s="16" t="str">
        <f t="shared" si="2"/>
        <v>AC2</v>
      </c>
      <c r="O9" s="55">
        <v>519235</v>
      </c>
      <c r="P9" s="55">
        <f t="shared" si="33"/>
        <v>259620</v>
      </c>
      <c r="Q9" s="55">
        <f t="shared" ref="Q9:Q14" si="35">ROUND((P9*25%),2)</f>
        <v>64905</v>
      </c>
      <c r="R9" s="55">
        <f t="shared" ref="R9:R14" si="36">ROUND((P9*10%),2)</f>
        <v>25962</v>
      </c>
      <c r="S9" s="55">
        <v>136691</v>
      </c>
      <c r="T9" s="55">
        <f t="shared" ref="T9:T14" si="37">SUM(P9:S9)</f>
        <v>487178</v>
      </c>
      <c r="U9" s="55">
        <f t="shared" ref="U9:U14" si="38">ROUND(IF(($T9-$Q9)&lt;=180000,($T9-$Q9)*12%,(180000*12%)),2)</f>
        <v>21600</v>
      </c>
      <c r="V9" s="55">
        <f t="shared" ref="V9:V14" si="39">ROUND(IF(($T9&lt;=252000),($T9*3.25%),0),2)</f>
        <v>0</v>
      </c>
      <c r="W9" s="16">
        <v>72</v>
      </c>
      <c r="X9" s="16">
        <v>0</v>
      </c>
      <c r="Y9" s="16">
        <v>0</v>
      </c>
      <c r="Z9" s="16">
        <v>0</v>
      </c>
      <c r="AA9" s="95">
        <v>10385</v>
      </c>
      <c r="AB9" s="96">
        <f t="shared" si="34"/>
        <v>519235</v>
      </c>
      <c r="AC9" s="97">
        <f t="shared" ref="AC9:AC14" si="40">ROUND(IF(($T9&lt;=252000),($T9*0.75%),0),2)</f>
        <v>0</v>
      </c>
      <c r="AD9" s="98">
        <f t="shared" ref="AD9:AD14" si="41">O9-AB9</f>
        <v>0</v>
      </c>
      <c r="AE9" s="104">
        <f t="shared" ref="AE9:AE14" si="42">(T9+Z9)-(U9+AC9)</f>
        <v>465578</v>
      </c>
      <c r="AF9" s="104">
        <f t="shared" ref="AF9:AF14" si="43">AE9/12</f>
        <v>38798.166666666664</v>
      </c>
      <c r="AG9" s="105"/>
      <c r="AH9" s="106"/>
      <c r="AI9" s="102" t="s">
        <v>77</v>
      </c>
      <c r="AJ9" s="102" t="s">
        <v>77</v>
      </c>
      <c r="AK9" s="102" t="s">
        <v>77</v>
      </c>
      <c r="AL9" s="102">
        <v>4</v>
      </c>
      <c r="AM9" s="103">
        <f>IF(OR($AL9="",$AL9=0),0,IF($AL9=4,VLOOKUP($AR9,'Loyalty Incentive v1'!$L$3:$Q$21,2,FALSE),
IF($AL9=3,VLOOKUP($AR9,'Loyalty Incentive v1'!$L$3:$Q$21,3,FALSE),
IF($AL9=2,VLOOKUP($AR9,'Loyalty Incentive v1'!$L$3:$Q$21,4,FALSE),
IF($AL9=1,VLOOKUP($AR9,'Loyalty Incentive v1'!$L$3:$Q$21,5,FALSE),
IF($AL9=0,VLOOKUP($AR9,'Loyalty Incentive v1'!$L$3:$Q$21,6,FALSE),0))))))</f>
        <v>0.161</v>
      </c>
      <c r="AN9" s="103">
        <f>IFERROR(IF(I9&gt;=1,AM9,VLOOKUP(VALUE(I9),'Loyalty - Effec - 15July'!$I$5:$J$16,2,0)*AM9),0)</f>
        <v>0.161</v>
      </c>
      <c r="AO9" s="103">
        <v>0</v>
      </c>
      <c r="AP9" s="103">
        <f t="shared" si="14"/>
        <v>0.161</v>
      </c>
      <c r="AQ9" s="16" t="str">
        <f t="shared" ref="AQ9:AQ14" si="44">IF((N9=AR9),"No","Yes")</f>
        <v>No</v>
      </c>
      <c r="AR9" s="16" t="str">
        <f t="shared" ref="AR9:AR14" si="45">N9</f>
        <v>AC2</v>
      </c>
      <c r="AS9" s="16" t="b">
        <f t="shared" ref="AS9:AS14" si="46">AR9=M9</f>
        <v>1</v>
      </c>
      <c r="AT9" s="55">
        <f t="shared" si="18"/>
        <v>602831.83499999996</v>
      </c>
      <c r="AU9" s="55">
        <f t="shared" ref="AU9:AU14" si="47">ROUND(AT9*$AU$3,0)</f>
        <v>301416</v>
      </c>
      <c r="AV9" s="55">
        <f t="shared" ref="AV9:AV14" si="48">ROUND(AU9*$AV$3,0)</f>
        <v>75354</v>
      </c>
      <c r="AW9" s="55">
        <f t="shared" ref="AW9:AW14" si="49">ROUND(AU9*$AW$3,0)</f>
        <v>30142</v>
      </c>
      <c r="AX9" s="55">
        <v>136693</v>
      </c>
      <c r="AY9" s="55">
        <f t="shared" ref="AY9:AY14" si="50">SUM(AU9:AX9)</f>
        <v>543605</v>
      </c>
      <c r="AZ9" s="55">
        <f t="shared" ref="AZ9:AZ14" si="51">ROUND(IF((AY9-AV9)&gt;180000,21600,(AY9-AV9)*12%),0)</f>
        <v>21600</v>
      </c>
      <c r="BA9" s="55">
        <f t="shared" ref="BA9:BA14" si="52">ROUND(IF(AY9&lt;252001,AY9*0.0325,0),0)</f>
        <v>0</v>
      </c>
      <c r="BB9" s="16">
        <v>72</v>
      </c>
      <c r="BC9" s="16">
        <v>0</v>
      </c>
      <c r="BD9" s="16">
        <v>0</v>
      </c>
      <c r="BE9" s="95">
        <f>ROUND((IF(($AT9&lt;=700000),0,IF(((VLOOKUP($AR9,'Loyalty - Effec - 15July'!$B$5:$C$24,2,0)*$AT9)&lt;=120000),(VLOOKUP($AR9,'Loyalty - Effec - 15July'!$B$5:$C$24,2,0)*$AT9),120000))),0)</f>
        <v>0</v>
      </c>
      <c r="BF9" s="95">
        <f>ROUND(VLOOKUP($AR9,'Loyalty - Effec - 15July'!$B$5:$D$24,3,0)*$AT9,0)</f>
        <v>12057</v>
      </c>
      <c r="BG9" s="96">
        <f t="shared" ref="BG9:BG14" si="53">SUM(AY9:BF9)</f>
        <v>577334</v>
      </c>
      <c r="BH9" s="55">
        <f t="shared" ref="BH9:BH14" si="54">ROUND(IF(AY9&lt;252001,AY9*0.0075,0),0)</f>
        <v>0</v>
      </c>
      <c r="BI9" s="96">
        <f t="shared" ref="BI9:BI14" si="55">AT9-BG9</f>
        <v>25497.834999999963</v>
      </c>
      <c r="BJ9" s="96">
        <f t="shared" ref="BJ9:BJ14" si="56">(AY9+BE9)-(AZ9+BH9)</f>
        <v>522005</v>
      </c>
      <c r="BK9" s="96">
        <f t="shared" ref="BK9:BK14" si="57">BJ9/12</f>
        <v>43500.416666666664</v>
      </c>
      <c r="BL9" s="96">
        <f t="shared" ref="BL9:BL14" si="58">BG9-AB9</f>
        <v>58099</v>
      </c>
      <c r="BM9" s="96">
        <f t="shared" ref="BM9:BM14" si="59">BK9-AF9</f>
        <v>4702.25</v>
      </c>
      <c r="BN9" s="96">
        <f t="shared" ref="BN9:BN14" si="60">BK9-AF9</f>
        <v>4702.25</v>
      </c>
      <c r="BR9" s="96"/>
    </row>
    <row r="10" spans="1:70" s="16" customFormat="1" ht="12">
      <c r="A10" s="90"/>
      <c r="B10" s="91"/>
      <c r="C10" s="91" t="s">
        <v>74</v>
      </c>
      <c r="D10" s="91" t="s">
        <v>78</v>
      </c>
      <c r="E10" s="16" t="s">
        <v>76</v>
      </c>
      <c r="G10" s="90"/>
      <c r="H10" s="92"/>
      <c r="I10" s="93">
        <v>1.4</v>
      </c>
      <c r="M10" s="94" t="s">
        <v>104</v>
      </c>
      <c r="N10" s="16" t="str">
        <f t="shared" si="2"/>
        <v>SAC7</v>
      </c>
      <c r="O10" s="55">
        <v>1775400</v>
      </c>
      <c r="P10" s="55">
        <f t="shared" si="33"/>
        <v>887700</v>
      </c>
      <c r="Q10" s="55">
        <f t="shared" si="35"/>
        <v>221925</v>
      </c>
      <c r="R10" s="55">
        <f t="shared" si="36"/>
        <v>88770</v>
      </c>
      <c r="S10" s="55">
        <v>342285</v>
      </c>
      <c r="T10" s="55">
        <f t="shared" si="37"/>
        <v>1540680</v>
      </c>
      <c r="U10" s="55">
        <f t="shared" si="38"/>
        <v>21600</v>
      </c>
      <c r="V10" s="55">
        <f t="shared" si="39"/>
        <v>0</v>
      </c>
      <c r="W10" s="16">
        <v>72</v>
      </c>
      <c r="X10" s="16">
        <v>0</v>
      </c>
      <c r="Y10" s="16">
        <v>0</v>
      </c>
      <c r="Z10" s="96">
        <v>106524</v>
      </c>
      <c r="AA10" s="95">
        <v>106524</v>
      </c>
      <c r="AB10" s="96">
        <f t="shared" si="34"/>
        <v>1775400</v>
      </c>
      <c r="AC10" s="97">
        <f t="shared" si="40"/>
        <v>0</v>
      </c>
      <c r="AD10" s="98">
        <f t="shared" si="41"/>
        <v>0</v>
      </c>
      <c r="AE10" s="104">
        <f t="shared" si="42"/>
        <v>1625604</v>
      </c>
      <c r="AF10" s="104">
        <f t="shared" si="43"/>
        <v>135467</v>
      </c>
      <c r="AG10" s="105"/>
      <c r="AH10" s="106"/>
      <c r="AI10" s="102" t="s">
        <v>77</v>
      </c>
      <c r="AJ10" s="102" t="s">
        <v>77</v>
      </c>
      <c r="AK10" s="102" t="s">
        <v>77</v>
      </c>
      <c r="AL10" s="102"/>
      <c r="AM10" s="103">
        <f>IF(OR($AL10="",$AL10=0),0,IF($AL10=4,VLOOKUP($AR10,'Loyalty Incentive v1'!$L$3:$Q$21,2,FALSE),
IF($AL10=3,VLOOKUP($AR10,'Loyalty Incentive v1'!$L$3:$Q$21,3,FALSE),
IF($AL10=2,VLOOKUP($AR10,'Loyalty Incentive v1'!$L$3:$Q$21,4,FALSE),
IF($AL10=1,VLOOKUP($AR10,'Loyalty Incentive v1'!$L$3:$Q$21,5,FALSE),
IF($AL10=0,VLOOKUP($AR10,'Loyalty Incentive v1'!$L$3:$Q$21,6,FALSE),0))))))</f>
        <v>0</v>
      </c>
      <c r="AN10" s="103">
        <f>IFERROR(IF(I10&gt;=1,AM10,VLOOKUP(VALUE(I10),'Loyalty - Effec - 15July'!$I$5:$J$16,2,0)*AM10),0)</f>
        <v>0</v>
      </c>
      <c r="AO10" s="103">
        <v>0</v>
      </c>
      <c r="AP10" s="103">
        <f t="shared" si="14"/>
        <v>0</v>
      </c>
      <c r="AQ10" s="16" t="str">
        <f t="shared" si="44"/>
        <v>No</v>
      </c>
      <c r="AR10" s="16" t="str">
        <f t="shared" si="45"/>
        <v>SAC7</v>
      </c>
      <c r="AS10" s="16" t="b">
        <f t="shared" si="46"/>
        <v>1</v>
      </c>
      <c r="AT10" s="55">
        <f t="shared" si="18"/>
        <v>1775400</v>
      </c>
      <c r="AU10" s="55">
        <f t="shared" si="47"/>
        <v>887700</v>
      </c>
      <c r="AV10" s="55">
        <f t="shared" si="48"/>
        <v>221925</v>
      </c>
      <c r="AW10" s="55">
        <f t="shared" si="49"/>
        <v>88770</v>
      </c>
      <c r="AX10" s="55">
        <v>342285</v>
      </c>
      <c r="AY10" s="55">
        <f t="shared" si="50"/>
        <v>1540680</v>
      </c>
      <c r="AZ10" s="55">
        <f t="shared" si="51"/>
        <v>21600</v>
      </c>
      <c r="BA10" s="55">
        <f t="shared" si="52"/>
        <v>0</v>
      </c>
      <c r="BB10" s="16">
        <v>72</v>
      </c>
      <c r="BC10" s="16">
        <v>0</v>
      </c>
      <c r="BD10" s="16">
        <v>0</v>
      </c>
      <c r="BE10" s="95">
        <f>ROUND((IF(($AT10&lt;=700000),0,IF(((VLOOKUP($AR10,'Loyalty - Effec - 15July'!$B$5:$C$24,2,0)*$AT10)&lt;=120000),(VLOOKUP($AR10,'Loyalty - Effec - 15July'!$B$5:$C$24,2,0)*$AT10),120000))),0)</f>
        <v>106524</v>
      </c>
      <c r="BF10" s="95">
        <f>ROUND(VLOOKUP($AR10,'Loyalty - Effec - 15July'!$B$5:$D$24,3,0)*$AT10,0)</f>
        <v>106524</v>
      </c>
      <c r="BG10" s="96">
        <f t="shared" si="53"/>
        <v>1775400</v>
      </c>
      <c r="BH10" s="55">
        <f t="shared" si="54"/>
        <v>0</v>
      </c>
      <c r="BI10" s="96">
        <f t="shared" si="55"/>
        <v>0</v>
      </c>
      <c r="BJ10" s="96">
        <f t="shared" si="56"/>
        <v>1625604</v>
      </c>
      <c r="BK10" s="96">
        <f t="shared" si="57"/>
        <v>135467</v>
      </c>
      <c r="BL10" s="96">
        <f t="shared" si="58"/>
        <v>0</v>
      </c>
      <c r="BM10" s="96">
        <f t="shared" si="59"/>
        <v>0</v>
      </c>
      <c r="BN10" s="96">
        <f t="shared" si="60"/>
        <v>0</v>
      </c>
      <c r="BR10" s="96"/>
    </row>
    <row r="11" spans="1:70" s="56" customFormat="1" ht="12">
      <c r="A11" s="90"/>
      <c r="B11" s="91"/>
      <c r="C11" s="91" t="s">
        <v>74</v>
      </c>
      <c r="D11" s="91" t="s">
        <v>78</v>
      </c>
      <c r="E11" s="16" t="s">
        <v>76</v>
      </c>
      <c r="F11" s="16"/>
      <c r="G11" s="90"/>
      <c r="H11" s="92"/>
      <c r="I11" s="93">
        <v>15.8</v>
      </c>
      <c r="J11" s="16"/>
      <c r="K11" s="16"/>
      <c r="L11" s="16"/>
      <c r="M11" s="94" t="s">
        <v>95</v>
      </c>
      <c r="N11" s="16" t="str">
        <f t="shared" si="2"/>
        <v>SC1</v>
      </c>
      <c r="O11" s="55">
        <v>2535660</v>
      </c>
      <c r="P11" s="55">
        <f t="shared" si="33"/>
        <v>1267830</v>
      </c>
      <c r="Q11" s="55">
        <f t="shared" si="35"/>
        <v>316957.5</v>
      </c>
      <c r="R11" s="55">
        <f t="shared" si="36"/>
        <v>126783</v>
      </c>
      <c r="S11" s="55">
        <v>479564</v>
      </c>
      <c r="T11" s="55">
        <f t="shared" si="37"/>
        <v>2191134.5</v>
      </c>
      <c r="U11" s="55">
        <f t="shared" si="38"/>
        <v>21600</v>
      </c>
      <c r="V11" s="55">
        <f t="shared" si="39"/>
        <v>0</v>
      </c>
      <c r="W11" s="16">
        <v>72</v>
      </c>
      <c r="X11" s="16">
        <v>0</v>
      </c>
      <c r="Y11" s="16">
        <v>0</v>
      </c>
      <c r="Z11" s="96">
        <v>120000</v>
      </c>
      <c r="AA11" s="95">
        <v>202853</v>
      </c>
      <c r="AB11" s="96">
        <f t="shared" si="34"/>
        <v>2535659.5</v>
      </c>
      <c r="AC11" s="97">
        <f t="shared" si="40"/>
        <v>0</v>
      </c>
      <c r="AD11" s="98">
        <f t="shared" si="41"/>
        <v>0.5</v>
      </c>
      <c r="AE11" s="104">
        <f t="shared" si="42"/>
        <v>2289534.5</v>
      </c>
      <c r="AF11" s="104">
        <f t="shared" si="43"/>
        <v>190794.54166666666</v>
      </c>
      <c r="AG11" s="105"/>
      <c r="AH11" s="106"/>
      <c r="AI11" s="102" t="s">
        <v>77</v>
      </c>
      <c r="AJ11" s="102" t="s">
        <v>77</v>
      </c>
      <c r="AK11" s="102" t="s">
        <v>77</v>
      </c>
      <c r="AL11" s="102"/>
      <c r="AM11" s="103">
        <f>IF(OR($AL11="",$AL11=0),0,IF($AL11=4,VLOOKUP($AR11,'Loyalty Incentive v1'!$L$3:$Q$21,2,FALSE),
IF($AL11=3,VLOOKUP($AR11,'Loyalty Incentive v1'!$L$3:$Q$21,3,FALSE),
IF($AL11=2,VLOOKUP($AR11,'Loyalty Incentive v1'!$L$3:$Q$21,4,FALSE),
IF($AL11=1,VLOOKUP($AR11,'Loyalty Incentive v1'!$L$3:$Q$21,5,FALSE),
IF($AL11=0,VLOOKUP($AR11,'Loyalty Incentive v1'!$L$3:$Q$21,6,FALSE),0))))))</f>
        <v>0</v>
      </c>
      <c r="AN11" s="103">
        <f>IFERROR(IF(I11&gt;=1,AM11,VLOOKUP(VALUE(I11),'Loyalty - Effec - 15July'!$I$5:$J$16,2,0)*AM11),0)</f>
        <v>0</v>
      </c>
      <c r="AO11" s="103">
        <v>0</v>
      </c>
      <c r="AP11" s="103">
        <f t="shared" si="14"/>
        <v>0</v>
      </c>
      <c r="AQ11" s="16" t="str">
        <f t="shared" si="44"/>
        <v>No</v>
      </c>
      <c r="AR11" s="16" t="str">
        <f t="shared" si="45"/>
        <v>SC1</v>
      </c>
      <c r="AS11" s="16" t="b">
        <f t="shared" si="46"/>
        <v>1</v>
      </c>
      <c r="AT11" s="55">
        <f t="shared" si="18"/>
        <v>2535660</v>
      </c>
      <c r="AU11" s="55">
        <f t="shared" si="47"/>
        <v>1267830</v>
      </c>
      <c r="AV11" s="55">
        <f t="shared" si="48"/>
        <v>316958</v>
      </c>
      <c r="AW11" s="55">
        <f t="shared" si="49"/>
        <v>126783</v>
      </c>
      <c r="AX11" s="55">
        <v>479564</v>
      </c>
      <c r="AY11" s="55">
        <f t="shared" si="50"/>
        <v>2191135</v>
      </c>
      <c r="AZ11" s="55">
        <f t="shared" si="51"/>
        <v>21600</v>
      </c>
      <c r="BA11" s="55">
        <f t="shared" si="52"/>
        <v>0</v>
      </c>
      <c r="BB11" s="16">
        <v>72</v>
      </c>
      <c r="BC11" s="16">
        <v>0</v>
      </c>
      <c r="BD11" s="16">
        <v>0</v>
      </c>
      <c r="BE11" s="95">
        <f>ROUND((IF(($AT11&lt;=700000),0,IF(((VLOOKUP($AR11,'Loyalty - Effec - 15July'!$B$5:$C$24,2,0)*$AT11)&lt;=120000),(VLOOKUP($AR11,'Loyalty - Effec - 15July'!$B$5:$C$24,2,0)*$AT11),120000))),0)</f>
        <v>120000</v>
      </c>
      <c r="BF11" s="95">
        <f>ROUND(VLOOKUP($AR11,'Loyalty - Effec - 15July'!$B$5:$D$24,3,0)*$AT11,0)</f>
        <v>202853</v>
      </c>
      <c r="BG11" s="96">
        <f t="shared" si="53"/>
        <v>2535660</v>
      </c>
      <c r="BH11" s="55">
        <f t="shared" si="54"/>
        <v>0</v>
      </c>
      <c r="BI11" s="96">
        <f t="shared" si="55"/>
        <v>0</v>
      </c>
      <c r="BJ11" s="96">
        <f t="shared" si="56"/>
        <v>2289535</v>
      </c>
      <c r="BK11" s="96">
        <f t="shared" si="57"/>
        <v>190794.58333333334</v>
      </c>
      <c r="BL11" s="96">
        <f t="shared" si="58"/>
        <v>0.5</v>
      </c>
      <c r="BM11" s="96">
        <f t="shared" si="59"/>
        <v>4.166666668606922E-2</v>
      </c>
      <c r="BN11" s="96">
        <f t="shared" si="60"/>
        <v>4.166666668606922E-2</v>
      </c>
      <c r="BR11" s="96"/>
    </row>
    <row r="12" spans="1:70" s="56" customFormat="1" ht="12">
      <c r="A12" s="114"/>
      <c r="B12" s="115"/>
      <c r="C12" s="91" t="s">
        <v>74</v>
      </c>
      <c r="D12" s="91" t="s">
        <v>78</v>
      </c>
      <c r="E12" s="16" t="s">
        <v>76</v>
      </c>
      <c r="F12" s="16"/>
      <c r="G12" s="115"/>
      <c r="H12" s="92"/>
      <c r="I12" s="93">
        <v>0.4</v>
      </c>
      <c r="J12" s="16"/>
      <c r="K12" s="16"/>
      <c r="L12" s="16"/>
      <c r="M12" s="94" t="s">
        <v>102</v>
      </c>
      <c r="N12" s="16" t="str">
        <f t="shared" si="2"/>
        <v>SAC5</v>
      </c>
      <c r="O12" s="55">
        <v>815000</v>
      </c>
      <c r="P12" s="55">
        <f t="shared" si="33"/>
        <v>407500</v>
      </c>
      <c r="Q12" s="55">
        <f t="shared" si="35"/>
        <v>101875</v>
      </c>
      <c r="R12" s="55">
        <f t="shared" si="36"/>
        <v>40750</v>
      </c>
      <c r="S12" s="55">
        <v>161702.99999999994</v>
      </c>
      <c r="T12" s="55">
        <f t="shared" si="37"/>
        <v>711828</v>
      </c>
      <c r="U12" s="55">
        <f t="shared" si="38"/>
        <v>21600</v>
      </c>
      <c r="V12" s="55">
        <f t="shared" si="39"/>
        <v>0</v>
      </c>
      <c r="W12" s="16">
        <v>72</v>
      </c>
      <c r="X12" s="16">
        <v>0</v>
      </c>
      <c r="Y12" s="16">
        <v>0</v>
      </c>
      <c r="Z12" s="96">
        <v>40750</v>
      </c>
      <c r="AA12" s="95">
        <v>40750</v>
      </c>
      <c r="AB12" s="96">
        <f t="shared" si="34"/>
        <v>815000</v>
      </c>
      <c r="AC12" s="97">
        <f t="shared" si="40"/>
        <v>0</v>
      </c>
      <c r="AD12" s="98">
        <f t="shared" si="41"/>
        <v>0</v>
      </c>
      <c r="AE12" s="104">
        <f t="shared" si="42"/>
        <v>730978</v>
      </c>
      <c r="AF12" s="104">
        <f t="shared" si="43"/>
        <v>60914.833333333336</v>
      </c>
      <c r="AG12" s="108"/>
      <c r="AH12" s="109"/>
      <c r="AI12" s="110" t="s">
        <v>77</v>
      </c>
      <c r="AJ12" s="110" t="s">
        <v>77</v>
      </c>
      <c r="AK12" s="110" t="s">
        <v>77</v>
      </c>
      <c r="AL12" s="16"/>
      <c r="AM12" s="103">
        <f>IF(OR($AL12="",$AL12=0),0,IF($AL12=4,VLOOKUP($AR12,'Loyalty Incentive v1'!$L$3:$Q$21,2,FALSE),
IF($AL12=3,VLOOKUP($AR12,'Loyalty Incentive v1'!$L$3:$Q$21,3,FALSE),
IF($AL12=2,VLOOKUP($AR12,'Loyalty Incentive v1'!$L$3:$Q$21,4,FALSE),
IF($AL12=1,VLOOKUP($AR12,'Loyalty Incentive v1'!$L$3:$Q$21,5,FALSE),
IF($AL12=0,VLOOKUP($AR12,'Loyalty Incentive v1'!$L$3:$Q$21,6,FALSE),0))))))</f>
        <v>0</v>
      </c>
      <c r="AN12" s="103">
        <f>IFERROR(IF(I12&gt;=1,AM12,VLOOKUP(VALUE(I12),'Loyalty - Effec - 15July'!$I$5:$J$16,2,0)*AM12),0)</f>
        <v>0</v>
      </c>
      <c r="AO12" s="103">
        <v>0</v>
      </c>
      <c r="AP12" s="103">
        <f t="shared" si="14"/>
        <v>0</v>
      </c>
      <c r="AQ12" s="16" t="s">
        <v>111</v>
      </c>
      <c r="AR12" s="133" t="s">
        <v>102</v>
      </c>
      <c r="AS12" s="16" t="b">
        <f t="shared" si="46"/>
        <v>1</v>
      </c>
      <c r="AT12" s="55">
        <f t="shared" si="18"/>
        <v>815000</v>
      </c>
      <c r="AU12" s="55">
        <f t="shared" si="47"/>
        <v>407500</v>
      </c>
      <c r="AV12" s="55">
        <f t="shared" si="48"/>
        <v>101875</v>
      </c>
      <c r="AW12" s="55">
        <f t="shared" si="49"/>
        <v>40750</v>
      </c>
      <c r="AX12" s="55">
        <v>161702.99999999994</v>
      </c>
      <c r="AY12" s="55">
        <f t="shared" si="50"/>
        <v>711828</v>
      </c>
      <c r="AZ12" s="55">
        <f t="shared" si="51"/>
        <v>21600</v>
      </c>
      <c r="BA12" s="55">
        <f t="shared" si="52"/>
        <v>0</v>
      </c>
      <c r="BB12" s="16">
        <v>72</v>
      </c>
      <c r="BC12" s="16">
        <v>0</v>
      </c>
      <c r="BD12" s="16">
        <v>0</v>
      </c>
      <c r="BE12" s="95">
        <f>ROUND((IF(($AT12&lt;=700000),0,IF(((VLOOKUP($AR12,'Loyalty - Effec - 15July'!$B$5:$C$24,2,0)*$AT12)&lt;=120000),(VLOOKUP($AR12,'Loyalty - Effec - 15July'!$B$5:$C$24,2,0)*$AT12),120000))),0)</f>
        <v>40750</v>
      </c>
      <c r="BF12" s="95">
        <f>ROUND(VLOOKUP($AR12,'Loyalty - Effec - 15July'!$B$5:$D$24,3,0)*$AT12,0)</f>
        <v>40750</v>
      </c>
      <c r="BG12" s="96">
        <f t="shared" si="53"/>
        <v>815000</v>
      </c>
      <c r="BH12" s="55">
        <f t="shared" si="54"/>
        <v>0</v>
      </c>
      <c r="BI12" s="96">
        <f t="shared" si="55"/>
        <v>0</v>
      </c>
      <c r="BJ12" s="96">
        <f t="shared" si="56"/>
        <v>730978</v>
      </c>
      <c r="BK12" s="96">
        <f t="shared" si="57"/>
        <v>60914.833333333336</v>
      </c>
      <c r="BL12" s="96">
        <f t="shared" si="58"/>
        <v>0</v>
      </c>
      <c r="BM12" s="96">
        <f t="shared" si="59"/>
        <v>0</v>
      </c>
      <c r="BN12" s="96">
        <f t="shared" si="60"/>
        <v>0</v>
      </c>
      <c r="BO12" s="16"/>
      <c r="BP12" s="116"/>
      <c r="BQ12" s="16"/>
      <c r="BR12" s="112"/>
    </row>
    <row r="13" spans="1:70" s="132" customFormat="1" ht="12">
      <c r="A13" s="117"/>
      <c r="B13" s="118"/>
      <c r="C13" s="118" t="s">
        <v>74</v>
      </c>
      <c r="D13" s="118" t="s">
        <v>75</v>
      </c>
      <c r="E13" s="119" t="s">
        <v>76</v>
      </c>
      <c r="F13" s="119"/>
      <c r="G13" s="117"/>
      <c r="H13" s="120"/>
      <c r="I13" s="121">
        <v>0.8</v>
      </c>
      <c r="J13" s="119"/>
      <c r="K13" s="119"/>
      <c r="L13" s="119"/>
      <c r="M13" s="122" t="s">
        <v>99</v>
      </c>
      <c r="N13" s="119" t="str">
        <f t="shared" si="2"/>
        <v>SAC2</v>
      </c>
      <c r="O13" s="123">
        <v>650000</v>
      </c>
      <c r="P13" s="123">
        <f t="shared" si="33"/>
        <v>325000</v>
      </c>
      <c r="Q13" s="123">
        <f t="shared" si="35"/>
        <v>81250</v>
      </c>
      <c r="R13" s="123">
        <f t="shared" si="36"/>
        <v>32500</v>
      </c>
      <c r="S13" s="123">
        <v>176577.99999999994</v>
      </c>
      <c r="T13" s="123">
        <f t="shared" si="37"/>
        <v>615328</v>
      </c>
      <c r="U13" s="123">
        <f t="shared" si="38"/>
        <v>21600</v>
      </c>
      <c r="V13" s="123">
        <f t="shared" si="39"/>
        <v>0</v>
      </c>
      <c r="W13" s="119">
        <v>72</v>
      </c>
      <c r="X13" s="119">
        <v>0</v>
      </c>
      <c r="Y13" s="119">
        <v>0</v>
      </c>
      <c r="Z13" s="119">
        <v>0</v>
      </c>
      <c r="AA13" s="124">
        <v>13000</v>
      </c>
      <c r="AB13" s="125">
        <f t="shared" si="34"/>
        <v>650000</v>
      </c>
      <c r="AC13" s="126">
        <f t="shared" si="40"/>
        <v>0</v>
      </c>
      <c r="AD13" s="127">
        <f t="shared" si="41"/>
        <v>0</v>
      </c>
      <c r="AE13" s="128">
        <f t="shared" si="42"/>
        <v>593728</v>
      </c>
      <c r="AF13" s="128">
        <f t="shared" si="43"/>
        <v>49477.333333333336</v>
      </c>
      <c r="AG13" s="129"/>
      <c r="AH13" s="129"/>
      <c r="AI13" s="130"/>
      <c r="AJ13" s="130"/>
      <c r="AK13" s="130"/>
      <c r="AL13" s="130"/>
      <c r="AM13" s="134">
        <f>IF(OR($AL13="",$AL13=0),0,IF($AL13=4,VLOOKUP($AR13,'Loyalty Incentive v1'!$L$3:$Q$21,2,FALSE),
IF($AL13=3,VLOOKUP($AR13,'Loyalty Incentive v1'!$L$3:$Q$21,3,FALSE),
IF($AL13=2,VLOOKUP($AR13,'Loyalty Incentive v1'!$L$3:$Q$21,4,FALSE),
IF($AL13=1,VLOOKUP($AR13,'Loyalty Incentive v1'!$L$3:$Q$21,5,FALSE),
IF($AL13=0,VLOOKUP($AR13,'Loyalty Incentive v1'!$L$3:$Q$21,6,FALSE),0))))))</f>
        <v>0</v>
      </c>
      <c r="AN13" s="131">
        <f>IFERROR(IF(I13&gt;=1,AM13,VLOOKUP(VALUE(I13),'Loyalty - Effec - 15July'!$I$5:$J$16,2,0)*AM13),0)</f>
        <v>0</v>
      </c>
      <c r="AO13" s="131">
        <v>0</v>
      </c>
      <c r="AP13" s="131">
        <f t="shared" si="14"/>
        <v>0</v>
      </c>
      <c r="AQ13" s="119" t="str">
        <f t="shared" si="44"/>
        <v>No</v>
      </c>
      <c r="AR13" s="119" t="str">
        <f t="shared" si="45"/>
        <v>SAC2</v>
      </c>
      <c r="AS13" s="119" t="b">
        <f t="shared" si="46"/>
        <v>1</v>
      </c>
      <c r="AT13" s="123">
        <f t="shared" si="18"/>
        <v>650000</v>
      </c>
      <c r="AU13" s="123">
        <f t="shared" si="47"/>
        <v>325000</v>
      </c>
      <c r="AV13" s="123">
        <f t="shared" si="48"/>
        <v>81250</v>
      </c>
      <c r="AW13" s="123">
        <f t="shared" si="49"/>
        <v>32500</v>
      </c>
      <c r="AX13" s="123">
        <v>176577.99999999994</v>
      </c>
      <c r="AY13" s="123">
        <f t="shared" si="50"/>
        <v>615328</v>
      </c>
      <c r="AZ13" s="123">
        <f t="shared" si="51"/>
        <v>21600</v>
      </c>
      <c r="BA13" s="123">
        <f t="shared" si="52"/>
        <v>0</v>
      </c>
      <c r="BB13" s="119">
        <v>72</v>
      </c>
      <c r="BC13" s="119">
        <v>0</v>
      </c>
      <c r="BD13" s="119">
        <v>0</v>
      </c>
      <c r="BE13" s="124">
        <f>ROUND((IF(($AT13&lt;=700000),0,IF(((VLOOKUP($AR13,'Loyalty - Effec - 15July'!$B$5:$C$24,2,0)*$AT13)&lt;=120000),(VLOOKUP($AR13,'Loyalty - Effec - 15July'!$B$5:$C$24,2,0)*$AT13),120000))),0)</f>
        <v>0</v>
      </c>
      <c r="BF13" s="124">
        <f>ROUND(VLOOKUP($AR13,'Loyalty - Effec - 15July'!$B$5:$D$24,3,0)*$AT13,0)</f>
        <v>13000</v>
      </c>
      <c r="BG13" s="125">
        <f t="shared" si="53"/>
        <v>650000</v>
      </c>
      <c r="BH13" s="123">
        <f t="shared" si="54"/>
        <v>0</v>
      </c>
      <c r="BI13" s="125">
        <f t="shared" si="55"/>
        <v>0</v>
      </c>
      <c r="BJ13" s="125">
        <f t="shared" si="56"/>
        <v>593728</v>
      </c>
      <c r="BK13" s="125">
        <f t="shared" si="57"/>
        <v>49477.333333333336</v>
      </c>
      <c r="BL13" s="125">
        <f t="shared" si="58"/>
        <v>0</v>
      </c>
      <c r="BM13" s="125">
        <f t="shared" si="59"/>
        <v>0</v>
      </c>
      <c r="BN13" s="125">
        <f t="shared" si="60"/>
        <v>0</v>
      </c>
      <c r="BR13" s="125"/>
    </row>
    <row r="14" spans="1:70" s="56" customFormat="1" ht="12">
      <c r="A14" s="90"/>
      <c r="B14" s="91"/>
      <c r="C14" s="91" t="s">
        <v>74</v>
      </c>
      <c r="D14" s="91" t="s">
        <v>78</v>
      </c>
      <c r="E14" s="16" t="s">
        <v>76</v>
      </c>
      <c r="F14" s="16"/>
      <c r="G14" s="90"/>
      <c r="H14" s="92"/>
      <c r="I14" s="93">
        <v>1.5</v>
      </c>
      <c r="J14" s="16"/>
      <c r="K14" s="16"/>
      <c r="L14" s="16"/>
      <c r="M14" s="94" t="s">
        <v>87</v>
      </c>
      <c r="N14" s="16" t="str">
        <f t="shared" si="2"/>
        <v>AC2</v>
      </c>
      <c r="O14" s="55">
        <v>342300</v>
      </c>
      <c r="P14" s="55">
        <f t="shared" si="33"/>
        <v>171150</v>
      </c>
      <c r="Q14" s="55">
        <f t="shared" si="35"/>
        <v>42787.5</v>
      </c>
      <c r="R14" s="55">
        <f t="shared" si="36"/>
        <v>17115</v>
      </c>
      <c r="S14" s="55">
        <v>82729.000000000058</v>
      </c>
      <c r="T14" s="55">
        <f t="shared" si="37"/>
        <v>313781.50000000006</v>
      </c>
      <c r="U14" s="55">
        <f t="shared" si="38"/>
        <v>21600</v>
      </c>
      <c r="V14" s="55">
        <f t="shared" si="39"/>
        <v>0</v>
      </c>
      <c r="W14" s="16">
        <v>72</v>
      </c>
      <c r="X14" s="16">
        <v>0</v>
      </c>
      <c r="Y14" s="16">
        <v>0</v>
      </c>
      <c r="Z14" s="16">
        <v>0</v>
      </c>
      <c r="AA14" s="95">
        <v>6846</v>
      </c>
      <c r="AB14" s="96">
        <f t="shared" si="34"/>
        <v>342299.50000000006</v>
      </c>
      <c r="AC14" s="97">
        <f t="shared" si="40"/>
        <v>0</v>
      </c>
      <c r="AD14" s="98">
        <f t="shared" si="41"/>
        <v>0.49999999994179234</v>
      </c>
      <c r="AE14" s="104">
        <f t="shared" si="42"/>
        <v>292181.50000000006</v>
      </c>
      <c r="AF14" s="104">
        <f t="shared" si="43"/>
        <v>24348.458333333339</v>
      </c>
      <c r="AG14" s="105"/>
      <c r="AH14" s="106"/>
      <c r="AI14" s="110" t="s">
        <v>77</v>
      </c>
      <c r="AJ14" s="110" t="s">
        <v>77</v>
      </c>
      <c r="AK14" s="110" t="s">
        <v>77</v>
      </c>
      <c r="AL14" s="110"/>
      <c r="AM14" s="103">
        <f>IF(OR($AL14="",$AL14=0),0,IF($AL14=4,VLOOKUP($AR14,'Loyalty Incentive v1'!$L$3:$Q$21,2,FALSE),
IF($AL14=3,VLOOKUP($AR14,'Loyalty Incentive v1'!$L$3:$Q$21,3,FALSE),
IF($AL14=2,VLOOKUP($AR14,'Loyalty Incentive v1'!$L$3:$Q$21,4,FALSE),
IF($AL14=1,VLOOKUP($AR14,'Loyalty Incentive v1'!$L$3:$Q$21,5,FALSE),
IF($AL14=0,VLOOKUP($AR14,'Loyalty Incentive v1'!$L$3:$Q$21,6,FALSE),0))))))</f>
        <v>0</v>
      </c>
      <c r="AN14" s="103">
        <f>IFERROR(IF(I14&gt;=1,AM14,VLOOKUP(VALUE(I14),'Loyalty - Effec - 15July'!$I$5:$J$16,2,0)*AM14),0)</f>
        <v>0</v>
      </c>
      <c r="AO14" s="103">
        <v>0</v>
      </c>
      <c r="AP14" s="103">
        <f t="shared" si="14"/>
        <v>0</v>
      </c>
      <c r="AQ14" s="16" t="str">
        <f t="shared" si="44"/>
        <v>No</v>
      </c>
      <c r="AR14" s="16" t="str">
        <f t="shared" si="45"/>
        <v>AC2</v>
      </c>
      <c r="AS14" s="16" t="b">
        <f t="shared" si="46"/>
        <v>1</v>
      </c>
      <c r="AT14" s="55">
        <f t="shared" si="18"/>
        <v>342300</v>
      </c>
      <c r="AU14" s="55">
        <f t="shared" si="47"/>
        <v>171150</v>
      </c>
      <c r="AV14" s="55">
        <f t="shared" si="48"/>
        <v>42788</v>
      </c>
      <c r="AW14" s="55">
        <f t="shared" si="49"/>
        <v>17115</v>
      </c>
      <c r="AX14" s="55">
        <v>82729.000000000058</v>
      </c>
      <c r="AY14" s="55">
        <f t="shared" si="50"/>
        <v>313782.00000000006</v>
      </c>
      <c r="AZ14" s="55">
        <f t="shared" si="51"/>
        <v>21600</v>
      </c>
      <c r="BA14" s="55">
        <f t="shared" si="52"/>
        <v>0</v>
      </c>
      <c r="BB14" s="16">
        <v>72</v>
      </c>
      <c r="BC14" s="16">
        <v>0</v>
      </c>
      <c r="BD14" s="16">
        <v>0</v>
      </c>
      <c r="BE14" s="95">
        <f>ROUND((IF(($AT14&lt;=700000),0,IF(((VLOOKUP($AR14,'Loyalty - Effec - 15July'!$B$5:$C$24,2,0)*$AT14)&lt;=120000),(VLOOKUP($AR14,'Loyalty - Effec - 15July'!$B$5:$C$24,2,0)*$AT14),120000))),0)</f>
        <v>0</v>
      </c>
      <c r="BF14" s="95">
        <f>ROUND(VLOOKUP($AR14,'Loyalty - Effec - 15July'!$B$5:$D$24,3,0)*$AT14,0)</f>
        <v>6846</v>
      </c>
      <c r="BG14" s="96">
        <f t="shared" si="53"/>
        <v>342300.00000000006</v>
      </c>
      <c r="BH14" s="55">
        <f t="shared" si="54"/>
        <v>0</v>
      </c>
      <c r="BI14" s="96">
        <f t="shared" si="55"/>
        <v>0</v>
      </c>
      <c r="BJ14" s="96">
        <f t="shared" si="56"/>
        <v>292182.00000000006</v>
      </c>
      <c r="BK14" s="96">
        <f t="shared" si="57"/>
        <v>24348.500000000004</v>
      </c>
      <c r="BL14" s="96">
        <f t="shared" si="58"/>
        <v>0.5</v>
      </c>
      <c r="BM14" s="96">
        <f t="shared" si="59"/>
        <v>4.1666666664241347E-2</v>
      </c>
      <c r="BN14" s="96">
        <f t="shared" si="60"/>
        <v>4.1666666664241347E-2</v>
      </c>
      <c r="BR14" s="96"/>
    </row>
    <row r="15" spans="1:70" s="56" customFormat="1" ht="14.4">
      <c r="D15" s="59"/>
      <c r="G15" s="60"/>
      <c r="J15" s="57"/>
      <c r="K15" s="16"/>
      <c r="L15" s="16"/>
      <c r="M15"/>
      <c r="O15" s="61"/>
      <c r="Y15" s="61"/>
      <c r="Z15" s="80"/>
      <c r="AA15" s="80"/>
      <c r="AD15" s="62"/>
      <c r="AG15" s="59"/>
      <c r="AU15" s="61"/>
      <c r="AV15" s="61"/>
      <c r="AW15" s="61"/>
      <c r="AY15" s="61"/>
      <c r="BA15" s="61"/>
    </row>
    <row r="16" spans="1:70" ht="14.4">
      <c r="M16"/>
      <c r="N16" s="56"/>
      <c r="O16" s="28"/>
      <c r="Y16" s="28"/>
      <c r="AU16" s="28"/>
      <c r="AV16" s="28"/>
      <c r="AW16" s="28"/>
      <c r="AY16" s="28"/>
      <c r="BA16" s="28"/>
      <c r="BL16" s="33"/>
    </row>
    <row r="17" spans="7:64" ht="14.4">
      <c r="G17" s="60"/>
      <c r="M17"/>
      <c r="N17" s="56"/>
      <c r="O17" s="28"/>
      <c r="Y17" s="28"/>
      <c r="AU17" s="28"/>
      <c r="AV17" s="28"/>
      <c r="AW17" s="28"/>
      <c r="AY17" s="28"/>
      <c r="BA17" s="28"/>
      <c r="BL17" s="33"/>
    </row>
    <row r="18" spans="7:64" ht="14.4">
      <c r="G18"/>
    </row>
    <row r="19" spans="7:64" ht="14.4">
      <c r="G19"/>
    </row>
    <row r="20" spans="7:64" ht="14.4">
      <c r="G20"/>
    </row>
    <row r="21" spans="7:64" ht="14.4">
      <c r="G21"/>
    </row>
    <row r="22" spans="7:64" ht="14.4">
      <c r="G22"/>
    </row>
    <row r="23" spans="7:64" ht="14.4">
      <c r="G23"/>
    </row>
    <row r="24" spans="7:64" ht="14.4">
      <c r="G24"/>
    </row>
    <row r="25" spans="7:64" ht="14.4">
      <c r="G25"/>
    </row>
    <row r="26" spans="7:64" ht="14.4">
      <c r="G26"/>
    </row>
    <row r="27" spans="7:64" ht="14.4">
      <c r="G27"/>
    </row>
    <row r="28" spans="7:64" ht="14.4">
      <c r="G28"/>
    </row>
    <row r="29" spans="7:64" ht="14.4">
      <c r="G29"/>
    </row>
    <row r="30" spans="7:64" ht="14.4">
      <c r="G30"/>
    </row>
    <row r="31" spans="7:64" ht="14.4">
      <c r="G31"/>
    </row>
    <row r="32" spans="7:64" ht="14.4">
      <c r="G32"/>
    </row>
    <row r="33" spans="7:7" ht="14.4">
      <c r="G33"/>
    </row>
    <row r="34" spans="7:7" ht="14.4">
      <c r="G34"/>
    </row>
  </sheetData>
  <phoneticPr fontId="27" type="noConversion"/>
  <conditionalFormatting sqref="A14">
    <cfRule type="duplicateValues" dxfId="3" priority="3"/>
  </conditionalFormatting>
  <conditionalFormatting sqref="G14">
    <cfRule type="duplicateValues" dxfId="2" priority="1"/>
  </conditionalFormatting>
  <conditionalFormatting sqref="G5:G11">
    <cfRule type="duplicateValues" dxfId="1" priority="2"/>
  </conditionalFormatting>
  <conditionalFormatting sqref="A6:A10">
    <cfRule type="duplicateValues" dxfId="0" priority="4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2:AK125"/>
  <sheetViews>
    <sheetView topLeftCell="C1" zoomScale="110" zoomScaleNormal="110" workbookViewId="0">
      <selection activeCell="L3" sqref="L3:P21"/>
    </sheetView>
  </sheetViews>
  <sheetFormatPr defaultColWidth="9" defaultRowHeight="14.4"/>
  <cols>
    <col min="2" max="2" width="17.44140625" bestFit="1" customWidth="1"/>
    <col min="12" max="12" width="11.77734375" style="64" bestFit="1" customWidth="1"/>
    <col min="13" max="17" width="9" style="64"/>
  </cols>
  <sheetData>
    <row r="2" spans="1:37">
      <c r="A2" s="2" t="s">
        <v>80</v>
      </c>
      <c r="B2" s="3" t="s">
        <v>81</v>
      </c>
      <c r="C2" s="4">
        <v>2013</v>
      </c>
      <c r="D2" s="5">
        <v>2015</v>
      </c>
      <c r="E2" s="5">
        <v>2014</v>
      </c>
      <c r="F2" s="6">
        <v>2016</v>
      </c>
      <c r="G2" s="5">
        <v>2017</v>
      </c>
      <c r="H2" s="5">
        <v>2018</v>
      </c>
      <c r="I2" s="5">
        <v>2020</v>
      </c>
      <c r="J2" s="5">
        <v>2021</v>
      </c>
      <c r="K2" s="5"/>
      <c r="L2" s="63" t="s">
        <v>8</v>
      </c>
      <c r="M2" s="63">
        <v>4</v>
      </c>
      <c r="N2" s="63">
        <v>3</v>
      </c>
      <c r="O2" s="63">
        <v>2</v>
      </c>
      <c r="P2" s="63">
        <v>1</v>
      </c>
      <c r="Q2" s="63">
        <v>0</v>
      </c>
    </row>
    <row r="3" spans="1:37">
      <c r="A3" s="2" t="s">
        <v>9</v>
      </c>
      <c r="B3" s="7">
        <v>0</v>
      </c>
      <c r="C3" s="7">
        <v>0</v>
      </c>
      <c r="D3" s="7">
        <v>0</v>
      </c>
      <c r="E3" s="7">
        <v>0</v>
      </c>
      <c r="F3" s="8">
        <v>0</v>
      </c>
      <c r="G3" s="9">
        <v>0</v>
      </c>
      <c r="H3" s="9">
        <v>0</v>
      </c>
      <c r="I3" s="9">
        <v>0</v>
      </c>
      <c r="J3" s="9">
        <v>0</v>
      </c>
      <c r="L3" s="65" t="s">
        <v>86</v>
      </c>
      <c r="M3" s="66">
        <v>0.17100000000000001</v>
      </c>
      <c r="N3" s="66">
        <v>0.161</v>
      </c>
      <c r="O3" s="66">
        <v>0.151</v>
      </c>
      <c r="P3" s="66">
        <v>0.14099999999999999</v>
      </c>
      <c r="Q3" s="66"/>
    </row>
    <row r="4" spans="1:37">
      <c r="A4" s="2" t="s">
        <v>0</v>
      </c>
      <c r="B4" s="7">
        <v>0</v>
      </c>
      <c r="C4" s="7">
        <v>0</v>
      </c>
      <c r="D4" s="7">
        <v>0</v>
      </c>
      <c r="E4" s="7">
        <v>0</v>
      </c>
      <c r="F4" s="8">
        <v>0</v>
      </c>
      <c r="G4" s="9">
        <v>0</v>
      </c>
      <c r="H4" s="9">
        <v>0</v>
      </c>
      <c r="I4" s="9">
        <v>0</v>
      </c>
      <c r="J4" s="9">
        <v>0</v>
      </c>
      <c r="L4" s="65" t="s">
        <v>87</v>
      </c>
      <c r="M4" s="66">
        <v>0.161</v>
      </c>
      <c r="N4" s="66">
        <v>0.151</v>
      </c>
      <c r="O4" s="66">
        <v>0.14099999999999999</v>
      </c>
      <c r="P4" s="66">
        <v>0.13100000000000001</v>
      </c>
      <c r="Q4" s="66"/>
    </row>
    <row r="5" spans="1:37">
      <c r="A5" s="2" t="s">
        <v>1</v>
      </c>
      <c r="B5" s="7">
        <v>0</v>
      </c>
      <c r="C5" s="7">
        <v>0</v>
      </c>
      <c r="D5" s="7">
        <v>0.02</v>
      </c>
      <c r="E5" s="7">
        <v>0.02</v>
      </c>
      <c r="F5" s="8">
        <v>0.02</v>
      </c>
      <c r="G5" s="9">
        <v>0.02</v>
      </c>
      <c r="H5" s="9">
        <v>0.02</v>
      </c>
      <c r="I5" s="9">
        <v>0.02</v>
      </c>
      <c r="J5" s="9">
        <v>0.02</v>
      </c>
      <c r="L5" s="65" t="s">
        <v>88</v>
      </c>
      <c r="M5" s="66">
        <v>0.151</v>
      </c>
      <c r="N5" s="66">
        <v>0.14099999999999999</v>
      </c>
      <c r="O5" s="66">
        <v>0.13100000000000001</v>
      </c>
      <c r="P5" s="66">
        <v>0.121</v>
      </c>
      <c r="Q5" s="66"/>
      <c r="AH5" s="11"/>
      <c r="AI5" s="11"/>
      <c r="AJ5" s="11"/>
      <c r="AK5" s="11"/>
    </row>
    <row r="6" spans="1:37">
      <c r="A6" s="2" t="s">
        <v>2</v>
      </c>
      <c r="B6" s="7">
        <v>0.04</v>
      </c>
      <c r="C6" s="7">
        <v>0.04</v>
      </c>
      <c r="D6" s="7">
        <v>0.04</v>
      </c>
      <c r="E6" s="7">
        <v>0.04</v>
      </c>
      <c r="F6" s="8">
        <v>0.04</v>
      </c>
      <c r="G6" s="9">
        <v>0.04</v>
      </c>
      <c r="H6" s="9">
        <v>0.04</v>
      </c>
      <c r="I6" s="9">
        <v>0.04</v>
      </c>
      <c r="J6" s="9">
        <v>0.04</v>
      </c>
      <c r="L6" s="65" t="s">
        <v>89</v>
      </c>
      <c r="M6" s="66">
        <v>0.14099999999999999</v>
      </c>
      <c r="N6" s="66">
        <v>0.13100000000000001</v>
      </c>
      <c r="O6" s="66">
        <v>0.121</v>
      </c>
      <c r="P6" s="66">
        <v>0.111</v>
      </c>
      <c r="Q6" s="66"/>
      <c r="AH6" s="11"/>
      <c r="AI6" s="11"/>
      <c r="AJ6" s="11"/>
      <c r="AK6" s="11"/>
    </row>
    <row r="7" spans="1:37">
      <c r="A7" s="2" t="s">
        <v>3</v>
      </c>
      <c r="B7" s="7">
        <v>0.04</v>
      </c>
      <c r="C7" s="7">
        <v>0.04</v>
      </c>
      <c r="D7" s="7">
        <v>0.04</v>
      </c>
      <c r="E7" s="7">
        <v>0.04</v>
      </c>
      <c r="F7" s="8">
        <v>0.04</v>
      </c>
      <c r="G7" s="9">
        <v>0.04</v>
      </c>
      <c r="H7" s="9">
        <v>0.04</v>
      </c>
      <c r="I7" s="9">
        <v>0.04</v>
      </c>
      <c r="J7" s="9">
        <v>0.04</v>
      </c>
      <c r="L7" s="65" t="s">
        <v>90</v>
      </c>
      <c r="M7" s="66">
        <v>0.13100000000000001</v>
      </c>
      <c r="N7" s="66">
        <v>0.121</v>
      </c>
      <c r="O7" s="66">
        <v>0.111</v>
      </c>
      <c r="P7" s="66">
        <v>0.10100000000000001</v>
      </c>
      <c r="Q7" s="66"/>
      <c r="AH7" s="11"/>
      <c r="AI7" s="11"/>
      <c r="AJ7" s="11"/>
      <c r="AK7" s="11"/>
    </row>
    <row r="8" spans="1:37">
      <c r="A8" s="2" t="s">
        <v>4</v>
      </c>
      <c r="B8" s="7">
        <v>0.06</v>
      </c>
      <c r="C8" s="7">
        <v>0.06</v>
      </c>
      <c r="D8" s="7">
        <v>0.06</v>
      </c>
      <c r="E8" s="7">
        <v>0.06</v>
      </c>
      <c r="F8" s="8">
        <v>0.06</v>
      </c>
      <c r="G8" s="9">
        <v>0.06</v>
      </c>
      <c r="H8" s="9">
        <v>0.06</v>
      </c>
      <c r="I8" s="9">
        <v>0.06</v>
      </c>
      <c r="J8" s="9">
        <v>0.06</v>
      </c>
      <c r="L8" s="65" t="s">
        <v>91</v>
      </c>
      <c r="M8" s="66">
        <v>0.121</v>
      </c>
      <c r="N8" s="66">
        <v>0.111</v>
      </c>
      <c r="O8" s="66">
        <v>0.10100000000000001</v>
      </c>
      <c r="P8" s="66">
        <v>9.0999999999999998E-2</v>
      </c>
      <c r="Q8" s="66"/>
      <c r="AH8" s="11"/>
      <c r="AI8" s="11"/>
      <c r="AJ8" s="11"/>
      <c r="AK8" s="11"/>
    </row>
    <row r="9" spans="1:37">
      <c r="A9" s="2" t="s">
        <v>5</v>
      </c>
      <c r="B9" s="7">
        <v>0.06</v>
      </c>
      <c r="C9" s="7">
        <v>0.06</v>
      </c>
      <c r="D9" s="7">
        <v>0.06</v>
      </c>
      <c r="E9" s="7">
        <v>0.06</v>
      </c>
      <c r="F9" s="8">
        <v>0.06</v>
      </c>
      <c r="G9" s="9">
        <v>0.06</v>
      </c>
      <c r="H9" s="9">
        <v>0.06</v>
      </c>
      <c r="I9" s="9">
        <v>0.06</v>
      </c>
      <c r="J9" s="9">
        <v>0.06</v>
      </c>
      <c r="L9" s="65" t="s">
        <v>92</v>
      </c>
      <c r="M9" s="66">
        <v>0.111</v>
      </c>
      <c r="N9" s="66">
        <v>0.10100000000000001</v>
      </c>
      <c r="O9" s="66">
        <v>9.0999999999999998E-2</v>
      </c>
      <c r="P9" s="66">
        <v>8.1000000000000003E-2</v>
      </c>
      <c r="Q9" s="66"/>
      <c r="AH9" s="11"/>
      <c r="AI9" s="11"/>
      <c r="AJ9" s="11"/>
      <c r="AK9" s="11"/>
    </row>
    <row r="10" spans="1:37">
      <c r="A10" s="2" t="s">
        <v>6</v>
      </c>
      <c r="B10" s="7">
        <v>0.08</v>
      </c>
      <c r="C10" s="7">
        <v>0.08</v>
      </c>
      <c r="D10" s="7">
        <v>0.08</v>
      </c>
      <c r="E10" s="7">
        <v>0.08</v>
      </c>
      <c r="F10" s="8">
        <v>0.08</v>
      </c>
      <c r="G10" s="9">
        <v>0.08</v>
      </c>
      <c r="H10" s="9">
        <v>0.08</v>
      </c>
      <c r="I10" s="9">
        <v>0.08</v>
      </c>
      <c r="J10" s="9">
        <v>0.08</v>
      </c>
      <c r="L10" s="65" t="s">
        <v>93</v>
      </c>
      <c r="M10" s="66">
        <v>0.10100000000000001</v>
      </c>
      <c r="N10" s="66">
        <v>9.0999999999999998E-2</v>
      </c>
      <c r="O10" s="66">
        <v>8.1000000000000003E-2</v>
      </c>
      <c r="P10" s="66">
        <v>7.0999999999999994E-2</v>
      </c>
      <c r="Q10" s="66"/>
      <c r="AH10" s="11"/>
      <c r="AI10" s="11"/>
      <c r="AJ10" s="11"/>
      <c r="AK10" s="11"/>
    </row>
    <row r="11" spans="1:37">
      <c r="A11" s="2" t="s">
        <v>10</v>
      </c>
      <c r="B11" s="7">
        <v>0.08</v>
      </c>
      <c r="C11" s="7">
        <v>0.08</v>
      </c>
      <c r="D11" s="7">
        <v>0.1</v>
      </c>
      <c r="E11" s="7">
        <v>0.1</v>
      </c>
      <c r="F11" s="8">
        <v>0.1</v>
      </c>
      <c r="G11" s="9">
        <v>0.08</v>
      </c>
      <c r="H11" s="9">
        <v>0.08</v>
      </c>
      <c r="I11" s="9">
        <v>0.08</v>
      </c>
      <c r="J11" s="9">
        <v>0.08</v>
      </c>
      <c r="L11" s="65" t="s">
        <v>94</v>
      </c>
      <c r="M11" s="66">
        <v>9.0999999999999998E-2</v>
      </c>
      <c r="N11" s="66">
        <v>8.1000000000000003E-2</v>
      </c>
      <c r="O11" s="66">
        <v>7.0999999999999994E-2</v>
      </c>
      <c r="P11" s="66">
        <v>6.0999999999999999E-2</v>
      </c>
      <c r="Q11" s="66"/>
      <c r="AH11" s="11"/>
      <c r="AI11" s="11"/>
      <c r="AJ11" s="11"/>
      <c r="AK11" s="11"/>
    </row>
    <row r="12" spans="1:37">
      <c r="A12" s="2" t="s">
        <v>11</v>
      </c>
      <c r="B12" s="7">
        <v>0.08</v>
      </c>
      <c r="C12" s="7">
        <v>0.12</v>
      </c>
      <c r="D12" s="7">
        <v>0.12</v>
      </c>
      <c r="E12" s="7">
        <v>0.12</v>
      </c>
      <c r="F12" s="8">
        <v>0.12</v>
      </c>
      <c r="G12" s="9">
        <v>0.1</v>
      </c>
      <c r="H12" s="9">
        <v>0.1</v>
      </c>
      <c r="I12" s="9">
        <v>0.1</v>
      </c>
      <c r="J12" s="9">
        <v>0.1</v>
      </c>
      <c r="L12" s="65" t="s">
        <v>98</v>
      </c>
      <c r="M12" s="66">
        <v>0.14099999999999999</v>
      </c>
      <c r="N12" s="66">
        <v>0.13100000000000001</v>
      </c>
      <c r="O12" s="66">
        <v>0.121</v>
      </c>
      <c r="P12" s="66">
        <v>0.111</v>
      </c>
      <c r="Q12" s="66"/>
      <c r="AH12" s="11"/>
      <c r="AI12" s="11"/>
      <c r="AJ12" s="11"/>
      <c r="AK12" s="11"/>
    </row>
    <row r="13" spans="1:37">
      <c r="A13" s="2" t="s">
        <v>7</v>
      </c>
      <c r="B13" s="7">
        <v>0.1</v>
      </c>
      <c r="C13" s="7">
        <v>0.15</v>
      </c>
      <c r="D13" s="7">
        <v>0.14000000000000001</v>
      </c>
      <c r="E13" s="7">
        <v>0.15</v>
      </c>
      <c r="F13" s="8">
        <v>0.14000000000000001</v>
      </c>
      <c r="G13" s="9">
        <v>0.12</v>
      </c>
      <c r="H13" s="9">
        <v>0.12</v>
      </c>
      <c r="I13" s="9">
        <v>0.12</v>
      </c>
      <c r="J13" s="9">
        <v>0.12</v>
      </c>
      <c r="L13" s="65" t="s">
        <v>99</v>
      </c>
      <c r="M13" s="66">
        <v>0.13100000000000001</v>
      </c>
      <c r="N13" s="66">
        <v>0.121</v>
      </c>
      <c r="O13" s="66">
        <v>0.111</v>
      </c>
      <c r="P13" s="66">
        <v>0.10100000000000001</v>
      </c>
      <c r="Q13" s="66"/>
      <c r="AH13" s="11"/>
      <c r="AI13" s="11"/>
      <c r="AJ13" s="11"/>
      <c r="AK13" s="11"/>
    </row>
    <row r="14" spans="1:37">
      <c r="A14" s="2" t="s">
        <v>12</v>
      </c>
      <c r="B14" s="7">
        <v>0.1</v>
      </c>
      <c r="C14" s="7">
        <v>0.18</v>
      </c>
      <c r="D14" s="7">
        <v>0.15</v>
      </c>
      <c r="E14" s="7">
        <v>0.18</v>
      </c>
      <c r="F14" s="8">
        <v>0.15</v>
      </c>
      <c r="G14" s="9">
        <v>0.13</v>
      </c>
      <c r="H14" s="9">
        <v>0.13</v>
      </c>
      <c r="I14" s="9">
        <v>0.13</v>
      </c>
      <c r="J14" s="9">
        <v>0.13</v>
      </c>
      <c r="L14" s="65" t="s">
        <v>100</v>
      </c>
      <c r="M14" s="66">
        <v>0.121</v>
      </c>
      <c r="N14" s="66">
        <v>0.111</v>
      </c>
      <c r="O14" s="66">
        <v>0.10100000000000001</v>
      </c>
      <c r="P14" s="66">
        <v>9.0999999999999998E-2</v>
      </c>
      <c r="Q14" s="66"/>
      <c r="AH14" s="11"/>
      <c r="AI14" s="11"/>
      <c r="AJ14" s="11"/>
      <c r="AK14" s="11"/>
    </row>
    <row r="15" spans="1:37">
      <c r="A15" s="10" t="s">
        <v>13</v>
      </c>
      <c r="B15" s="7">
        <v>0.1</v>
      </c>
      <c r="C15" s="7">
        <v>0.2</v>
      </c>
      <c r="D15" s="7">
        <v>0.16</v>
      </c>
      <c r="E15" s="7">
        <v>0.2</v>
      </c>
      <c r="F15" s="8">
        <v>0.16</v>
      </c>
      <c r="G15" s="9">
        <v>0.14000000000000001</v>
      </c>
      <c r="H15" s="9">
        <v>0.14000000000000001</v>
      </c>
      <c r="I15" s="9">
        <v>0.14000000000000001</v>
      </c>
      <c r="J15" s="9">
        <v>0.14000000000000001</v>
      </c>
      <c r="L15" s="65" t="s">
        <v>101</v>
      </c>
      <c r="M15" s="66">
        <v>0.111</v>
      </c>
      <c r="N15" s="66">
        <v>0.10100000000000001</v>
      </c>
      <c r="O15" s="66">
        <v>9.0999999999999998E-2</v>
      </c>
      <c r="P15" s="66">
        <v>8.1000000000000003E-2</v>
      </c>
      <c r="Q15" s="66"/>
      <c r="AH15" s="11"/>
      <c r="AI15" s="11"/>
      <c r="AJ15" s="11"/>
      <c r="AK15" s="11"/>
    </row>
    <row r="16" spans="1:37">
      <c r="L16" s="65" t="s">
        <v>102</v>
      </c>
      <c r="M16" s="66">
        <v>0.10100000000000001</v>
      </c>
      <c r="N16" s="66">
        <v>9.0999999999999998E-2</v>
      </c>
      <c r="O16" s="66">
        <v>8.1000000000000003E-2</v>
      </c>
      <c r="P16" s="66">
        <v>7.0999999999999994E-2</v>
      </c>
      <c r="Q16" s="66"/>
      <c r="AH16" s="11"/>
      <c r="AI16" s="11"/>
      <c r="AJ16" s="11"/>
      <c r="AK16" s="11"/>
    </row>
    <row r="17" spans="1:37">
      <c r="A17" s="76"/>
      <c r="B17" s="75"/>
      <c r="C17" s="75"/>
      <c r="D17" s="75"/>
      <c r="E17" s="75"/>
      <c r="F17" s="75"/>
      <c r="L17" s="65" t="s">
        <v>103</v>
      </c>
      <c r="M17" s="66">
        <v>9.0999999999999998E-2</v>
      </c>
      <c r="N17" s="66">
        <v>8.1000000000000003E-2</v>
      </c>
      <c r="O17" s="66">
        <v>7.0999999999999994E-2</v>
      </c>
      <c r="P17" s="66">
        <v>6.0999999999999999E-2</v>
      </c>
      <c r="Q17" s="66"/>
      <c r="AH17" s="11"/>
      <c r="AI17" s="11"/>
      <c r="AJ17" s="11"/>
      <c r="AK17" s="11"/>
    </row>
    <row r="18" spans="1:37">
      <c r="A18" s="76"/>
      <c r="B18" s="77"/>
      <c r="C18" s="77"/>
      <c r="D18" s="77"/>
      <c r="E18" s="77"/>
      <c r="F18" s="77"/>
      <c r="L18" s="65" t="s">
        <v>104</v>
      </c>
      <c r="M18" s="66">
        <v>8.1000000000000003E-2</v>
      </c>
      <c r="N18" s="66">
        <v>7.0999999999999994E-2</v>
      </c>
      <c r="O18" s="66">
        <v>6.0999999999999999E-2</v>
      </c>
      <c r="P18" s="66">
        <v>5.0999999999999997E-2</v>
      </c>
      <c r="Q18" s="66"/>
      <c r="AH18" s="11"/>
      <c r="AI18" s="11"/>
      <c r="AJ18" s="11"/>
      <c r="AK18" s="11"/>
    </row>
    <row r="19" spans="1:37">
      <c r="A19" s="76"/>
      <c r="B19" s="77"/>
      <c r="C19" s="77"/>
      <c r="D19" s="77"/>
      <c r="E19" s="77"/>
      <c r="F19" s="77"/>
      <c r="L19" s="65" t="s">
        <v>105</v>
      </c>
      <c r="M19" s="66">
        <v>7.0999999999999994E-2</v>
      </c>
      <c r="N19" s="66">
        <v>6.0999999999999999E-2</v>
      </c>
      <c r="O19" s="66">
        <v>5.0999999999999997E-2</v>
      </c>
      <c r="P19" s="66">
        <v>4.1000000000000002E-2</v>
      </c>
      <c r="Q19" s="66"/>
      <c r="AH19" s="11"/>
      <c r="AI19" s="11"/>
      <c r="AJ19" s="11"/>
      <c r="AK19" s="11"/>
    </row>
    <row r="20" spans="1:37">
      <c r="A20" s="76"/>
      <c r="B20" s="77"/>
      <c r="C20" s="77"/>
      <c r="D20" s="77"/>
      <c r="E20" s="77"/>
      <c r="F20" s="77"/>
      <c r="L20" s="65" t="s">
        <v>95</v>
      </c>
      <c r="M20" s="66">
        <v>8.1000000000000003E-2</v>
      </c>
      <c r="N20" s="66">
        <v>7.0999999999999994E-2</v>
      </c>
      <c r="O20" s="66">
        <v>6.0999999999999999E-2</v>
      </c>
      <c r="P20" s="66">
        <v>5.0999999999999997E-2</v>
      </c>
      <c r="Q20" s="66"/>
      <c r="AH20" s="11"/>
      <c r="AI20" s="11"/>
      <c r="AJ20" s="11"/>
      <c r="AK20" s="11"/>
    </row>
    <row r="21" spans="1:37">
      <c r="A21" s="76"/>
      <c r="B21" s="77"/>
      <c r="C21" s="77"/>
      <c r="D21" s="77"/>
      <c r="E21" s="77"/>
      <c r="F21" s="77"/>
      <c r="L21" s="65" t="s">
        <v>95</v>
      </c>
      <c r="M21" s="66">
        <v>7.0999999999999994E-2</v>
      </c>
      <c r="N21" s="66">
        <v>6.0999999999999999E-2</v>
      </c>
      <c r="O21" s="66">
        <v>5.0999999999999997E-2</v>
      </c>
      <c r="P21" s="66">
        <v>4.1000000000000002E-2</v>
      </c>
      <c r="Q21" s="66"/>
      <c r="AH21" s="11"/>
      <c r="AI21" s="11"/>
      <c r="AJ21" s="11"/>
      <c r="AK21" s="11"/>
    </row>
    <row r="22" spans="1:37">
      <c r="A22" s="76"/>
      <c r="B22" s="77"/>
      <c r="C22" s="77"/>
      <c r="D22" s="77"/>
      <c r="E22" s="77"/>
      <c r="F22" s="77"/>
      <c r="AH22" s="11"/>
      <c r="AI22" s="11"/>
      <c r="AJ22" s="11"/>
      <c r="AK22" s="11"/>
    </row>
    <row r="23" spans="1:37">
      <c r="A23" s="76"/>
      <c r="B23" s="77"/>
      <c r="C23" s="77"/>
      <c r="D23" s="77"/>
      <c r="E23" s="77"/>
      <c r="F23" s="77"/>
      <c r="AH23" s="11"/>
      <c r="AI23" s="11"/>
      <c r="AJ23" s="11"/>
      <c r="AK23" s="11"/>
    </row>
    <row r="24" spans="1:37">
      <c r="A24" s="76"/>
      <c r="B24" s="77"/>
      <c r="C24" s="77"/>
      <c r="D24" s="77"/>
      <c r="E24" s="77"/>
      <c r="F24" s="77"/>
      <c r="AH24" s="11"/>
      <c r="AI24" s="11"/>
      <c r="AJ24" s="11"/>
      <c r="AK24" s="11"/>
    </row>
    <row r="25" spans="1:37">
      <c r="A25" s="76"/>
      <c r="B25" s="77"/>
      <c r="C25" s="77"/>
      <c r="D25" s="77"/>
      <c r="E25" s="77"/>
      <c r="F25" s="77"/>
      <c r="AH25" s="11"/>
      <c r="AI25" s="11"/>
      <c r="AJ25" s="11"/>
      <c r="AK25" s="11"/>
    </row>
    <row r="26" spans="1:37">
      <c r="A26" s="76"/>
      <c r="B26" s="77"/>
      <c r="C26" s="77"/>
      <c r="D26" s="77"/>
      <c r="E26" s="77"/>
      <c r="F26" s="77"/>
      <c r="AH26" s="11"/>
      <c r="AI26" s="11"/>
      <c r="AJ26" s="11"/>
      <c r="AK26" s="11"/>
    </row>
    <row r="27" spans="1:37">
      <c r="A27" s="76"/>
      <c r="B27" s="77"/>
      <c r="C27" s="77"/>
      <c r="D27" s="77"/>
      <c r="E27" s="77"/>
      <c r="F27" s="77"/>
      <c r="AH27" s="11"/>
      <c r="AI27" s="11"/>
      <c r="AJ27" s="11"/>
      <c r="AK27" s="11"/>
    </row>
    <row r="28" spans="1:37">
      <c r="A28" s="76"/>
      <c r="B28" s="77"/>
      <c r="C28" s="77"/>
      <c r="D28" s="77"/>
      <c r="E28" s="77"/>
      <c r="F28" s="77"/>
      <c r="AH28" s="11"/>
      <c r="AI28" s="11"/>
      <c r="AJ28" s="11"/>
      <c r="AK28" s="11"/>
    </row>
    <row r="29" spans="1:37">
      <c r="A29" s="76"/>
      <c r="B29" s="77"/>
      <c r="C29" s="77"/>
      <c r="D29" s="77"/>
      <c r="E29" s="77"/>
      <c r="F29" s="77"/>
      <c r="AH29" s="11"/>
      <c r="AI29" s="11"/>
      <c r="AJ29" s="11"/>
      <c r="AK29" s="11"/>
    </row>
    <row r="30" spans="1:37">
      <c r="A30" s="76"/>
      <c r="B30" s="77"/>
      <c r="C30" s="77"/>
      <c r="D30" s="77"/>
      <c r="E30" s="77"/>
      <c r="F30" s="77"/>
      <c r="AH30" s="11"/>
      <c r="AI30" s="11"/>
      <c r="AJ30" s="11"/>
      <c r="AK30" s="11"/>
    </row>
    <row r="31" spans="1:37">
      <c r="A31" s="76"/>
      <c r="B31" s="77"/>
      <c r="C31" s="77"/>
      <c r="D31" s="77"/>
      <c r="E31" s="77"/>
      <c r="F31" s="77"/>
      <c r="AH31" s="11"/>
      <c r="AI31" s="11"/>
      <c r="AJ31" s="11"/>
      <c r="AK31" s="11"/>
    </row>
    <row r="32" spans="1:37">
      <c r="A32" s="76"/>
      <c r="B32" s="77"/>
      <c r="C32" s="77"/>
      <c r="D32" s="77"/>
      <c r="E32" s="77"/>
      <c r="F32" s="77"/>
      <c r="AH32" s="11"/>
      <c r="AI32" s="11"/>
      <c r="AJ32" s="11"/>
      <c r="AK32" s="11"/>
    </row>
    <row r="33" spans="1:37">
      <c r="A33" s="76"/>
      <c r="B33" s="77"/>
      <c r="C33" s="77"/>
      <c r="D33" s="77"/>
      <c r="E33" s="77"/>
      <c r="F33" s="77"/>
      <c r="AH33" s="11"/>
      <c r="AI33" s="11"/>
      <c r="AJ33" s="11"/>
      <c r="AK33" s="11"/>
    </row>
    <row r="34" spans="1:37">
      <c r="A34" s="76"/>
      <c r="B34" s="77"/>
      <c r="C34" s="77"/>
      <c r="D34" s="77"/>
      <c r="E34" s="77"/>
      <c r="F34" s="77"/>
      <c r="AH34" s="11"/>
      <c r="AI34" s="11"/>
      <c r="AJ34" s="11"/>
      <c r="AK34" s="11"/>
    </row>
    <row r="35" spans="1:37">
      <c r="A35" s="76"/>
      <c r="B35" s="77"/>
      <c r="C35" s="77"/>
      <c r="D35" s="77"/>
      <c r="E35" s="77"/>
      <c r="F35" s="77"/>
      <c r="AH35" s="11"/>
      <c r="AI35" s="11"/>
      <c r="AJ35" s="11"/>
      <c r="AK35" s="11"/>
    </row>
    <row r="36" spans="1:37">
      <c r="A36" s="76"/>
      <c r="B36" s="77"/>
      <c r="C36" s="77"/>
      <c r="D36" s="77"/>
      <c r="E36" s="77"/>
      <c r="F36" s="77"/>
      <c r="AH36" s="11"/>
      <c r="AI36" s="11"/>
      <c r="AJ36" s="11"/>
      <c r="AK36" s="11"/>
    </row>
    <row r="37" spans="1:37">
      <c r="AH37" s="11"/>
      <c r="AI37" s="11"/>
      <c r="AJ37" s="11"/>
      <c r="AK37" s="11"/>
    </row>
    <row r="38" spans="1:37">
      <c r="AH38" s="11"/>
      <c r="AI38" s="11"/>
      <c r="AJ38" s="11"/>
      <c r="AK38" s="11"/>
    </row>
    <row r="39" spans="1:37">
      <c r="AH39" s="11"/>
      <c r="AI39" s="11"/>
      <c r="AJ39" s="11"/>
      <c r="AK39" s="11"/>
    </row>
    <row r="40" spans="1:37">
      <c r="AH40" s="11"/>
      <c r="AI40" s="11"/>
      <c r="AJ40" s="11"/>
      <c r="AK40" s="11"/>
    </row>
    <row r="41" spans="1:37">
      <c r="AH41" s="11"/>
      <c r="AI41" s="11"/>
      <c r="AJ41" s="11"/>
      <c r="AK41" s="11"/>
    </row>
    <row r="42" spans="1:37">
      <c r="AH42" s="11"/>
      <c r="AI42" s="11"/>
      <c r="AJ42" s="11"/>
      <c r="AK42" s="11"/>
    </row>
    <row r="43" spans="1:37">
      <c r="AH43" s="11"/>
      <c r="AI43" s="11"/>
      <c r="AJ43" s="11"/>
      <c r="AK43" s="11"/>
    </row>
    <row r="44" spans="1:37">
      <c r="AH44" s="11"/>
      <c r="AI44" s="11"/>
      <c r="AJ44" s="11"/>
      <c r="AK44" s="11"/>
    </row>
    <row r="45" spans="1:37">
      <c r="AH45" s="11"/>
      <c r="AI45" s="11"/>
      <c r="AJ45" s="11"/>
      <c r="AK45" s="11"/>
    </row>
    <row r="46" spans="1:37">
      <c r="AH46" s="11"/>
      <c r="AI46" s="11"/>
      <c r="AJ46" s="11"/>
      <c r="AK46" s="11"/>
    </row>
    <row r="47" spans="1:37">
      <c r="AH47" s="11"/>
      <c r="AI47" s="11"/>
      <c r="AJ47" s="11"/>
      <c r="AK47" s="11"/>
    </row>
    <row r="48" spans="1:37">
      <c r="AH48" s="11"/>
      <c r="AI48" s="11"/>
      <c r="AJ48" s="11"/>
      <c r="AK48" s="11"/>
    </row>
    <row r="49" spans="34:37">
      <c r="AH49" s="11"/>
      <c r="AI49" s="11"/>
      <c r="AJ49" s="11"/>
      <c r="AK49" s="11"/>
    </row>
    <row r="50" spans="34:37">
      <c r="AH50" s="11"/>
      <c r="AI50" s="11"/>
      <c r="AJ50" s="11"/>
      <c r="AK50" s="11"/>
    </row>
    <row r="51" spans="34:37">
      <c r="AH51" s="11"/>
      <c r="AI51" s="11"/>
      <c r="AJ51" s="11"/>
      <c r="AK51" s="11"/>
    </row>
    <row r="52" spans="34:37">
      <c r="AH52" s="11"/>
      <c r="AI52" s="11"/>
      <c r="AJ52" s="11"/>
      <c r="AK52" s="11"/>
    </row>
    <row r="53" spans="34:37">
      <c r="AH53" s="11"/>
      <c r="AI53" s="11"/>
      <c r="AJ53" s="11"/>
      <c r="AK53" s="11"/>
    </row>
    <row r="54" spans="34:37">
      <c r="AH54" s="11"/>
      <c r="AI54" s="11"/>
      <c r="AJ54" s="11"/>
      <c r="AK54" s="11"/>
    </row>
    <row r="55" spans="34:37">
      <c r="AH55" s="11"/>
      <c r="AI55" s="11"/>
      <c r="AJ55" s="11"/>
      <c r="AK55" s="11"/>
    </row>
    <row r="56" spans="34:37">
      <c r="AH56" s="11"/>
      <c r="AI56" s="11"/>
      <c r="AJ56" s="11"/>
      <c r="AK56" s="11"/>
    </row>
    <row r="57" spans="34:37">
      <c r="AH57" s="11"/>
      <c r="AI57" s="11"/>
      <c r="AJ57" s="11"/>
      <c r="AK57" s="11"/>
    </row>
    <row r="58" spans="34:37">
      <c r="AH58" s="11"/>
      <c r="AI58" s="11"/>
      <c r="AJ58" s="11"/>
      <c r="AK58" s="11"/>
    </row>
    <row r="59" spans="34:37">
      <c r="AH59" s="11"/>
      <c r="AI59" s="11"/>
      <c r="AJ59" s="11"/>
      <c r="AK59" s="11"/>
    </row>
    <row r="60" spans="34:37">
      <c r="AH60" s="11"/>
      <c r="AI60" s="11"/>
      <c r="AJ60" s="11"/>
      <c r="AK60" s="11"/>
    </row>
    <row r="61" spans="34:37">
      <c r="AH61" s="11"/>
      <c r="AI61" s="11"/>
      <c r="AJ61" s="11"/>
      <c r="AK61" s="11"/>
    </row>
    <row r="62" spans="34:37">
      <c r="AH62" s="11"/>
      <c r="AI62" s="11"/>
      <c r="AJ62" s="11"/>
      <c r="AK62" s="11"/>
    </row>
    <row r="63" spans="34:37">
      <c r="AH63" s="11"/>
      <c r="AI63" s="11"/>
      <c r="AJ63" s="11"/>
      <c r="AK63" s="11"/>
    </row>
    <row r="64" spans="34:37">
      <c r="AH64" s="11"/>
      <c r="AI64" s="11"/>
      <c r="AJ64" s="11"/>
      <c r="AK64" s="11"/>
    </row>
    <row r="65" spans="34:37">
      <c r="AH65" s="11"/>
      <c r="AI65" s="11"/>
      <c r="AJ65" s="11"/>
      <c r="AK65" s="11"/>
    </row>
    <row r="66" spans="34:37">
      <c r="AH66" s="11"/>
      <c r="AI66" s="11"/>
      <c r="AJ66" s="11"/>
      <c r="AK66" s="11"/>
    </row>
    <row r="67" spans="34:37">
      <c r="AH67" s="11"/>
      <c r="AI67" s="11"/>
      <c r="AJ67" s="11"/>
      <c r="AK67" s="11"/>
    </row>
    <row r="68" spans="34:37">
      <c r="AH68" s="11"/>
      <c r="AI68" s="11"/>
      <c r="AJ68" s="11"/>
      <c r="AK68" s="11"/>
    </row>
    <row r="69" spans="34:37">
      <c r="AH69" s="11"/>
      <c r="AI69" s="11"/>
      <c r="AJ69" s="11"/>
      <c r="AK69" s="11"/>
    </row>
    <row r="70" spans="34:37">
      <c r="AH70" s="11"/>
      <c r="AI70" s="11"/>
      <c r="AJ70" s="11"/>
      <c r="AK70" s="11"/>
    </row>
    <row r="71" spans="34:37">
      <c r="AH71" s="11"/>
      <c r="AI71" s="11"/>
      <c r="AJ71" s="11"/>
      <c r="AK71" s="11"/>
    </row>
    <row r="72" spans="34:37">
      <c r="AH72" s="11"/>
      <c r="AI72" s="11"/>
      <c r="AJ72" s="11"/>
      <c r="AK72" s="11"/>
    </row>
    <row r="73" spans="34:37">
      <c r="AH73" s="11"/>
      <c r="AI73" s="11"/>
      <c r="AJ73" s="11"/>
      <c r="AK73" s="11"/>
    </row>
    <row r="74" spans="34:37">
      <c r="AH74" s="11"/>
      <c r="AI74" s="11"/>
      <c r="AJ74" s="11"/>
      <c r="AK74" s="11"/>
    </row>
    <row r="75" spans="34:37">
      <c r="AH75" s="11"/>
      <c r="AI75" s="11"/>
      <c r="AJ75" s="11"/>
      <c r="AK75" s="11"/>
    </row>
    <row r="76" spans="34:37">
      <c r="AH76" s="11"/>
      <c r="AI76" s="11"/>
      <c r="AJ76" s="11"/>
      <c r="AK76" s="11"/>
    </row>
    <row r="77" spans="34:37">
      <c r="AH77" s="11"/>
      <c r="AI77" s="11"/>
      <c r="AJ77" s="11"/>
      <c r="AK77" s="11"/>
    </row>
    <row r="78" spans="34:37">
      <c r="AH78" s="11"/>
      <c r="AI78" s="11"/>
      <c r="AJ78" s="11"/>
      <c r="AK78" s="11"/>
    </row>
    <row r="79" spans="34:37">
      <c r="AH79" s="11"/>
      <c r="AI79" s="11"/>
      <c r="AJ79" s="11"/>
      <c r="AK79" s="11"/>
    </row>
    <row r="80" spans="34:37">
      <c r="AH80" s="11"/>
      <c r="AI80" s="11"/>
      <c r="AJ80" s="11"/>
      <c r="AK80" s="11"/>
    </row>
    <row r="81" spans="34:37">
      <c r="AH81" s="11"/>
      <c r="AI81" s="11"/>
      <c r="AJ81" s="11"/>
      <c r="AK81" s="11"/>
    </row>
    <row r="82" spans="34:37">
      <c r="AH82" s="11"/>
      <c r="AI82" s="11"/>
      <c r="AJ82" s="11"/>
      <c r="AK82" s="11"/>
    </row>
    <row r="83" spans="34:37">
      <c r="AH83" s="11"/>
      <c r="AI83" s="11"/>
      <c r="AJ83" s="11"/>
      <c r="AK83" s="11"/>
    </row>
    <row r="84" spans="34:37">
      <c r="AH84" s="11"/>
      <c r="AI84" s="11"/>
      <c r="AJ84" s="11"/>
      <c r="AK84" s="11"/>
    </row>
    <row r="85" spans="34:37">
      <c r="AH85" s="11"/>
      <c r="AI85" s="11"/>
      <c r="AJ85" s="11"/>
      <c r="AK85" s="11"/>
    </row>
    <row r="86" spans="34:37">
      <c r="AH86" s="11"/>
      <c r="AI86" s="11"/>
      <c r="AJ86" s="11"/>
      <c r="AK86" s="11"/>
    </row>
    <row r="87" spans="34:37">
      <c r="AH87" s="11"/>
      <c r="AI87" s="11"/>
      <c r="AJ87" s="11"/>
      <c r="AK87" s="11"/>
    </row>
    <row r="88" spans="34:37">
      <c r="AH88" s="11"/>
      <c r="AI88" s="11"/>
      <c r="AJ88" s="11"/>
      <c r="AK88" s="11"/>
    </row>
    <row r="89" spans="34:37">
      <c r="AH89" s="11"/>
      <c r="AI89" s="11"/>
      <c r="AJ89" s="11"/>
      <c r="AK89" s="11"/>
    </row>
    <row r="90" spans="34:37">
      <c r="AH90" s="11"/>
      <c r="AI90" s="11"/>
      <c r="AJ90" s="11"/>
      <c r="AK90" s="11"/>
    </row>
    <row r="91" spans="34:37">
      <c r="AH91" s="11"/>
      <c r="AI91" s="11"/>
      <c r="AJ91" s="11"/>
      <c r="AK91" s="11"/>
    </row>
    <row r="92" spans="34:37">
      <c r="AH92" s="11"/>
      <c r="AI92" s="11"/>
      <c r="AJ92" s="11"/>
      <c r="AK92" s="11"/>
    </row>
    <row r="93" spans="34:37">
      <c r="AH93" s="11"/>
      <c r="AI93" s="11"/>
      <c r="AJ93" s="11"/>
      <c r="AK93" s="11"/>
    </row>
    <row r="94" spans="34:37">
      <c r="AH94" s="11"/>
      <c r="AI94" s="11"/>
      <c r="AJ94" s="11"/>
      <c r="AK94" s="11"/>
    </row>
    <row r="95" spans="34:37">
      <c r="AH95" s="11"/>
      <c r="AI95" s="11"/>
      <c r="AJ95" s="11"/>
      <c r="AK95" s="11"/>
    </row>
    <row r="96" spans="34:37">
      <c r="AH96" s="11"/>
      <c r="AI96" s="11"/>
      <c r="AJ96" s="11"/>
      <c r="AK96" s="11"/>
    </row>
    <row r="97" spans="34:37">
      <c r="AH97" s="11"/>
      <c r="AI97" s="11"/>
      <c r="AJ97" s="11"/>
      <c r="AK97" s="11"/>
    </row>
    <row r="98" spans="34:37">
      <c r="AH98" s="11"/>
      <c r="AI98" s="11"/>
      <c r="AJ98" s="11"/>
      <c r="AK98" s="11"/>
    </row>
    <row r="99" spans="34:37">
      <c r="AH99" s="11"/>
      <c r="AI99" s="11"/>
      <c r="AJ99" s="11"/>
      <c r="AK99" s="11"/>
    </row>
    <row r="100" spans="34:37">
      <c r="AH100" s="11"/>
      <c r="AI100" s="11"/>
      <c r="AJ100" s="11"/>
      <c r="AK100" s="11"/>
    </row>
    <row r="101" spans="34:37">
      <c r="AH101" s="11"/>
      <c r="AI101" s="11"/>
      <c r="AJ101" s="11"/>
      <c r="AK101" s="11"/>
    </row>
    <row r="102" spans="34:37">
      <c r="AH102" s="11"/>
      <c r="AI102" s="11"/>
      <c r="AJ102" s="11"/>
      <c r="AK102" s="11"/>
    </row>
    <row r="103" spans="34:37">
      <c r="AH103" s="11"/>
      <c r="AI103" s="11"/>
      <c r="AJ103" s="11"/>
      <c r="AK103" s="11"/>
    </row>
    <row r="104" spans="34:37">
      <c r="AH104" s="11"/>
      <c r="AI104" s="11"/>
      <c r="AJ104" s="11"/>
      <c r="AK104" s="11"/>
    </row>
    <row r="105" spans="34:37">
      <c r="AH105" s="11"/>
      <c r="AI105" s="11"/>
      <c r="AJ105" s="11"/>
      <c r="AK105" s="11"/>
    </row>
    <row r="106" spans="34:37">
      <c r="AH106" s="11"/>
      <c r="AI106" s="11"/>
      <c r="AJ106" s="11"/>
      <c r="AK106" s="11"/>
    </row>
    <row r="107" spans="34:37">
      <c r="AH107" s="11"/>
      <c r="AI107" s="11"/>
      <c r="AJ107" s="11"/>
      <c r="AK107" s="11"/>
    </row>
    <row r="108" spans="34:37">
      <c r="AH108" s="11"/>
      <c r="AI108" s="11"/>
      <c r="AJ108" s="11"/>
      <c r="AK108" s="11"/>
    </row>
    <row r="109" spans="34:37">
      <c r="AH109" s="11"/>
      <c r="AI109" s="11"/>
      <c r="AJ109" s="11"/>
      <c r="AK109" s="11"/>
    </row>
    <row r="110" spans="34:37">
      <c r="AH110" s="11"/>
      <c r="AI110" s="11"/>
      <c r="AJ110" s="11"/>
      <c r="AK110" s="11"/>
    </row>
    <row r="111" spans="34:37">
      <c r="AH111" s="11"/>
      <c r="AI111" s="11"/>
      <c r="AJ111" s="11"/>
      <c r="AK111" s="11"/>
    </row>
    <row r="112" spans="34:37">
      <c r="AH112" s="11"/>
      <c r="AI112" s="11"/>
      <c r="AJ112" s="11"/>
      <c r="AK112" s="11"/>
    </row>
    <row r="113" spans="34:37">
      <c r="AH113" s="11"/>
      <c r="AI113" s="11"/>
      <c r="AJ113" s="11"/>
      <c r="AK113" s="11"/>
    </row>
    <row r="114" spans="34:37">
      <c r="AH114" s="11"/>
      <c r="AI114" s="11"/>
      <c r="AJ114" s="11"/>
      <c r="AK114" s="11"/>
    </row>
    <row r="115" spans="34:37">
      <c r="AH115" s="11"/>
      <c r="AI115" s="11"/>
      <c r="AJ115" s="11"/>
      <c r="AK115" s="11"/>
    </row>
    <row r="116" spans="34:37">
      <c r="AH116" s="11"/>
      <c r="AI116" s="11"/>
      <c r="AJ116" s="11"/>
      <c r="AK116" s="11"/>
    </row>
    <row r="117" spans="34:37">
      <c r="AH117" s="11"/>
      <c r="AI117" s="11"/>
      <c r="AJ117" s="11"/>
      <c r="AK117" s="11"/>
    </row>
    <row r="118" spans="34:37">
      <c r="AH118" s="11"/>
      <c r="AI118" s="11"/>
      <c r="AJ118" s="11"/>
      <c r="AK118" s="11"/>
    </row>
    <row r="119" spans="34:37">
      <c r="AH119" s="11"/>
      <c r="AI119" s="11"/>
      <c r="AJ119" s="11"/>
      <c r="AK119" s="11"/>
    </row>
    <row r="120" spans="34:37">
      <c r="AH120" s="11"/>
      <c r="AI120" s="11"/>
      <c r="AJ120" s="11"/>
      <c r="AK120" s="11"/>
    </row>
    <row r="121" spans="34:37">
      <c r="AH121" s="11"/>
      <c r="AI121" s="11"/>
      <c r="AJ121" s="11"/>
      <c r="AK121" s="11"/>
    </row>
    <row r="122" spans="34:37">
      <c r="AH122" s="11"/>
      <c r="AI122" s="11"/>
      <c r="AJ122" s="11"/>
      <c r="AK122" s="11"/>
    </row>
    <row r="123" spans="34:37">
      <c r="AH123" s="11"/>
      <c r="AI123" s="11"/>
      <c r="AJ123" s="11"/>
      <c r="AK123" s="11"/>
    </row>
    <row r="124" spans="34:37">
      <c r="AH124" s="11"/>
      <c r="AI124" s="11"/>
      <c r="AJ124" s="11"/>
      <c r="AK124" s="11"/>
    </row>
    <row r="125" spans="34:37">
      <c r="AH125" s="11"/>
      <c r="AI125" s="11"/>
      <c r="AJ125" s="11"/>
      <c r="AK125" s="11"/>
    </row>
  </sheetData>
  <phoneticPr fontId="16" type="noConversion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B2:N25"/>
  <sheetViews>
    <sheetView workbookViewId="0">
      <selection activeCell="I5" sqref="I5:J16"/>
    </sheetView>
  </sheetViews>
  <sheetFormatPr defaultRowHeight="14.4"/>
  <cols>
    <col min="2" max="2" width="11.33203125" bestFit="1" customWidth="1"/>
    <col min="12" max="12" width="17.44140625" style="64" bestFit="1" customWidth="1"/>
    <col min="13" max="14" width="8.77734375" style="64"/>
  </cols>
  <sheetData>
    <row r="2" spans="2:14">
      <c r="L2" s="74" t="s">
        <v>106</v>
      </c>
    </row>
    <row r="3" spans="2:14">
      <c r="C3" t="s">
        <v>82</v>
      </c>
      <c r="E3" t="s">
        <v>83</v>
      </c>
    </row>
    <row r="4" spans="2:14">
      <c r="B4" s="23" t="s">
        <v>32</v>
      </c>
      <c r="C4" s="23" t="s">
        <v>84</v>
      </c>
      <c r="D4" s="23" t="s">
        <v>79</v>
      </c>
      <c r="E4" s="24"/>
      <c r="F4" s="24"/>
      <c r="G4" s="24"/>
      <c r="I4">
        <v>1.2</v>
      </c>
      <c r="L4" s="67" t="s">
        <v>82</v>
      </c>
      <c r="M4" s="67"/>
      <c r="N4" s="67"/>
    </row>
    <row r="5" spans="2:14">
      <c r="B5" s="69" t="s">
        <v>86</v>
      </c>
      <c r="C5" s="70">
        <v>0</v>
      </c>
      <c r="D5" s="70">
        <v>0</v>
      </c>
      <c r="E5" s="25"/>
      <c r="I5" s="32">
        <v>0.1</v>
      </c>
      <c r="J5" s="26">
        <v>0.83333333333333337</v>
      </c>
      <c r="L5" s="68" t="s">
        <v>32</v>
      </c>
      <c r="M5" s="68" t="s">
        <v>84</v>
      </c>
      <c r="N5" s="68" t="s">
        <v>85</v>
      </c>
    </row>
    <row r="6" spans="2:14">
      <c r="B6" s="71" t="s">
        <v>87</v>
      </c>
      <c r="C6" s="72">
        <v>0.02</v>
      </c>
      <c r="D6" s="72">
        <v>0.02</v>
      </c>
      <c r="E6" s="25"/>
      <c r="I6">
        <v>0.11</v>
      </c>
      <c r="J6" s="26">
        <v>0.91666666666666674</v>
      </c>
      <c r="L6" s="69" t="s">
        <v>86</v>
      </c>
      <c r="M6" s="70">
        <v>0</v>
      </c>
      <c r="N6" s="70">
        <v>0</v>
      </c>
    </row>
    <row r="7" spans="2:14">
      <c r="B7" s="71" t="s">
        <v>88</v>
      </c>
      <c r="C7" s="72">
        <v>0.03</v>
      </c>
      <c r="D7" s="72">
        <v>0.03</v>
      </c>
      <c r="E7" s="25"/>
      <c r="I7">
        <v>0.1</v>
      </c>
      <c r="J7" s="26">
        <v>8.3333333333333343E-2</v>
      </c>
      <c r="L7" s="71" t="s">
        <v>87</v>
      </c>
      <c r="M7" s="72">
        <v>0.02</v>
      </c>
      <c r="N7" s="72">
        <v>0.02</v>
      </c>
    </row>
    <row r="8" spans="2:14">
      <c r="B8" s="71" t="s">
        <v>89</v>
      </c>
      <c r="C8" s="72">
        <v>0.04</v>
      </c>
      <c r="D8" s="72">
        <v>0.04</v>
      </c>
      <c r="E8" s="25"/>
      <c r="I8">
        <v>0.2</v>
      </c>
      <c r="J8" s="26">
        <v>0.16666666666666669</v>
      </c>
      <c r="L8" s="71" t="s">
        <v>88</v>
      </c>
      <c r="M8" s="72">
        <v>0.03</v>
      </c>
      <c r="N8" s="72">
        <v>0.03</v>
      </c>
    </row>
    <row r="9" spans="2:14">
      <c r="B9" s="71" t="s">
        <v>90</v>
      </c>
      <c r="C9" s="72">
        <v>0.05</v>
      </c>
      <c r="D9" s="72">
        <v>0.05</v>
      </c>
      <c r="E9" s="25"/>
      <c r="I9">
        <v>0.3</v>
      </c>
      <c r="J9" s="26">
        <v>0.25</v>
      </c>
      <c r="L9" s="71" t="s">
        <v>89</v>
      </c>
      <c r="M9" s="72">
        <v>0.04</v>
      </c>
      <c r="N9" s="72">
        <v>0.04</v>
      </c>
    </row>
    <row r="10" spans="2:14">
      <c r="B10" s="71" t="s">
        <v>91</v>
      </c>
      <c r="C10" s="72">
        <v>0.06</v>
      </c>
      <c r="D10" s="72">
        <v>0.06</v>
      </c>
      <c r="E10" s="25"/>
      <c r="I10">
        <v>0.4</v>
      </c>
      <c r="J10" s="26">
        <v>0.33333333333333337</v>
      </c>
      <c r="L10" s="71" t="s">
        <v>90</v>
      </c>
      <c r="M10" s="72">
        <v>0.05</v>
      </c>
      <c r="N10" s="72">
        <v>0.05</v>
      </c>
    </row>
    <row r="11" spans="2:14">
      <c r="B11" s="71" t="s">
        <v>92</v>
      </c>
      <c r="C11" s="72">
        <v>7.0000000000000007E-2</v>
      </c>
      <c r="D11" s="72">
        <v>7.0000000000000007E-2</v>
      </c>
      <c r="E11" s="25"/>
      <c r="I11">
        <v>0.5</v>
      </c>
      <c r="J11" s="26">
        <v>0.41666666666666669</v>
      </c>
      <c r="L11" s="71" t="s">
        <v>91</v>
      </c>
      <c r="M11" s="72">
        <v>0.06</v>
      </c>
      <c r="N11" s="72">
        <v>0.06</v>
      </c>
    </row>
    <row r="12" spans="2:14">
      <c r="B12" s="71" t="s">
        <v>93</v>
      </c>
      <c r="C12" s="72">
        <v>7.0000000000000007E-2</v>
      </c>
      <c r="D12" s="72">
        <v>7.0000000000000007E-2</v>
      </c>
      <c r="E12" s="25"/>
      <c r="I12">
        <v>0.6</v>
      </c>
      <c r="J12" s="26">
        <v>0.5</v>
      </c>
      <c r="L12" s="71" t="s">
        <v>92</v>
      </c>
      <c r="M12" s="72">
        <v>7.0000000000000007E-2</v>
      </c>
      <c r="N12" s="72">
        <v>7.0000000000000007E-2</v>
      </c>
    </row>
    <row r="13" spans="2:14">
      <c r="B13" s="71" t="s">
        <v>94</v>
      </c>
      <c r="C13" s="72">
        <v>0.08</v>
      </c>
      <c r="D13" s="72">
        <v>0.08</v>
      </c>
      <c r="E13" s="25"/>
      <c r="I13">
        <v>0.7</v>
      </c>
      <c r="J13" s="26">
        <v>0.58333333333333337</v>
      </c>
      <c r="L13" s="71" t="s">
        <v>93</v>
      </c>
      <c r="M13" s="72">
        <v>7.0000000000000007E-2</v>
      </c>
      <c r="N13" s="72">
        <v>7.0000000000000007E-2</v>
      </c>
    </row>
    <row r="14" spans="2:14">
      <c r="B14" s="71" t="s">
        <v>95</v>
      </c>
      <c r="C14" s="72">
        <v>0.08</v>
      </c>
      <c r="D14" s="72">
        <v>0.08</v>
      </c>
      <c r="E14" s="25"/>
      <c r="I14">
        <v>0.8</v>
      </c>
      <c r="J14" s="26">
        <v>0.66666666666666674</v>
      </c>
      <c r="L14" s="71" t="s">
        <v>94</v>
      </c>
      <c r="M14" s="72">
        <v>0.08</v>
      </c>
      <c r="N14" s="72">
        <v>0.08</v>
      </c>
    </row>
    <row r="15" spans="2:14">
      <c r="B15" s="71" t="s">
        <v>96</v>
      </c>
      <c r="C15" s="72">
        <v>0.08</v>
      </c>
      <c r="D15" s="72">
        <v>0.08</v>
      </c>
      <c r="E15" s="25"/>
      <c r="I15">
        <v>0.9</v>
      </c>
      <c r="J15" s="26">
        <v>0.75</v>
      </c>
      <c r="L15" s="71" t="s">
        <v>95</v>
      </c>
      <c r="M15" s="72">
        <v>0.08</v>
      </c>
      <c r="N15" s="72">
        <v>0.08</v>
      </c>
    </row>
    <row r="16" spans="2:14">
      <c r="B16" s="71" t="s">
        <v>97</v>
      </c>
      <c r="C16" s="72">
        <v>0.09</v>
      </c>
      <c r="D16" s="72">
        <v>0.09</v>
      </c>
      <c r="E16" s="25"/>
      <c r="I16">
        <v>1</v>
      </c>
      <c r="J16" s="26">
        <v>1</v>
      </c>
      <c r="L16" s="71" t="s">
        <v>96</v>
      </c>
      <c r="M16" s="72">
        <v>0.08</v>
      </c>
      <c r="N16" s="72">
        <v>0.08</v>
      </c>
    </row>
    <row r="17" spans="2:14">
      <c r="B17" s="71" t="s">
        <v>98</v>
      </c>
      <c r="C17" s="72">
        <v>0</v>
      </c>
      <c r="D17" s="72">
        <v>0</v>
      </c>
      <c r="E17" s="25"/>
      <c r="L17" s="71" t="s">
        <v>97</v>
      </c>
      <c r="M17" s="72">
        <v>0.09</v>
      </c>
      <c r="N17" s="72">
        <v>0.09</v>
      </c>
    </row>
    <row r="18" spans="2:14">
      <c r="B18" s="71" t="s">
        <v>99</v>
      </c>
      <c r="C18" s="72">
        <v>0.02</v>
      </c>
      <c r="D18" s="72">
        <v>0.02</v>
      </c>
      <c r="L18" s="71" t="s">
        <v>98</v>
      </c>
      <c r="M18" s="72">
        <v>0</v>
      </c>
      <c r="N18" s="72">
        <v>0</v>
      </c>
    </row>
    <row r="19" spans="2:14">
      <c r="B19" s="71" t="s">
        <v>100</v>
      </c>
      <c r="C19" s="72">
        <v>0.03</v>
      </c>
      <c r="D19" s="72">
        <v>0.03</v>
      </c>
      <c r="L19" s="71" t="s">
        <v>99</v>
      </c>
      <c r="M19" s="72">
        <v>0.02</v>
      </c>
      <c r="N19" s="72">
        <v>0.02</v>
      </c>
    </row>
    <row r="20" spans="2:14">
      <c r="B20" s="71" t="s">
        <v>101</v>
      </c>
      <c r="C20" s="72">
        <v>0.04</v>
      </c>
      <c r="D20" s="72">
        <v>0.04</v>
      </c>
      <c r="L20" s="71" t="s">
        <v>100</v>
      </c>
      <c r="M20" s="72">
        <v>0.03</v>
      </c>
      <c r="N20" s="72">
        <v>0.03</v>
      </c>
    </row>
    <row r="21" spans="2:14">
      <c r="B21" s="71" t="s">
        <v>102</v>
      </c>
      <c r="C21" s="72">
        <v>0.05</v>
      </c>
      <c r="D21" s="72">
        <v>0.05</v>
      </c>
      <c r="J21" s="26"/>
      <c r="L21" s="71" t="s">
        <v>101</v>
      </c>
      <c r="M21" s="72">
        <v>0.04</v>
      </c>
      <c r="N21" s="72">
        <v>0.04</v>
      </c>
    </row>
    <row r="22" spans="2:14">
      <c r="B22" s="71" t="s">
        <v>103</v>
      </c>
      <c r="C22" s="72">
        <v>0.06</v>
      </c>
      <c r="D22" s="72">
        <v>0.06</v>
      </c>
      <c r="L22" s="71" t="s">
        <v>102</v>
      </c>
      <c r="M22" s="72">
        <v>0.05</v>
      </c>
      <c r="N22" s="72">
        <v>0.05</v>
      </c>
    </row>
    <row r="23" spans="2:14">
      <c r="B23" s="71" t="s">
        <v>104</v>
      </c>
      <c r="C23" s="72">
        <v>0.06</v>
      </c>
      <c r="D23" s="72">
        <v>0.06</v>
      </c>
      <c r="L23" s="71" t="s">
        <v>103</v>
      </c>
      <c r="M23" s="72">
        <v>0.06</v>
      </c>
      <c r="N23" s="72">
        <v>0.06</v>
      </c>
    </row>
    <row r="24" spans="2:14">
      <c r="B24" s="71" t="s">
        <v>105</v>
      </c>
      <c r="C24" s="73">
        <v>7.0000000000000007E-2</v>
      </c>
      <c r="D24" s="73">
        <v>7.0000000000000007E-2</v>
      </c>
      <c r="L24" s="71" t="s">
        <v>104</v>
      </c>
      <c r="M24" s="72">
        <v>0.06</v>
      </c>
      <c r="N24" s="72">
        <v>0.06</v>
      </c>
    </row>
    <row r="25" spans="2:14">
      <c r="L25" s="71" t="s">
        <v>105</v>
      </c>
      <c r="M25" s="73">
        <v>7.0000000000000007E-2</v>
      </c>
      <c r="N25" s="73">
        <v>7.0000000000000007E-2</v>
      </c>
    </row>
  </sheetData>
  <phoneticPr fontId="16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57AD6836BA1E49A91ACE42DC489E93" ma:contentTypeVersion="17" ma:contentTypeDescription="Create a new document." ma:contentTypeScope="" ma:versionID="d5cd238bea143cd8862dea4f1bcaf5ed">
  <xsd:schema xmlns:xsd="http://www.w3.org/2001/XMLSchema" xmlns:xs="http://www.w3.org/2001/XMLSchema" xmlns:p="http://schemas.microsoft.com/office/2006/metadata/properties" xmlns:ns3="370a5b99-fc3a-43ce-8a86-aa512de009f1" xmlns:ns4="564f8213-387c-4415-854f-b596a2dea7b0" targetNamespace="http://schemas.microsoft.com/office/2006/metadata/properties" ma:root="true" ma:fieldsID="1c6a451335278499490668fc78b91165" ns3:_="" ns4:_="">
    <xsd:import namespace="370a5b99-fc3a-43ce-8a86-aa512de009f1"/>
    <xsd:import namespace="564f8213-387c-4415-854f-b596a2dea7b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0a5b99-fc3a-43ce-8a86-aa512de009f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4f8213-387c-4415-854f-b596a2dea7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64f8213-387c-4415-854f-b596a2dea7b0" xsi:nil="true"/>
  </documentManagement>
</p:properties>
</file>

<file path=customXml/itemProps1.xml><?xml version="1.0" encoding="utf-8"?>
<ds:datastoreItem xmlns:ds="http://schemas.openxmlformats.org/officeDocument/2006/customXml" ds:itemID="{EAF90B06-1FFF-48DF-B8A7-84E23AC340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0a5b99-fc3a-43ce-8a86-aa512de009f1"/>
    <ds:schemaRef ds:uri="564f8213-387c-4415-854f-b596a2dea7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4FB8385-FA8F-4551-8FE9-4856132022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D59F1F-8579-42C1-83EC-423BBD9D5DE8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www.w3.org/XML/1998/namespace"/>
    <ds:schemaRef ds:uri="564f8213-387c-4415-854f-b596a2dea7b0"/>
    <ds:schemaRef ds:uri="http://schemas.microsoft.com/office/infopath/2007/PartnerControls"/>
    <ds:schemaRef ds:uri="370a5b99-fc3a-43ce-8a86-aa512de009f1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Annual Appraisal Oct 2023</vt:lpstr>
      <vt:lpstr>Loyalty Incentive v1</vt:lpstr>
      <vt:lpstr>Loyalty - Effec - 15July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schandran@health.saisystems.com</dc:creator>
  <cp:keywords/>
  <dc:description/>
  <cp:lastModifiedBy>Sureshbabu Anandrao</cp:lastModifiedBy>
  <cp:revision/>
  <dcterms:created xsi:type="dcterms:W3CDTF">2018-04-26T10:44:00Z</dcterms:created>
  <dcterms:modified xsi:type="dcterms:W3CDTF">2023-12-21T13:34:57Z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1033-11.2.0.9396</vt:lpwstr>
  </property>
  <property fmtid="{D5CDD505-2E9C-101B-9397-08002B2CF9AE}" pid="3" name="ContentTypeId">
    <vt:lpwstr>0x0101008F57AD6836BA1E49A91ACE42DC489E93</vt:lpwstr>
  </property>
</Properties>
</file>